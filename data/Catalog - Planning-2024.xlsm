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5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tormendonca/git-pessoal/python/jira/"/>
    </mc:Choice>
  </mc:AlternateContent>
  <xr:revisionPtr revIDLastSave="0" documentId="8_{3403E2F1-0F69-E143-B53F-D35759E65EF3}" xr6:coauthVersionLast="47" xr6:coauthVersionMax="47" xr10:uidLastSave="{00000000-0000-0000-0000-000000000000}"/>
  <bookViews>
    <workbookView xWindow="0" yWindow="480" windowWidth="51200" windowHeight="21120" activeTab="8" xr2:uid="{0112D488-F7B3-3D4C-B014-0E0A4C51641C}"/>
  </bookViews>
  <sheets>
    <sheet name="Q1-C1" sheetId="34" r:id="rId1"/>
    <sheet name="Q1-C2" sheetId="35" r:id="rId2"/>
    <sheet name="Q2-C1" sheetId="36" r:id="rId3"/>
    <sheet name="Q2-C2" sheetId="38" r:id="rId4"/>
    <sheet name="Q3-C1" sheetId="39" r:id="rId5"/>
    <sheet name="Q3-C2" sheetId="40" r:id="rId6"/>
    <sheet name="Q4-C1" sheetId="46" r:id="rId7"/>
    <sheet name="Template" sheetId="45" r:id="rId8"/>
    <sheet name="Jira Data" sheetId="41" r:id="rId9"/>
    <sheet name="Config" sheetId="50" r:id="rId10"/>
  </sheets>
  <functionGroups builtInGroupCount="19"/>
  <definedNames>
    <definedName name="_xlnm._FilterDatabase" localSheetId="8" hidden="1">'Jira Data'!$A$1:$R$100</definedName>
    <definedName name="_xleta.LEF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0" i="41" l="1"/>
  <c r="T71" i="41"/>
  <c r="T72" i="41"/>
  <c r="T73" i="41"/>
  <c r="T74" i="41"/>
  <c r="T75" i="41"/>
  <c r="T76" i="41"/>
  <c r="T77" i="41"/>
  <c r="T78" i="41"/>
  <c r="T79" i="41"/>
  <c r="T80" i="41"/>
  <c r="T81" i="41"/>
  <c r="T82" i="41"/>
  <c r="T83" i="41"/>
  <c r="T84" i="41"/>
  <c r="T85" i="41"/>
  <c r="T86" i="41"/>
  <c r="T87" i="41"/>
  <c r="T88" i="41"/>
  <c r="T89" i="41"/>
  <c r="T90" i="41"/>
  <c r="T91" i="41"/>
  <c r="T92" i="41"/>
  <c r="T93" i="41"/>
  <c r="T94" i="41"/>
  <c r="T95" i="41"/>
  <c r="T96" i="41"/>
  <c r="T97" i="41"/>
  <c r="T98" i="41"/>
  <c r="T99" i="41"/>
  <c r="T100" i="41"/>
  <c r="T101" i="41"/>
  <c r="T102" i="41"/>
  <c r="T103" i="41"/>
  <c r="T104" i="41"/>
  <c r="T105" i="41"/>
  <c r="T106" i="41"/>
  <c r="T107" i="41"/>
  <c r="T108" i="41"/>
  <c r="T109" i="41"/>
  <c r="T110" i="41"/>
  <c r="T111" i="41"/>
  <c r="T112" i="41"/>
  <c r="T113" i="41"/>
  <c r="T114" i="41"/>
  <c r="T115" i="41"/>
  <c r="T116" i="41"/>
  <c r="T117" i="41"/>
  <c r="T118" i="41"/>
  <c r="K110" i="41"/>
  <c r="L110" i="41"/>
  <c r="M110" i="41"/>
  <c r="N110" i="41"/>
  <c r="O110" i="41"/>
  <c r="P110" i="41"/>
  <c r="Q110" i="41"/>
  <c r="R110" i="41"/>
  <c r="U110" i="41"/>
  <c r="V110" i="41"/>
  <c r="W110" i="41"/>
  <c r="X110" i="41"/>
  <c r="Y110" i="41"/>
  <c r="Z110" i="41"/>
  <c r="K111" i="41"/>
  <c r="L111" i="41"/>
  <c r="M111" i="41"/>
  <c r="N111" i="41"/>
  <c r="O111" i="41"/>
  <c r="P111" i="41"/>
  <c r="Q111" i="41"/>
  <c r="R111" i="41"/>
  <c r="U111" i="41"/>
  <c r="V111" i="41"/>
  <c r="W111" i="41"/>
  <c r="X111" i="41"/>
  <c r="Y111" i="41"/>
  <c r="Z111" i="41"/>
  <c r="K112" i="41"/>
  <c r="L112" i="41"/>
  <c r="M112" i="41"/>
  <c r="N112" i="41"/>
  <c r="O112" i="41"/>
  <c r="P112" i="41"/>
  <c r="Q112" i="41"/>
  <c r="R112" i="41"/>
  <c r="U112" i="41"/>
  <c r="V112" i="41"/>
  <c r="W112" i="41"/>
  <c r="X112" i="41"/>
  <c r="Y112" i="41"/>
  <c r="Z112" i="41"/>
  <c r="K113" i="41"/>
  <c r="L113" i="41"/>
  <c r="M113" i="41"/>
  <c r="N113" i="41"/>
  <c r="O113" i="41"/>
  <c r="P113" i="41"/>
  <c r="Q113" i="41"/>
  <c r="R113" i="41"/>
  <c r="U113" i="41"/>
  <c r="V113" i="41"/>
  <c r="W113" i="41"/>
  <c r="X113" i="41"/>
  <c r="Y113" i="41"/>
  <c r="Z113" i="41"/>
  <c r="K114" i="41"/>
  <c r="L114" i="41"/>
  <c r="M114" i="41"/>
  <c r="N114" i="41"/>
  <c r="O114" i="41"/>
  <c r="P114" i="41"/>
  <c r="Q114" i="41"/>
  <c r="R114" i="41"/>
  <c r="U114" i="41"/>
  <c r="V114" i="41"/>
  <c r="W114" i="41"/>
  <c r="X114" i="41"/>
  <c r="Y114" i="41"/>
  <c r="Z114" i="41"/>
  <c r="K115" i="41"/>
  <c r="L115" i="41"/>
  <c r="M115" i="41"/>
  <c r="N115" i="41"/>
  <c r="O115" i="41"/>
  <c r="P115" i="41"/>
  <c r="Q115" i="41"/>
  <c r="R115" i="41"/>
  <c r="U115" i="41"/>
  <c r="V115" i="41"/>
  <c r="W115" i="41"/>
  <c r="X115" i="41"/>
  <c r="Y115" i="41"/>
  <c r="Z115" i="41"/>
  <c r="K116" i="41"/>
  <c r="L116" i="41"/>
  <c r="M116" i="41"/>
  <c r="N116" i="41"/>
  <c r="O116" i="41"/>
  <c r="P116" i="41"/>
  <c r="Q116" i="41"/>
  <c r="R116" i="41"/>
  <c r="U116" i="41"/>
  <c r="V116" i="41"/>
  <c r="W116" i="41"/>
  <c r="X116" i="41"/>
  <c r="Y116" i="41"/>
  <c r="Z116" i="41"/>
  <c r="K117" i="41"/>
  <c r="L117" i="41"/>
  <c r="M117" i="41"/>
  <c r="N117" i="41"/>
  <c r="O117" i="41"/>
  <c r="P117" i="41"/>
  <c r="Q117" i="41"/>
  <c r="R117" i="41"/>
  <c r="U117" i="41"/>
  <c r="V117" i="41"/>
  <c r="W117" i="41"/>
  <c r="X117" i="41"/>
  <c r="Y117" i="41"/>
  <c r="Z117" i="41"/>
  <c r="K118" i="41"/>
  <c r="L118" i="41"/>
  <c r="M118" i="41"/>
  <c r="N118" i="41"/>
  <c r="O118" i="41"/>
  <c r="P118" i="41"/>
  <c r="Q118" i="41"/>
  <c r="R118" i="41"/>
  <c r="U118" i="41"/>
  <c r="V118" i="41"/>
  <c r="W118" i="41"/>
  <c r="X118" i="41"/>
  <c r="Y118" i="41"/>
  <c r="Z118" i="41"/>
  <c r="K80" i="41"/>
  <c r="L80" i="41"/>
  <c r="M80" i="41"/>
  <c r="N80" i="41"/>
  <c r="O80" i="41"/>
  <c r="P80" i="41"/>
  <c r="Q80" i="41"/>
  <c r="R80" i="41"/>
  <c r="U80" i="41"/>
  <c r="V80" i="41"/>
  <c r="W80" i="41"/>
  <c r="X80" i="41"/>
  <c r="Y80" i="41"/>
  <c r="Z80" i="41"/>
  <c r="K81" i="41"/>
  <c r="L81" i="41"/>
  <c r="M81" i="41"/>
  <c r="N81" i="41"/>
  <c r="O81" i="41"/>
  <c r="P81" i="41"/>
  <c r="Q81" i="41"/>
  <c r="R81" i="41"/>
  <c r="U81" i="41"/>
  <c r="V81" i="41"/>
  <c r="W81" i="41"/>
  <c r="X81" i="41"/>
  <c r="Y81" i="41"/>
  <c r="Z81" i="41"/>
  <c r="K82" i="41"/>
  <c r="L82" i="41"/>
  <c r="M82" i="41"/>
  <c r="N82" i="41"/>
  <c r="O82" i="41"/>
  <c r="P82" i="41"/>
  <c r="Q82" i="41"/>
  <c r="R82" i="41"/>
  <c r="U82" i="41"/>
  <c r="V82" i="41"/>
  <c r="W82" i="41"/>
  <c r="X82" i="41"/>
  <c r="Y82" i="41"/>
  <c r="Z82" i="41"/>
  <c r="K83" i="41"/>
  <c r="L83" i="41"/>
  <c r="M83" i="41"/>
  <c r="N83" i="41"/>
  <c r="O83" i="41"/>
  <c r="P83" i="41"/>
  <c r="Q83" i="41"/>
  <c r="R83" i="41"/>
  <c r="U83" i="41"/>
  <c r="V83" i="41"/>
  <c r="W83" i="41"/>
  <c r="X83" i="41"/>
  <c r="Y83" i="41"/>
  <c r="Z83" i="41"/>
  <c r="K84" i="41"/>
  <c r="L84" i="41"/>
  <c r="M84" i="41"/>
  <c r="N84" i="41"/>
  <c r="O84" i="41"/>
  <c r="P84" i="41"/>
  <c r="Q84" i="41"/>
  <c r="R84" i="41"/>
  <c r="U84" i="41"/>
  <c r="V84" i="41"/>
  <c r="W84" i="41"/>
  <c r="X84" i="41"/>
  <c r="Y84" i="41"/>
  <c r="Z84" i="41"/>
  <c r="K85" i="41"/>
  <c r="L85" i="41"/>
  <c r="M85" i="41"/>
  <c r="N85" i="41"/>
  <c r="O85" i="41"/>
  <c r="P85" i="41"/>
  <c r="Q85" i="41"/>
  <c r="R85" i="41"/>
  <c r="U85" i="41"/>
  <c r="V85" i="41"/>
  <c r="W85" i="41"/>
  <c r="X85" i="41"/>
  <c r="Y85" i="41"/>
  <c r="Z85" i="41"/>
  <c r="K86" i="41"/>
  <c r="L86" i="41"/>
  <c r="M86" i="41"/>
  <c r="N86" i="41"/>
  <c r="O86" i="41"/>
  <c r="P86" i="41"/>
  <c r="Q86" i="41"/>
  <c r="R86" i="41"/>
  <c r="U86" i="41"/>
  <c r="V86" i="41"/>
  <c r="W86" i="41"/>
  <c r="X86" i="41"/>
  <c r="Y86" i="41"/>
  <c r="Z86" i="41"/>
  <c r="K87" i="41"/>
  <c r="L87" i="41"/>
  <c r="M87" i="41"/>
  <c r="N87" i="41"/>
  <c r="O87" i="41"/>
  <c r="P87" i="41"/>
  <c r="Q87" i="41"/>
  <c r="R87" i="41"/>
  <c r="U87" i="41"/>
  <c r="V87" i="41"/>
  <c r="W87" i="41"/>
  <c r="X87" i="41"/>
  <c r="Y87" i="41"/>
  <c r="Z87" i="41"/>
  <c r="K88" i="41"/>
  <c r="L88" i="41"/>
  <c r="M88" i="41"/>
  <c r="N88" i="41"/>
  <c r="O88" i="41"/>
  <c r="P88" i="41"/>
  <c r="Q88" i="41"/>
  <c r="R88" i="41"/>
  <c r="U88" i="41"/>
  <c r="V88" i="41"/>
  <c r="W88" i="41"/>
  <c r="X88" i="41"/>
  <c r="Y88" i="41"/>
  <c r="Z88" i="41"/>
  <c r="K89" i="41"/>
  <c r="L89" i="41"/>
  <c r="M89" i="41"/>
  <c r="N89" i="41"/>
  <c r="O89" i="41"/>
  <c r="P89" i="41"/>
  <c r="Q89" i="41"/>
  <c r="R89" i="41"/>
  <c r="U89" i="41"/>
  <c r="V89" i="41"/>
  <c r="W89" i="41"/>
  <c r="X89" i="41"/>
  <c r="Y89" i="41"/>
  <c r="Z89" i="41"/>
  <c r="K90" i="41"/>
  <c r="L90" i="41"/>
  <c r="M90" i="41"/>
  <c r="N90" i="41"/>
  <c r="O90" i="41"/>
  <c r="P90" i="41"/>
  <c r="Q90" i="41"/>
  <c r="R90" i="41"/>
  <c r="U90" i="41"/>
  <c r="V90" i="41"/>
  <c r="W90" i="41"/>
  <c r="X90" i="41"/>
  <c r="Y90" i="41"/>
  <c r="Z90" i="41"/>
  <c r="K91" i="41"/>
  <c r="L91" i="41"/>
  <c r="M91" i="41"/>
  <c r="N91" i="41"/>
  <c r="O91" i="41"/>
  <c r="P91" i="41"/>
  <c r="Q91" i="41"/>
  <c r="R91" i="41"/>
  <c r="U91" i="41"/>
  <c r="V91" i="41"/>
  <c r="W91" i="41"/>
  <c r="X91" i="41"/>
  <c r="Y91" i="41"/>
  <c r="Z91" i="41"/>
  <c r="K92" i="41"/>
  <c r="L92" i="41"/>
  <c r="M92" i="41"/>
  <c r="N92" i="41"/>
  <c r="O92" i="41"/>
  <c r="P92" i="41"/>
  <c r="Q92" i="41"/>
  <c r="R92" i="41"/>
  <c r="U92" i="41"/>
  <c r="V92" i="41"/>
  <c r="W92" i="41"/>
  <c r="X92" i="41"/>
  <c r="Y92" i="41"/>
  <c r="Z92" i="41"/>
  <c r="K93" i="41"/>
  <c r="L93" i="41"/>
  <c r="M93" i="41"/>
  <c r="N93" i="41"/>
  <c r="O93" i="41"/>
  <c r="P93" i="41"/>
  <c r="Q93" i="41"/>
  <c r="R93" i="41"/>
  <c r="U93" i="41"/>
  <c r="V93" i="41"/>
  <c r="W93" i="41"/>
  <c r="X93" i="41"/>
  <c r="Y93" i="41"/>
  <c r="Z93" i="41"/>
  <c r="K94" i="41"/>
  <c r="L94" i="41"/>
  <c r="M94" i="41"/>
  <c r="N94" i="41"/>
  <c r="O94" i="41"/>
  <c r="P94" i="41"/>
  <c r="Q94" i="41"/>
  <c r="R94" i="41"/>
  <c r="U94" i="41"/>
  <c r="V94" i="41"/>
  <c r="W94" i="41"/>
  <c r="X94" i="41"/>
  <c r="Y94" i="41"/>
  <c r="Z94" i="41"/>
  <c r="K95" i="41"/>
  <c r="L95" i="41"/>
  <c r="M95" i="41"/>
  <c r="N95" i="41"/>
  <c r="O95" i="41"/>
  <c r="P95" i="41"/>
  <c r="Q95" i="41"/>
  <c r="R95" i="41"/>
  <c r="U95" i="41"/>
  <c r="V95" i="41"/>
  <c r="W95" i="41"/>
  <c r="X95" i="41"/>
  <c r="Y95" i="41"/>
  <c r="Z95" i="41"/>
  <c r="K96" i="41"/>
  <c r="L96" i="41"/>
  <c r="M96" i="41"/>
  <c r="N96" i="41"/>
  <c r="O96" i="41"/>
  <c r="P96" i="41"/>
  <c r="Q96" i="41"/>
  <c r="R96" i="41"/>
  <c r="U96" i="41"/>
  <c r="V96" i="41"/>
  <c r="W96" i="41"/>
  <c r="X96" i="41"/>
  <c r="Y96" i="41"/>
  <c r="Z96" i="41"/>
  <c r="K97" i="41"/>
  <c r="L97" i="41"/>
  <c r="M97" i="41"/>
  <c r="N97" i="41"/>
  <c r="O97" i="41"/>
  <c r="P97" i="41"/>
  <c r="Q97" i="41"/>
  <c r="R97" i="41"/>
  <c r="U97" i="41"/>
  <c r="V97" i="41"/>
  <c r="W97" i="41"/>
  <c r="X97" i="41"/>
  <c r="Y97" i="41"/>
  <c r="Z97" i="41"/>
  <c r="K98" i="41"/>
  <c r="L98" i="41"/>
  <c r="M98" i="41"/>
  <c r="N98" i="41"/>
  <c r="O98" i="41"/>
  <c r="P98" i="41"/>
  <c r="Q98" i="41"/>
  <c r="R98" i="41"/>
  <c r="U98" i="41"/>
  <c r="V98" i="41"/>
  <c r="W98" i="41"/>
  <c r="X98" i="41"/>
  <c r="Y98" i="41"/>
  <c r="Z98" i="41"/>
  <c r="K99" i="41"/>
  <c r="L99" i="41"/>
  <c r="M99" i="41"/>
  <c r="N99" i="41"/>
  <c r="O99" i="41"/>
  <c r="P99" i="41"/>
  <c r="Q99" i="41"/>
  <c r="R99" i="41"/>
  <c r="U99" i="41"/>
  <c r="V99" i="41"/>
  <c r="W99" i="41"/>
  <c r="X99" i="41"/>
  <c r="Y99" i="41"/>
  <c r="Z99" i="41"/>
  <c r="K100" i="41"/>
  <c r="L100" i="41"/>
  <c r="M100" i="41"/>
  <c r="N100" i="41"/>
  <c r="O100" i="41"/>
  <c r="P100" i="41"/>
  <c r="Q100" i="41"/>
  <c r="R100" i="41"/>
  <c r="U100" i="41"/>
  <c r="V100" i="41"/>
  <c r="W100" i="41"/>
  <c r="X100" i="41"/>
  <c r="Y100" i="41"/>
  <c r="Z100" i="41"/>
  <c r="K101" i="41"/>
  <c r="L101" i="41"/>
  <c r="M101" i="41"/>
  <c r="N101" i="41"/>
  <c r="O101" i="41"/>
  <c r="P101" i="41"/>
  <c r="Q101" i="41"/>
  <c r="R101" i="41"/>
  <c r="U101" i="41"/>
  <c r="V101" i="41"/>
  <c r="W101" i="41"/>
  <c r="X101" i="41"/>
  <c r="Y101" i="41"/>
  <c r="Z101" i="41"/>
  <c r="K102" i="41"/>
  <c r="L102" i="41"/>
  <c r="M102" i="41"/>
  <c r="N102" i="41"/>
  <c r="O102" i="41"/>
  <c r="P102" i="41"/>
  <c r="Q102" i="41"/>
  <c r="R102" i="41"/>
  <c r="U102" i="41"/>
  <c r="V102" i="41"/>
  <c r="W102" i="41"/>
  <c r="X102" i="41"/>
  <c r="Y102" i="41"/>
  <c r="Z102" i="41"/>
  <c r="K103" i="41"/>
  <c r="L103" i="41"/>
  <c r="M103" i="41"/>
  <c r="N103" i="41"/>
  <c r="O103" i="41"/>
  <c r="P103" i="41"/>
  <c r="Q103" i="41"/>
  <c r="R103" i="41"/>
  <c r="U103" i="41"/>
  <c r="V103" i="41"/>
  <c r="W103" i="41"/>
  <c r="X103" i="41"/>
  <c r="Y103" i="41"/>
  <c r="Z103" i="41"/>
  <c r="K104" i="41"/>
  <c r="L104" i="41"/>
  <c r="M104" i="41"/>
  <c r="N104" i="41"/>
  <c r="O104" i="41"/>
  <c r="P104" i="41"/>
  <c r="Q104" i="41"/>
  <c r="R104" i="41"/>
  <c r="U104" i="41"/>
  <c r="V104" i="41"/>
  <c r="W104" i="41"/>
  <c r="X104" i="41"/>
  <c r="Y104" i="41"/>
  <c r="Z104" i="41"/>
  <c r="K105" i="41"/>
  <c r="L105" i="41"/>
  <c r="M105" i="41"/>
  <c r="N105" i="41"/>
  <c r="O105" i="41"/>
  <c r="P105" i="41"/>
  <c r="Q105" i="41"/>
  <c r="R105" i="41"/>
  <c r="U105" i="41"/>
  <c r="V105" i="41"/>
  <c r="W105" i="41"/>
  <c r="X105" i="41"/>
  <c r="Y105" i="41"/>
  <c r="Z105" i="41"/>
  <c r="K106" i="41"/>
  <c r="L106" i="41"/>
  <c r="M106" i="41"/>
  <c r="N106" i="41"/>
  <c r="O106" i="41"/>
  <c r="P106" i="41"/>
  <c r="Q106" i="41"/>
  <c r="R106" i="41"/>
  <c r="U106" i="41"/>
  <c r="V106" i="41"/>
  <c r="W106" i="41"/>
  <c r="X106" i="41"/>
  <c r="Y106" i="41"/>
  <c r="Z106" i="41"/>
  <c r="K107" i="41"/>
  <c r="L107" i="41"/>
  <c r="M107" i="41"/>
  <c r="N107" i="41"/>
  <c r="O107" i="41"/>
  <c r="P107" i="41"/>
  <c r="Q107" i="41"/>
  <c r="R107" i="41"/>
  <c r="U107" i="41"/>
  <c r="V107" i="41"/>
  <c r="W107" i="41"/>
  <c r="X107" i="41"/>
  <c r="Y107" i="41"/>
  <c r="Z107" i="41"/>
  <c r="K108" i="41"/>
  <c r="L108" i="41"/>
  <c r="M108" i="41"/>
  <c r="N108" i="41"/>
  <c r="O108" i="41"/>
  <c r="P108" i="41"/>
  <c r="Q108" i="41"/>
  <c r="R108" i="41"/>
  <c r="U108" i="41"/>
  <c r="V108" i="41"/>
  <c r="W108" i="41"/>
  <c r="X108" i="41"/>
  <c r="Y108" i="41"/>
  <c r="Z108" i="41"/>
  <c r="K109" i="41"/>
  <c r="L109" i="41"/>
  <c r="M109" i="41"/>
  <c r="N109" i="41"/>
  <c r="O109" i="41"/>
  <c r="P109" i="41"/>
  <c r="Q109" i="41"/>
  <c r="R109" i="41"/>
  <c r="U109" i="41"/>
  <c r="V109" i="41"/>
  <c r="W109" i="41"/>
  <c r="X109" i="41"/>
  <c r="Y109" i="41"/>
  <c r="Z109" i="41"/>
  <c r="L42" i="40"/>
  <c r="M42" i="40"/>
  <c r="N42" i="40"/>
  <c r="O42" i="40"/>
  <c r="P42" i="40"/>
  <c r="Q42" i="40"/>
  <c r="R42" i="40"/>
  <c r="S42" i="40"/>
  <c r="T42" i="40"/>
  <c r="U42" i="40"/>
  <c r="V42" i="40"/>
  <c r="W42" i="40"/>
  <c r="X42" i="40"/>
  <c r="Y42" i="40"/>
  <c r="Z42" i="40"/>
  <c r="AA42" i="40"/>
  <c r="AB42" i="40"/>
  <c r="AC42" i="40"/>
  <c r="AD42" i="40"/>
  <c r="AE42" i="40"/>
  <c r="AF42" i="40"/>
  <c r="AG42" i="40"/>
  <c r="AH42" i="40"/>
  <c r="AI42" i="40"/>
  <c r="AJ42" i="40"/>
  <c r="AK42" i="40"/>
  <c r="AL42" i="40"/>
  <c r="AM42" i="40"/>
  <c r="AN42" i="40"/>
  <c r="AO42" i="40"/>
  <c r="AP42" i="40"/>
  <c r="AQ42" i="40"/>
  <c r="AR42" i="40"/>
  <c r="AS42" i="40"/>
  <c r="K42" i="40"/>
  <c r="AS15" i="46"/>
  <c r="AS16" i="46"/>
  <c r="AS14" i="46"/>
  <c r="U10" i="46" l="1"/>
  <c r="U11" i="46"/>
  <c r="U12" i="46"/>
  <c r="U13" i="46"/>
  <c r="U14" i="46"/>
  <c r="V14" i="46" s="1"/>
  <c r="AB14" i="46" s="1"/>
  <c r="U15" i="46"/>
  <c r="Z11" i="41"/>
  <c r="Z13" i="41"/>
  <c r="Z79" i="41"/>
  <c r="Y11" i="41"/>
  <c r="Y13" i="41"/>
  <c r="Y79" i="41"/>
  <c r="T9" i="46"/>
  <c r="S9" i="46"/>
  <c r="AB17" i="46"/>
  <c r="AB18" i="46"/>
  <c r="AB19" i="46"/>
  <c r="AB20" i="46"/>
  <c r="AB21" i="46"/>
  <c r="V10" i="46"/>
  <c r="AB10" i="46" s="1"/>
  <c r="V17" i="46"/>
  <c r="V18" i="46"/>
  <c r="V19" i="46"/>
  <c r="V20" i="46"/>
  <c r="V21" i="46"/>
  <c r="V22" i="46"/>
  <c r="AB22" i="46" s="1"/>
  <c r="V23" i="46"/>
  <c r="AB23" i="46" s="1"/>
  <c r="V24" i="46"/>
  <c r="AB24" i="46" s="1"/>
  <c r="V25" i="46"/>
  <c r="AB25" i="46" s="1"/>
  <c r="U7" i="46"/>
  <c r="V7" i="46" s="1"/>
  <c r="AB7" i="46" s="1"/>
  <c r="U8" i="46"/>
  <c r="V8" i="46" s="1"/>
  <c r="AB8" i="46" s="1"/>
  <c r="U9" i="46"/>
  <c r="V9" i="46" s="1"/>
  <c r="AB9" i="46" s="1"/>
  <c r="V11" i="46"/>
  <c r="AB11" i="46" s="1"/>
  <c r="V12" i="46"/>
  <c r="AB12" i="46" s="1"/>
  <c r="V13" i="46"/>
  <c r="AB13" i="46" s="1"/>
  <c r="V15" i="46"/>
  <c r="AB15" i="46" s="1"/>
  <c r="U16" i="46"/>
  <c r="V16" i="46" s="1"/>
  <c r="U17" i="46"/>
  <c r="U18" i="46"/>
  <c r="U19" i="46"/>
  <c r="U20" i="46"/>
  <c r="U21" i="46"/>
  <c r="U22" i="46"/>
  <c r="U23" i="46"/>
  <c r="U24" i="46"/>
  <c r="U25" i="46"/>
  <c r="U6" i="46"/>
  <c r="V6" i="46" s="1"/>
  <c r="AB6" i="46" s="1"/>
  <c r="U11" i="41"/>
  <c r="V11" i="41"/>
  <c r="W11" i="41"/>
  <c r="X11" i="41"/>
  <c r="U13" i="41"/>
  <c r="V13" i="41"/>
  <c r="W13" i="41"/>
  <c r="X13" i="41"/>
  <c r="V67" i="41"/>
  <c r="X67" i="41"/>
  <c r="V68" i="41"/>
  <c r="X68" i="41"/>
  <c r="V69" i="41"/>
  <c r="X69" i="41"/>
  <c r="V70" i="41"/>
  <c r="X70" i="41"/>
  <c r="V71" i="41"/>
  <c r="X71" i="41"/>
  <c r="V72" i="41"/>
  <c r="X72" i="41"/>
  <c r="V73" i="41"/>
  <c r="X73" i="41"/>
  <c r="V74" i="41"/>
  <c r="X74" i="41"/>
  <c r="V75" i="41"/>
  <c r="X75" i="41"/>
  <c r="V76" i="41"/>
  <c r="X76" i="41"/>
  <c r="V77" i="41"/>
  <c r="X77" i="41"/>
  <c r="V78" i="41"/>
  <c r="X78" i="41"/>
  <c r="U79" i="41"/>
  <c r="V79" i="41"/>
  <c r="W79" i="41"/>
  <c r="X79" i="41"/>
  <c r="J11" i="50" a="1"/>
  <c r="J11" i="50" s="1"/>
  <c r="L11" i="50" a="1"/>
  <c r="L11" i="50" s="1"/>
  <c r="H11" i="50" a="1"/>
  <c r="H11" i="50" s="1"/>
  <c r="F11" i="50" a="1"/>
  <c r="F11" i="50" s="1"/>
  <c r="Z7" i="35"/>
  <c r="Z8" i="35"/>
  <c r="Z9" i="35"/>
  <c r="Z10" i="35"/>
  <c r="Z11" i="35"/>
  <c r="Z12" i="35"/>
  <c r="Z13" i="35"/>
  <c r="AF13" i="35" s="1"/>
  <c r="Z14" i="35"/>
  <c r="AF14" i="35" s="1"/>
  <c r="Z15" i="35"/>
  <c r="AF15" i="35" s="1"/>
  <c r="Z16" i="35"/>
  <c r="Z17" i="35"/>
  <c r="Z18" i="35"/>
  <c r="AF18" i="35" s="1"/>
  <c r="Z19" i="35"/>
  <c r="Z20" i="35"/>
  <c r="Z21" i="35"/>
  <c r="AF21" i="35" s="1"/>
  <c r="Z22" i="35"/>
  <c r="Z23" i="35"/>
  <c r="Z24" i="35"/>
  <c r="AF24" i="35" s="1"/>
  <c r="Z25" i="35"/>
  <c r="AF25" i="35" s="1"/>
  <c r="AF16" i="35"/>
  <c r="AF17" i="35"/>
  <c r="AF19" i="35"/>
  <c r="AF22" i="35"/>
  <c r="Z6" i="35"/>
  <c r="AJ25" i="35"/>
  <c r="AL25" i="35" s="1"/>
  <c r="AI25" i="35"/>
  <c r="AC25" i="35"/>
  <c r="AB25" i="35"/>
  <c r="AE25" i="35" s="1"/>
  <c r="AM25" i="35" s="1"/>
  <c r="AK24" i="35"/>
  <c r="AJ24" i="35"/>
  <c r="AI24" i="35"/>
  <c r="AL24" i="35" s="1"/>
  <c r="AE24" i="35"/>
  <c r="AM24" i="35" s="1"/>
  <c r="AD24" i="35"/>
  <c r="AN24" i="35" s="1"/>
  <c r="AC24" i="35"/>
  <c r="AB24" i="35"/>
  <c r="AJ23" i="35"/>
  <c r="AI23" i="35"/>
  <c r="AL23" i="35" s="1"/>
  <c r="AC23" i="35"/>
  <c r="AB23" i="35"/>
  <c r="AE23" i="35" s="1"/>
  <c r="AM23" i="35" s="1"/>
  <c r="AL22" i="35"/>
  <c r="AJ22" i="35"/>
  <c r="AI22" i="35"/>
  <c r="AK22" i="35" s="1"/>
  <c r="AC22" i="35"/>
  <c r="AB22" i="35"/>
  <c r="AE22" i="35" s="1"/>
  <c r="AM22" i="35" s="1"/>
  <c r="AJ21" i="35"/>
  <c r="AI21" i="35"/>
  <c r="AL21" i="35" s="1"/>
  <c r="AC21" i="35"/>
  <c r="AB21" i="35"/>
  <c r="AE21" i="35" s="1"/>
  <c r="AM21" i="35" s="1"/>
  <c r="AJ20" i="35"/>
  <c r="AL20" i="35" s="1"/>
  <c r="AI20" i="35"/>
  <c r="AC20" i="35"/>
  <c r="AB20" i="35"/>
  <c r="AE20" i="35" s="1"/>
  <c r="AM20" i="35" s="1"/>
  <c r="AF20" i="35"/>
  <c r="AJ19" i="35"/>
  <c r="AI19" i="35"/>
  <c r="AL19" i="35" s="1"/>
  <c r="AE19" i="35"/>
  <c r="AM19" i="35" s="1"/>
  <c r="AD19" i="35"/>
  <c r="AN19" i="35" s="1"/>
  <c r="AC19" i="35"/>
  <c r="AB19" i="35"/>
  <c r="AJ18" i="35"/>
  <c r="AI18" i="35"/>
  <c r="AK18" i="35" s="1"/>
  <c r="AC18" i="35"/>
  <c r="AB18" i="35"/>
  <c r="AE18" i="35" s="1"/>
  <c r="AM18" i="35" s="1"/>
  <c r="AJ17" i="35"/>
  <c r="AI17" i="35"/>
  <c r="AL17" i="35" s="1"/>
  <c r="AC17" i="35"/>
  <c r="AB17" i="35"/>
  <c r="AE17" i="35" s="1"/>
  <c r="AM17" i="35" s="1"/>
  <c r="AJ16" i="35"/>
  <c r="AI16" i="35"/>
  <c r="AL16" i="35" s="1"/>
  <c r="AC16" i="35"/>
  <c r="AB16" i="35"/>
  <c r="AE16" i="35" s="1"/>
  <c r="AM16" i="35" s="1"/>
  <c r="AL15" i="35"/>
  <c r="AK15" i="35"/>
  <c r="AJ15" i="35"/>
  <c r="AI15" i="35"/>
  <c r="AC15" i="35"/>
  <c r="AB15" i="35"/>
  <c r="AD15" i="35" s="1"/>
  <c r="AN15" i="35" s="1"/>
  <c r="AJ14" i="35"/>
  <c r="AI14" i="35"/>
  <c r="AL14" i="35" s="1"/>
  <c r="AE14" i="35"/>
  <c r="AM14" i="35" s="1"/>
  <c r="AC14" i="35"/>
  <c r="AD14" i="35" s="1"/>
  <c r="AN14" i="35" s="1"/>
  <c r="AB14" i="35"/>
  <c r="AJ13" i="35"/>
  <c r="AI13" i="35"/>
  <c r="AL13" i="35" s="1"/>
  <c r="AC13" i="35"/>
  <c r="AB13" i="35"/>
  <c r="AE13" i="35" s="1"/>
  <c r="AM13" i="35" s="1"/>
  <c r="AJ12" i="35"/>
  <c r="AL12" i="35" s="1"/>
  <c r="AI12" i="35"/>
  <c r="AK12" i="35" s="1"/>
  <c r="AF12" i="35"/>
  <c r="AC12" i="35"/>
  <c r="AD12" i="35" s="1"/>
  <c r="AB12" i="35"/>
  <c r="AJ11" i="35"/>
  <c r="AI11" i="35"/>
  <c r="AL11" i="35" s="1"/>
  <c r="AD11" i="35"/>
  <c r="AC11" i="35"/>
  <c r="AB11" i="35"/>
  <c r="AE11" i="35" s="1"/>
  <c r="AM11" i="35" s="1"/>
  <c r="AF11" i="35"/>
  <c r="AL10" i="35"/>
  <c r="AJ10" i="35"/>
  <c r="AK10" i="35" s="1"/>
  <c r="AI10" i="35"/>
  <c r="AF10" i="35"/>
  <c r="AC10" i="35"/>
  <c r="AB10" i="35"/>
  <c r="AE10" i="35" s="1"/>
  <c r="AM10" i="35" s="1"/>
  <c r="AJ9" i="35"/>
  <c r="AI9" i="35"/>
  <c r="AL9" i="35" s="1"/>
  <c r="AF9" i="35"/>
  <c r="AC9" i="35"/>
  <c r="AB9" i="35"/>
  <c r="AE9" i="35" s="1"/>
  <c r="AM9" i="35" s="1"/>
  <c r="AJ8" i="35"/>
  <c r="AL8" i="35" s="1"/>
  <c r="AI8" i="35"/>
  <c r="AC8" i="35"/>
  <c r="AB8" i="35"/>
  <c r="AD8" i="35" s="1"/>
  <c r="AJ7" i="35"/>
  <c r="AL7" i="35" s="1"/>
  <c r="AI7" i="35"/>
  <c r="AK7" i="35" s="1"/>
  <c r="AF7" i="35"/>
  <c r="AC7" i="35"/>
  <c r="AE7" i="35" s="1"/>
  <c r="AM7" i="35" s="1"/>
  <c r="AB7" i="35"/>
  <c r="AJ6" i="35"/>
  <c r="AI6" i="35"/>
  <c r="AL6" i="35" s="1"/>
  <c r="AD6" i="35"/>
  <c r="AN6" i="35" s="1"/>
  <c r="AC6" i="35"/>
  <c r="AB6" i="35"/>
  <c r="AE6" i="35" s="1"/>
  <c r="AF6" i="35"/>
  <c r="AJ25" i="36"/>
  <c r="AL25" i="36" s="1"/>
  <c r="AI25" i="36"/>
  <c r="AC25" i="36"/>
  <c r="AB25" i="36"/>
  <c r="AE25" i="36" s="1"/>
  <c r="AM25" i="36" s="1"/>
  <c r="Z25" i="36"/>
  <c r="AF25" i="36" s="1"/>
  <c r="AJ24" i="36"/>
  <c r="AI24" i="36"/>
  <c r="AL24" i="36" s="1"/>
  <c r="AF24" i="36"/>
  <c r="AE24" i="36"/>
  <c r="AM24" i="36" s="1"/>
  <c r="AD24" i="36"/>
  <c r="AN24" i="36" s="1"/>
  <c r="AC24" i="36"/>
  <c r="AB24" i="36"/>
  <c r="Z24" i="36"/>
  <c r="AJ23" i="36"/>
  <c r="AI23" i="36"/>
  <c r="AL23" i="36" s="1"/>
  <c r="AC23" i="36"/>
  <c r="AB23" i="36"/>
  <c r="AE23" i="36" s="1"/>
  <c r="AM23" i="36" s="1"/>
  <c r="AL22" i="36"/>
  <c r="AJ22" i="36"/>
  <c r="AI22" i="36"/>
  <c r="AK22" i="36" s="1"/>
  <c r="AF22" i="36"/>
  <c r="AC22" i="36"/>
  <c r="AB22" i="36"/>
  <c r="AE22" i="36" s="1"/>
  <c r="AM22" i="36" s="1"/>
  <c r="Z22" i="36"/>
  <c r="AJ21" i="36"/>
  <c r="AI21" i="36"/>
  <c r="AL21" i="36" s="1"/>
  <c r="AF21" i="36"/>
  <c r="AC21" i="36"/>
  <c r="AB21" i="36"/>
  <c r="AE21" i="36" s="1"/>
  <c r="AM21" i="36" s="1"/>
  <c r="Z21" i="36"/>
  <c r="AJ20" i="36"/>
  <c r="AL20" i="36" s="1"/>
  <c r="AI20" i="36"/>
  <c r="AC20" i="36"/>
  <c r="AB20" i="36"/>
  <c r="AD20" i="36" s="1"/>
  <c r="Z20" i="36"/>
  <c r="AF20" i="36" s="1"/>
  <c r="AJ19" i="36"/>
  <c r="AI19" i="36"/>
  <c r="AL19" i="36" s="1"/>
  <c r="AF19" i="36"/>
  <c r="AE19" i="36"/>
  <c r="AM19" i="36" s="1"/>
  <c r="AD19" i="36"/>
  <c r="AN19" i="36" s="1"/>
  <c r="AC19" i="36"/>
  <c r="AB19" i="36"/>
  <c r="Z19" i="36"/>
  <c r="AJ18" i="36"/>
  <c r="AI18" i="36"/>
  <c r="AK18" i="36" s="1"/>
  <c r="AC18" i="36"/>
  <c r="AB18" i="36"/>
  <c r="AE18" i="36" s="1"/>
  <c r="AM18" i="36" s="1"/>
  <c r="Z18" i="36"/>
  <c r="AF18" i="36" s="1"/>
  <c r="AK17" i="36"/>
  <c r="AJ17" i="36"/>
  <c r="AI17" i="36"/>
  <c r="AL17" i="36" s="1"/>
  <c r="AF17" i="36"/>
  <c r="AC17" i="36"/>
  <c r="AB17" i="36"/>
  <c r="AD17" i="36" s="1"/>
  <c r="AN17" i="36" s="1"/>
  <c r="Z17" i="36"/>
  <c r="AJ16" i="36"/>
  <c r="AI16" i="36"/>
  <c r="AK16" i="36" s="1"/>
  <c r="AE16" i="36"/>
  <c r="AM16" i="36" s="1"/>
  <c r="AC16" i="36"/>
  <c r="AB16" i="36"/>
  <c r="AD16" i="36" s="1"/>
  <c r="AN16" i="36" s="1"/>
  <c r="Z16" i="36"/>
  <c r="AF16" i="36" s="1"/>
  <c r="AL15" i="36"/>
  <c r="AK15" i="36"/>
  <c r="AJ15" i="36"/>
  <c r="AI15" i="36"/>
  <c r="AF15" i="36"/>
  <c r="AC15" i="36"/>
  <c r="AB15" i="36"/>
  <c r="AE15" i="36" s="1"/>
  <c r="AM15" i="36" s="1"/>
  <c r="Z15" i="36"/>
  <c r="AJ14" i="36"/>
  <c r="AI14" i="36"/>
  <c r="AL14" i="36" s="1"/>
  <c r="AE14" i="36"/>
  <c r="AC14" i="36"/>
  <c r="AB14" i="36"/>
  <c r="AD14" i="36" s="1"/>
  <c r="Z14" i="36"/>
  <c r="AJ13" i="36"/>
  <c r="AI13" i="36"/>
  <c r="AL13" i="36" s="1"/>
  <c r="AC13" i="36"/>
  <c r="AB13" i="36"/>
  <c r="AE13" i="36" s="1"/>
  <c r="AM13" i="36" s="1"/>
  <c r="Z13" i="36"/>
  <c r="AL12" i="36"/>
  <c r="AJ12" i="36"/>
  <c r="AI12" i="36"/>
  <c r="AK12" i="36" s="1"/>
  <c r="AC12" i="36"/>
  <c r="AE12" i="36" s="1"/>
  <c r="AM12" i="36" s="1"/>
  <c r="AB12" i="36"/>
  <c r="Z12" i="36"/>
  <c r="AJ11" i="36"/>
  <c r="AI11" i="36"/>
  <c r="AL11" i="36" s="1"/>
  <c r="AC11" i="36"/>
  <c r="AB11" i="36"/>
  <c r="AE11" i="36" s="1"/>
  <c r="AM11" i="36" s="1"/>
  <c r="Z11" i="36"/>
  <c r="AF11" i="36" s="1"/>
  <c r="AL10" i="36"/>
  <c r="AJ10" i="36"/>
  <c r="AI10" i="36"/>
  <c r="AK10" i="36" s="1"/>
  <c r="AC10" i="36"/>
  <c r="AB10" i="36"/>
  <c r="AD10" i="36" s="1"/>
  <c r="Z10" i="36"/>
  <c r="AJ9" i="36"/>
  <c r="AI9" i="36"/>
  <c r="AK9" i="36" s="1"/>
  <c r="AF9" i="36"/>
  <c r="AD9" i="36"/>
  <c r="AN9" i="36" s="1"/>
  <c r="AC9" i="36"/>
  <c r="AB9" i="36"/>
  <c r="AE9" i="36" s="1"/>
  <c r="Z9" i="36"/>
  <c r="AJ8" i="36"/>
  <c r="AL8" i="36" s="1"/>
  <c r="AI8" i="36"/>
  <c r="AC8" i="36"/>
  <c r="AB8" i="36"/>
  <c r="AE8" i="36" s="1"/>
  <c r="AL7" i="36"/>
  <c r="AJ7" i="36"/>
  <c r="AI7" i="36"/>
  <c r="AK7" i="36" s="1"/>
  <c r="AC7" i="36"/>
  <c r="AE7" i="36" s="1"/>
  <c r="AM7" i="36" s="1"/>
  <c r="AB7" i="36"/>
  <c r="Z7" i="36"/>
  <c r="AJ6" i="36"/>
  <c r="AI6" i="36"/>
  <c r="AL6" i="36" s="1"/>
  <c r="AC6" i="36"/>
  <c r="AB6" i="36"/>
  <c r="AE6" i="36" s="1"/>
  <c r="Z6" i="36"/>
  <c r="AK25" i="38"/>
  <c r="AJ25" i="38"/>
  <c r="AL25" i="38" s="1"/>
  <c r="AI25" i="38"/>
  <c r="AC25" i="38"/>
  <c r="AB25" i="38"/>
  <c r="AD25" i="38" s="1"/>
  <c r="AN25" i="38" s="1"/>
  <c r="Z25" i="38"/>
  <c r="AF25" i="38" s="1"/>
  <c r="AJ24" i="38"/>
  <c r="AI24" i="38"/>
  <c r="AL24" i="38" s="1"/>
  <c r="AF24" i="38"/>
  <c r="AE24" i="38"/>
  <c r="AM24" i="38" s="1"/>
  <c r="AD24" i="38"/>
  <c r="AN24" i="38" s="1"/>
  <c r="AC24" i="38"/>
  <c r="AB24" i="38"/>
  <c r="Z24" i="38"/>
  <c r="AK23" i="38"/>
  <c r="AJ23" i="38"/>
  <c r="AI23" i="38"/>
  <c r="AL23" i="38" s="1"/>
  <c r="AC23" i="38"/>
  <c r="AB23" i="38"/>
  <c r="AE23" i="38" s="1"/>
  <c r="AM23" i="38" s="1"/>
  <c r="AL22" i="38"/>
  <c r="AJ22" i="38"/>
  <c r="AI22" i="38"/>
  <c r="AK22" i="38" s="1"/>
  <c r="AF22" i="38"/>
  <c r="AC22" i="38"/>
  <c r="AB22" i="38"/>
  <c r="AE22" i="38" s="1"/>
  <c r="AM22" i="38" s="1"/>
  <c r="Z22" i="38"/>
  <c r="AJ21" i="38"/>
  <c r="AI21" i="38"/>
  <c r="AK21" i="38" s="1"/>
  <c r="AF21" i="38"/>
  <c r="AC21" i="38"/>
  <c r="AB21" i="38"/>
  <c r="AE21" i="38" s="1"/>
  <c r="Z21" i="38"/>
  <c r="AJ20" i="38"/>
  <c r="AL20" i="38" s="1"/>
  <c r="AI20" i="38"/>
  <c r="AC20" i="38"/>
  <c r="AB20" i="38"/>
  <c r="AD20" i="38" s="1"/>
  <c r="Z20" i="38"/>
  <c r="AF20" i="38" s="1"/>
  <c r="AJ19" i="38"/>
  <c r="AI19" i="38"/>
  <c r="AL19" i="38" s="1"/>
  <c r="AF19" i="38"/>
  <c r="AE19" i="38"/>
  <c r="AM19" i="38" s="1"/>
  <c r="AD19" i="38"/>
  <c r="AC19" i="38"/>
  <c r="AB19" i="38"/>
  <c r="Z19" i="38"/>
  <c r="AJ18" i="38"/>
  <c r="AI18" i="38"/>
  <c r="AL18" i="38" s="1"/>
  <c r="AC18" i="38"/>
  <c r="AB18" i="38"/>
  <c r="AE18" i="38" s="1"/>
  <c r="AM18" i="38" s="1"/>
  <c r="Z18" i="38"/>
  <c r="AF18" i="38" s="1"/>
  <c r="AJ17" i="38"/>
  <c r="AI17" i="38"/>
  <c r="AL17" i="38" s="1"/>
  <c r="AF17" i="38"/>
  <c r="AC17" i="38"/>
  <c r="AB17" i="38"/>
  <c r="AE17" i="38" s="1"/>
  <c r="AM17" i="38" s="1"/>
  <c r="Z17" i="38"/>
  <c r="AJ16" i="38"/>
  <c r="AI16" i="38"/>
  <c r="AK16" i="38" s="1"/>
  <c r="AC16" i="38"/>
  <c r="AB16" i="38"/>
  <c r="AE16" i="38" s="1"/>
  <c r="AM16" i="38" s="1"/>
  <c r="Z16" i="38"/>
  <c r="AF16" i="38" s="1"/>
  <c r="AL15" i="38"/>
  <c r="AK15" i="38"/>
  <c r="AJ15" i="38"/>
  <c r="AI15" i="38"/>
  <c r="AF15" i="38"/>
  <c r="AC15" i="38"/>
  <c r="AB15" i="38"/>
  <c r="AD15" i="38" s="1"/>
  <c r="AN15" i="38" s="1"/>
  <c r="Z15" i="38"/>
  <c r="AJ14" i="38"/>
  <c r="AI14" i="38"/>
  <c r="AL14" i="38" s="1"/>
  <c r="AF14" i="38"/>
  <c r="AE14" i="38"/>
  <c r="AM14" i="38" s="1"/>
  <c r="AC14" i="38"/>
  <c r="AB14" i="38"/>
  <c r="AD14" i="38" s="1"/>
  <c r="AN14" i="38" s="1"/>
  <c r="Z14" i="38"/>
  <c r="AJ13" i="38"/>
  <c r="AI13" i="38"/>
  <c r="AL13" i="38" s="1"/>
  <c r="AC13" i="38"/>
  <c r="AB13" i="38"/>
  <c r="AE13" i="38" s="1"/>
  <c r="AM13" i="38" s="1"/>
  <c r="Z13" i="38"/>
  <c r="AF13" i="38" s="1"/>
  <c r="AL12" i="38"/>
  <c r="AK12" i="38"/>
  <c r="AJ12" i="38"/>
  <c r="AI12" i="38"/>
  <c r="AC12" i="38"/>
  <c r="AD12" i="38" s="1"/>
  <c r="AB12" i="38"/>
  <c r="Z12" i="38"/>
  <c r="AJ11" i="38"/>
  <c r="AI11" i="38"/>
  <c r="AL11" i="38" s="1"/>
  <c r="AC11" i="38"/>
  <c r="AB11" i="38"/>
  <c r="AE11" i="38" s="1"/>
  <c r="AM11" i="38" s="1"/>
  <c r="Z11" i="38"/>
  <c r="AF11" i="38" s="1"/>
  <c r="AL10" i="38"/>
  <c r="AJ10" i="38"/>
  <c r="AI10" i="38"/>
  <c r="AK10" i="38" s="1"/>
  <c r="AC10" i="38"/>
  <c r="AB10" i="38"/>
  <c r="AE10" i="38" s="1"/>
  <c r="AM10" i="38" s="1"/>
  <c r="Z10" i="38"/>
  <c r="AJ9" i="38"/>
  <c r="AI9" i="38"/>
  <c r="AK9" i="38" s="1"/>
  <c r="AC9" i="38"/>
  <c r="AD9" i="38" s="1"/>
  <c r="AB9" i="38"/>
  <c r="AE9" i="38" s="1"/>
  <c r="Z9" i="38"/>
  <c r="AJ8" i="38"/>
  <c r="AK8" i="38" s="1"/>
  <c r="AI8" i="38"/>
  <c r="AC8" i="38"/>
  <c r="AB8" i="38"/>
  <c r="AE8" i="38" s="1"/>
  <c r="AL7" i="38"/>
  <c r="AK7" i="38"/>
  <c r="AJ7" i="38"/>
  <c r="AI7" i="38"/>
  <c r="AC7" i="38"/>
  <c r="AE7" i="38" s="1"/>
  <c r="AM7" i="38" s="1"/>
  <c r="AB7" i="38"/>
  <c r="Z7" i="38"/>
  <c r="AJ6" i="38"/>
  <c r="AI6" i="38"/>
  <c r="AL6" i="38" s="1"/>
  <c r="AC6" i="38"/>
  <c r="AB6" i="38"/>
  <c r="AE6" i="38" s="1"/>
  <c r="Z6" i="38"/>
  <c r="AQ25" i="45"/>
  <c r="AS25" i="45" s="1"/>
  <c r="AP25" i="45"/>
  <c r="AO25" i="45"/>
  <c r="AN25" i="45"/>
  <c r="AM25" i="45"/>
  <c r="AL25" i="45"/>
  <c r="AK25" i="45"/>
  <c r="AH25" i="45"/>
  <c r="AG25" i="45"/>
  <c r="AF25" i="45"/>
  <c r="AE25" i="45"/>
  <c r="AD25" i="45"/>
  <c r="AB25" i="45"/>
  <c r="Y25" i="45"/>
  <c r="W25" i="45"/>
  <c r="V25" i="45"/>
  <c r="T25" i="45"/>
  <c r="Z25" i="45" s="1"/>
  <c r="AR24" i="45"/>
  <c r="AQ24" i="45"/>
  <c r="AS24" i="45" s="1"/>
  <c r="AP24" i="45"/>
  <c r="AO24" i="45"/>
  <c r="AN24" i="45"/>
  <c r="AM24" i="45"/>
  <c r="AL24" i="45"/>
  <c r="AK24" i="45"/>
  <c r="AH24" i="45"/>
  <c r="AG24" i="45"/>
  <c r="AF24" i="45"/>
  <c r="AE24" i="45"/>
  <c r="AD24" i="45"/>
  <c r="AB24" i="45"/>
  <c r="Y24" i="45"/>
  <c r="W24" i="45"/>
  <c r="V24" i="45"/>
  <c r="T24" i="45"/>
  <c r="Z24" i="45" s="1"/>
  <c r="AS23" i="45"/>
  <c r="AR23" i="45"/>
  <c r="AQ23" i="45"/>
  <c r="AP23" i="45"/>
  <c r="AO23" i="45"/>
  <c r="AN23" i="45"/>
  <c r="AM23" i="45"/>
  <c r="AL23" i="45"/>
  <c r="AK23" i="45"/>
  <c r="AH23" i="45"/>
  <c r="AG23" i="45"/>
  <c r="AF23" i="45"/>
  <c r="AE23" i="45"/>
  <c r="AD23" i="45"/>
  <c r="Z23" i="45"/>
  <c r="Y23" i="45"/>
  <c r="AB23" i="45" s="1"/>
  <c r="W23" i="45"/>
  <c r="V23" i="45"/>
  <c r="T23" i="45"/>
  <c r="AQ22" i="45"/>
  <c r="AR22" i="45" s="1"/>
  <c r="AP22" i="45"/>
  <c r="AO22" i="45"/>
  <c r="AN22" i="45"/>
  <c r="AM22" i="45"/>
  <c r="AL22" i="45"/>
  <c r="AK22" i="45"/>
  <c r="AH22" i="45"/>
  <c r="AG22" i="45"/>
  <c r="AF22" i="45"/>
  <c r="AE22" i="45"/>
  <c r="AD22" i="45"/>
  <c r="Y22" i="45"/>
  <c r="W22" i="45"/>
  <c r="V22" i="45"/>
  <c r="T22" i="45"/>
  <c r="AQ21" i="45"/>
  <c r="AR21" i="45" s="1"/>
  <c r="AP21" i="45"/>
  <c r="AO21" i="45"/>
  <c r="AN21" i="45"/>
  <c r="AM21" i="45"/>
  <c r="AL21" i="45"/>
  <c r="AK21" i="45"/>
  <c r="AH21" i="45"/>
  <c r="AG21" i="45"/>
  <c r="AF21" i="45"/>
  <c r="AE21" i="45"/>
  <c r="AD21" i="45"/>
  <c r="AB21" i="45"/>
  <c r="Y21" i="45"/>
  <c r="AS21" i="45" s="1"/>
  <c r="W21" i="45"/>
  <c r="V21" i="45"/>
  <c r="T21" i="45"/>
  <c r="Z21" i="45" s="1"/>
  <c r="AS20" i="45"/>
  <c r="AR20" i="45"/>
  <c r="AQ20" i="45"/>
  <c r="AP20" i="45"/>
  <c r="AO20" i="45"/>
  <c r="AN20" i="45"/>
  <c r="AM20" i="45"/>
  <c r="AL20" i="45"/>
  <c r="AK20" i="45"/>
  <c r="AH20" i="45"/>
  <c r="AG20" i="45"/>
  <c r="AF20" i="45"/>
  <c r="AE20" i="45"/>
  <c r="AD20" i="45"/>
  <c r="AB20" i="45"/>
  <c r="Y20" i="45"/>
  <c r="W20" i="45"/>
  <c r="V20" i="45"/>
  <c r="T20" i="45"/>
  <c r="Z20" i="45" s="1"/>
  <c r="AS19" i="45"/>
  <c r="AR19" i="45"/>
  <c r="AQ19" i="45"/>
  <c r="AP19" i="45"/>
  <c r="AO19" i="45"/>
  <c r="AN19" i="45"/>
  <c r="AM19" i="45"/>
  <c r="AL19" i="45"/>
  <c r="AK19" i="45"/>
  <c r="AH19" i="45"/>
  <c r="AG19" i="45"/>
  <c r="AF19" i="45"/>
  <c r="AE19" i="45"/>
  <c r="AD19" i="45"/>
  <c r="Z19" i="45"/>
  <c r="Y19" i="45"/>
  <c r="AB19" i="45" s="1"/>
  <c r="W19" i="45"/>
  <c r="V19" i="45"/>
  <c r="T19" i="45"/>
  <c r="AQ18" i="45"/>
  <c r="AR18" i="45" s="1"/>
  <c r="AP18" i="45"/>
  <c r="AO18" i="45"/>
  <c r="AN18" i="45"/>
  <c r="AM18" i="45"/>
  <c r="AL18" i="45"/>
  <c r="AK18" i="45"/>
  <c r="AH18" i="45"/>
  <c r="AG18" i="45"/>
  <c r="AF18" i="45"/>
  <c r="AE18" i="45"/>
  <c r="AD18" i="45"/>
  <c r="Y18" i="45"/>
  <c r="W18" i="45"/>
  <c r="V18" i="45"/>
  <c r="T18" i="45"/>
  <c r="AQ17" i="45"/>
  <c r="AR17" i="45" s="1"/>
  <c r="AP17" i="45"/>
  <c r="AO17" i="45"/>
  <c r="AN17" i="45"/>
  <c r="AM17" i="45"/>
  <c r="AL17" i="45"/>
  <c r="AK17" i="45"/>
  <c r="AH17" i="45"/>
  <c r="AG17" i="45"/>
  <c r="AF17" i="45"/>
  <c r="AE17" i="45"/>
  <c r="AD17" i="45"/>
  <c r="AB17" i="45"/>
  <c r="Y17" i="45"/>
  <c r="AS17" i="45" s="1"/>
  <c r="W17" i="45"/>
  <c r="V17" i="45"/>
  <c r="T17" i="45"/>
  <c r="Z17" i="45" s="1"/>
  <c r="AS16" i="45"/>
  <c r="AR16" i="45"/>
  <c r="AQ16" i="45"/>
  <c r="AP16" i="45"/>
  <c r="AO16" i="45"/>
  <c r="AN16" i="45"/>
  <c r="AM16" i="45"/>
  <c r="AL16" i="45"/>
  <c r="AK16" i="45"/>
  <c r="AH16" i="45"/>
  <c r="AG16" i="45"/>
  <c r="AF16" i="45"/>
  <c r="AE16" i="45"/>
  <c r="AD16" i="45"/>
  <c r="AB16" i="45"/>
  <c r="Y16" i="45"/>
  <c r="W16" i="45"/>
  <c r="V16" i="45"/>
  <c r="T16" i="45"/>
  <c r="Z16" i="45" s="1"/>
  <c r="AQ15" i="45"/>
  <c r="AR15" i="45" s="1"/>
  <c r="AN15" i="45"/>
  <c r="AH15" i="45"/>
  <c r="AG15" i="45"/>
  <c r="AF15" i="45"/>
  <c r="AE15" i="45"/>
  <c r="AD15" i="45"/>
  <c r="Y15" i="45"/>
  <c r="AB15" i="45" s="1"/>
  <c r="W15" i="45"/>
  <c r="V15" i="45"/>
  <c r="T15" i="45"/>
  <c r="AQ14" i="45"/>
  <c r="AR14" i="45" s="1"/>
  <c r="AN14" i="45"/>
  <c r="AH14" i="45"/>
  <c r="AG14" i="45"/>
  <c r="AF14" i="45"/>
  <c r="AE14" i="45"/>
  <c r="AD14" i="45"/>
  <c r="Y14" i="45"/>
  <c r="W14" i="45"/>
  <c r="V14" i="45"/>
  <c r="T14" i="45"/>
  <c r="AQ13" i="45"/>
  <c r="AR13" i="45" s="1"/>
  <c r="AN13" i="45"/>
  <c r="AH13" i="45"/>
  <c r="AG13" i="45"/>
  <c r="AF13" i="45"/>
  <c r="AE13" i="45"/>
  <c r="AD13" i="45"/>
  <c r="AB13" i="45"/>
  <c r="Y13" i="45"/>
  <c r="AS13" i="45" s="1"/>
  <c r="W13" i="45"/>
  <c r="V13" i="45"/>
  <c r="T13" i="45"/>
  <c r="AQ12" i="45"/>
  <c r="AR12" i="45" s="1"/>
  <c r="AN12" i="45"/>
  <c r="AH12" i="45"/>
  <c r="AG12" i="45"/>
  <c r="AF12" i="45"/>
  <c r="AE12" i="45"/>
  <c r="AD12" i="45"/>
  <c r="Y12" i="45"/>
  <c r="AS12" i="45" s="1"/>
  <c r="W12" i="45"/>
  <c r="V12" i="45"/>
  <c r="T12" i="45"/>
  <c r="AQ11" i="45"/>
  <c r="AR11" i="45" s="1"/>
  <c r="AN11" i="45"/>
  <c r="AH11" i="45"/>
  <c r="AG11" i="45"/>
  <c r="AF11" i="45"/>
  <c r="AE11" i="45"/>
  <c r="AD11" i="45"/>
  <c r="Y11" i="45"/>
  <c r="AB11" i="45" s="1"/>
  <c r="W11" i="45"/>
  <c r="V11" i="45"/>
  <c r="T11" i="45"/>
  <c r="AQ10" i="45"/>
  <c r="AR10" i="45" s="1"/>
  <c r="AN10" i="45"/>
  <c r="AH10" i="45"/>
  <c r="AG10" i="45"/>
  <c r="AF10" i="45"/>
  <c r="AE10" i="45"/>
  <c r="AD10" i="45"/>
  <c r="Y10" i="45"/>
  <c r="AB10" i="45" s="1"/>
  <c r="W10" i="45"/>
  <c r="V10" i="45"/>
  <c r="T10" i="45"/>
  <c r="AQ9" i="45"/>
  <c r="AR9" i="45" s="1"/>
  <c r="AN9" i="45"/>
  <c r="AH9" i="45"/>
  <c r="AG9" i="45"/>
  <c r="AF9" i="45"/>
  <c r="AE9" i="45"/>
  <c r="AD9" i="45"/>
  <c r="Y9" i="45"/>
  <c r="W9" i="45"/>
  <c r="V9" i="45"/>
  <c r="T9" i="45"/>
  <c r="Z9" i="45" s="1"/>
  <c r="AQ8" i="45"/>
  <c r="AN8" i="45"/>
  <c r="AH8" i="45"/>
  <c r="AG8" i="45"/>
  <c r="AF8" i="45"/>
  <c r="AE8" i="45"/>
  <c r="AD8" i="45"/>
  <c r="AB8" i="45"/>
  <c r="Y8" i="45"/>
  <c r="W8" i="45"/>
  <c r="V8" i="45"/>
  <c r="T8" i="45"/>
  <c r="Z8" i="45" s="1"/>
  <c r="AQ7" i="45"/>
  <c r="AR7" i="45" s="1"/>
  <c r="AN7" i="45"/>
  <c r="AH7" i="45"/>
  <c r="AG7" i="45"/>
  <c r="AF7" i="45"/>
  <c r="AE7" i="45"/>
  <c r="AD7" i="45"/>
  <c r="Y7" i="45"/>
  <c r="AB7" i="45" s="1"/>
  <c r="W7" i="45"/>
  <c r="V7" i="45"/>
  <c r="T7" i="45"/>
  <c r="AQ6" i="45"/>
  <c r="AN6" i="45"/>
  <c r="AH6" i="45"/>
  <c r="AG6" i="45"/>
  <c r="AF6" i="45"/>
  <c r="AE6" i="45"/>
  <c r="AD6" i="45"/>
  <c r="Y6" i="45"/>
  <c r="W6" i="45"/>
  <c r="V6" i="45"/>
  <c r="T6" i="45"/>
  <c r="AG14" i="34" a="1"/>
  <c r="AH16" i="35" a="1"/>
  <c r="AA13" i="35" a="1"/>
  <c r="AA23" i="35" a="1"/>
  <c r="AH13" i="36" a="1"/>
  <c r="AA24" i="36" a="1"/>
  <c r="AA25" i="36" a="1"/>
  <c r="AA22" i="38" a="1"/>
  <c r="AH8" i="38" a="1"/>
  <c r="AH17" i="38" a="1"/>
  <c r="AA15" i="38" a="1"/>
  <c r="AH16" i="39" a="1"/>
  <c r="AA22" i="39" a="1"/>
  <c r="X21" i="45" a="1"/>
  <c r="X23" i="40" a="1"/>
  <c r="AC16" i="45" a="1"/>
  <c r="AC18" i="40" a="1"/>
  <c r="AC9" i="40" a="1"/>
  <c r="X25" i="40" a="1"/>
  <c r="X12" i="40" a="1"/>
  <c r="X17" i="45" a="1"/>
  <c r="AA12" i="35" a="1"/>
  <c r="AA19" i="38" a="1"/>
  <c r="AH25" i="35" a="1"/>
  <c r="AH17" i="39" a="1"/>
  <c r="AG13" i="34" a="1"/>
  <c r="AH23" i="36" a="1"/>
  <c r="AH17" i="36" a="1"/>
  <c r="AH6" i="36" a="1"/>
  <c r="AH19" i="38" a="1"/>
  <c r="AA9" i="38" a="1"/>
  <c r="AH16" i="38" a="1"/>
  <c r="AH8" i="39" a="1"/>
  <c r="AH22" i="39" a="1"/>
  <c r="X10" i="45" a="1"/>
  <c r="AG8" i="34" a="1"/>
  <c r="AA13" i="36" a="1"/>
  <c r="AH21" i="39" a="1"/>
  <c r="AA20" i="39" a="1"/>
  <c r="AC12" i="40" a="1"/>
  <c r="AC18" i="45" a="1"/>
  <c r="Z20" i="46" a="1"/>
  <c r="AC21" i="40" a="1"/>
  <c r="AC11" i="45" a="1"/>
  <c r="AG9" i="34" a="1"/>
  <c r="AH24" i="35" a="1"/>
  <c r="AA19" i="35" a="1"/>
  <c r="AA24" i="35" a="1"/>
  <c r="AA6" i="36" a="1"/>
  <c r="AA19" i="36" a="1"/>
  <c r="AA20" i="36" a="1"/>
  <c r="AH18" i="38" a="1"/>
  <c r="AA7" i="38" a="1"/>
  <c r="AA23" i="38" a="1"/>
  <c r="AH11" i="38" a="1"/>
  <c r="AH12" i="39" a="1"/>
  <c r="AA17" i="39" a="1"/>
  <c r="X18" i="40" a="1"/>
  <c r="AC12" i="45" a="1"/>
  <c r="X20" i="40" a="1"/>
  <c r="AC13" i="45" a="1"/>
  <c r="AA21" i="35" a="1"/>
  <c r="AA14" i="36" a="1"/>
  <c r="AH19" i="36" a="1"/>
  <c r="AA6" i="38" a="1"/>
  <c r="AH14" i="38" a="1"/>
  <c r="AH19" i="39" a="1"/>
  <c r="AH24" i="39" a="1"/>
  <c r="AC14" i="45" a="1"/>
  <c r="X9" i="45" a="1"/>
  <c r="AC20" i="45" a="1"/>
  <c r="AC25" i="45" a="1"/>
  <c r="X9" i="40" a="1"/>
  <c r="AC15" i="40" a="1"/>
  <c r="AC14" i="40" a="1"/>
  <c r="AA10" i="35" a="1"/>
  <c r="AH15" i="38" a="1"/>
  <c r="AC8" i="45" a="1"/>
  <c r="AC9" i="45" a="1"/>
  <c r="AC16" i="40" a="1"/>
  <c r="AC10" i="45" a="1"/>
  <c r="AH10" i="35" a="1"/>
  <c r="AH23" i="35" a="1"/>
  <c r="AH11" i="39" a="1"/>
  <c r="Z21" i="46" a="1"/>
  <c r="X15" i="45" a="1"/>
  <c r="AH22" i="35" a="1"/>
  <c r="AA16" i="36" a="1"/>
  <c r="AH12" i="36" a="1"/>
  <c r="AH20" i="38" a="1"/>
  <c r="AG5" i="34" a="1"/>
  <c r="AH9" i="35" a="1"/>
  <c r="AA25" i="35" a="1"/>
  <c r="AA9" i="35" a="1"/>
  <c r="AH14" i="36" a="1"/>
  <c r="AH15" i="36" a="1"/>
  <c r="AH16" i="36" a="1"/>
  <c r="AA10" i="38" a="1"/>
  <c r="AA16" i="38" a="1"/>
  <c r="AA21" i="38" a="1"/>
  <c r="AH6" i="38" a="1"/>
  <c r="AH9" i="39" a="1"/>
  <c r="AA24" i="39" a="1"/>
  <c r="X24" i="40" a="1"/>
  <c r="AC24" i="40" a="1"/>
  <c r="X22" i="40" a="1"/>
  <c r="X15" i="40" a="1"/>
  <c r="AC8" i="40" a="1"/>
  <c r="X23" i="45" a="1"/>
  <c r="AC6" i="45" a="1"/>
  <c r="AH13" i="35" a="1"/>
  <c r="AA17" i="35" a="1"/>
  <c r="AH20" i="36" a="1"/>
  <c r="AH24" i="36" a="1"/>
  <c r="AH24" i="38" a="1"/>
  <c r="AA25" i="38" a="1"/>
  <c r="AH13" i="39" a="1"/>
  <c r="AH23" i="39" a="1"/>
  <c r="AC23" i="45" a="1"/>
  <c r="X13" i="45" a="1"/>
  <c r="X14" i="40" a="1"/>
  <c r="AC19" i="45" a="1"/>
  <c r="AC13" i="40" a="1"/>
  <c r="X7" i="45" a="1"/>
  <c r="AG12" i="34" a="1"/>
  <c r="AG7" i="34" a="1"/>
  <c r="AH8" i="36" a="1"/>
  <c r="X12" i="45" a="1"/>
  <c r="X14" i="45" a="1"/>
  <c r="X8" i="45" a="1"/>
  <c r="AH20" i="35" a="1"/>
  <c r="X13" i="40" a="1"/>
  <c r="AG11" i="34" a="1"/>
  <c r="AA8" i="38" a="1"/>
  <c r="X19" i="40" a="1"/>
  <c r="AC22" i="45" a="1"/>
  <c r="AH12" i="35" a="1"/>
  <c r="AA21" i="36" a="1"/>
  <c r="AH20" i="39" a="1"/>
  <c r="X10" i="40" a="1"/>
  <c r="X17" i="40" a="1"/>
  <c r="AH8" i="35" a="1"/>
  <c r="AH7" i="35" a="1"/>
  <c r="AH15" i="35" a="1"/>
  <c r="AA15" i="35" a="1"/>
  <c r="AA22" i="35" a="1"/>
  <c r="AH25" i="36" a="1"/>
  <c r="AH9" i="36" a="1"/>
  <c r="AA8" i="36" a="1"/>
  <c r="AH13" i="38" a="1"/>
  <c r="AH12" i="38" a="1"/>
  <c r="AH7" i="38" a="1"/>
  <c r="AH7" i="39" a="1"/>
  <c r="AH10" i="39" a="1"/>
  <c r="X22" i="45" a="1"/>
  <c r="X16" i="40" a="1"/>
  <c r="X16" i="45" a="1"/>
  <c r="X18" i="45" a="1"/>
  <c r="X24" i="45" a="1"/>
  <c r="AC11" i="40" a="1"/>
  <c r="AG6" i="34" a="1"/>
  <c r="AA18" i="35" a="1"/>
  <c r="AH22" i="36" a="1"/>
  <c r="AA24" i="38" a="1"/>
  <c r="AH17" i="35" a="1"/>
  <c r="AH9" i="38" a="1"/>
  <c r="X20" i="45" a="1"/>
  <c r="AH11" i="36" a="1"/>
  <c r="AC19" i="40" a="1"/>
  <c r="AC24" i="45" a="1"/>
  <c r="AC7" i="40" a="1"/>
  <c r="AC7" i="45" a="1"/>
  <c r="AH21" i="35" a="1"/>
  <c r="X19" i="45" a="1"/>
  <c r="AH19" i="35" a="1"/>
  <c r="AA23" i="36" a="1"/>
  <c r="AH18" i="36" a="1"/>
  <c r="AH18" i="39" a="1"/>
  <c r="AC22" i="40" a="1"/>
  <c r="AC25" i="40" a="1"/>
  <c r="AC17" i="40" a="1"/>
  <c r="AG10" i="34" a="1"/>
  <c r="AC6" i="40" a="1"/>
  <c r="AH7" i="36" a="1"/>
  <c r="AA12" i="36" a="1"/>
  <c r="AH18" i="35" a="1"/>
  <c r="AH11" i="35" a="1"/>
  <c r="AA14" i="35" a="1"/>
  <c r="AA22" i="36" a="1"/>
  <c r="AA15" i="36" a="1"/>
  <c r="AA11" i="38" a="1"/>
  <c r="AA18" i="38" a="1"/>
  <c r="AH14" i="39" a="1"/>
  <c r="Z24" i="46" a="1"/>
  <c r="Z22" i="46" a="1"/>
  <c r="X11" i="40" a="1"/>
  <c r="AC21" i="45" a="1"/>
  <c r="AA20" i="35" a="1"/>
  <c r="AA6" i="35" a="1"/>
  <c r="AH10" i="36" a="1"/>
  <c r="AA11" i="36" a="1"/>
  <c r="AA17" i="38" a="1"/>
  <c r="AA20" i="38" a="1"/>
  <c r="AH25" i="39" a="1"/>
  <c r="AC17" i="45" a="1"/>
  <c r="AA7" i="36" a="1"/>
  <c r="AC10" i="40" a="1"/>
  <c r="AC15" i="45" a="1"/>
  <c r="X6" i="45" a="1"/>
  <c r="X11" i="45" a="1"/>
  <c r="AA9" i="36" a="1"/>
  <c r="AA13" i="38" a="1"/>
  <c r="X6" i="40" a="1"/>
  <c r="AA8" i="35" a="1"/>
  <c r="AH21" i="36" a="1"/>
  <c r="AA11" i="35" a="1"/>
  <c r="AH10" i="38" a="1"/>
  <c r="AH25" i="38" a="1"/>
  <c r="AH6" i="35" a="1"/>
  <c r="AA10" i="36" a="1"/>
  <c r="AA7" i="35" a="1"/>
  <c r="AG15" i="34" a="1"/>
  <c r="AA18" i="36" a="1"/>
  <c r="AH22" i="38" a="1"/>
  <c r="X8" i="40" a="1"/>
  <c r="X7" i="40" a="1"/>
  <c r="X21" i="40" a="1"/>
  <c r="X25" i="45" a="1"/>
  <c r="AA17" i="36" a="1"/>
  <c r="AA16" i="35" a="1"/>
  <c r="AA14" i="38" a="1"/>
  <c r="AH21" i="38" a="1"/>
  <c r="AH15" i="39" a="1"/>
  <c r="AH6" i="39" a="1"/>
  <c r="AC23" i="40" a="1"/>
  <c r="AC20" i="40" a="1"/>
  <c r="AH14" i="35" a="1"/>
  <c r="AH23" i="38" a="1"/>
  <c r="AA12" i="38" a="1"/>
  <c r="Z16" i="46" a="1"/>
  <c r="AE9" i="46" a="1"/>
  <c r="AE19" i="46" a="1"/>
  <c r="AE10" i="46" a="1"/>
  <c r="AE7" i="46" a="1"/>
  <c r="AE16" i="46" a="1"/>
  <c r="AE14" i="46" a="1"/>
  <c r="AE18" i="46" a="1"/>
  <c r="AE22" i="46" a="1"/>
  <c r="AE24" i="46" a="1"/>
  <c r="AE15" i="46" a="1"/>
  <c r="AE25" i="46" a="1"/>
  <c r="AE13" i="46" a="1"/>
  <c r="AE20" i="46" a="1"/>
  <c r="AE6" i="46" a="1"/>
  <c r="AE23" i="46" a="1"/>
  <c r="AE17" i="46" a="1"/>
  <c r="AE12" i="46" a="1"/>
  <c r="AE11" i="46" a="1"/>
  <c r="AE8" i="46" a="1"/>
  <c r="AE21" i="46" a="1"/>
  <c r="F8" i="50" a="1"/>
  <c r="J9" i="50" a="1"/>
  <c r="N10" i="50" a="1"/>
  <c r="F6" i="50" a="1"/>
  <c r="H10" i="50" a="1"/>
  <c r="L6" i="50" a="1"/>
  <c r="J5" i="50" a="1"/>
  <c r="F4" i="50" a="1"/>
  <c r="L10" i="50" a="1"/>
  <c r="H9" i="50" a="1"/>
  <c r="F7" i="50" a="1"/>
  <c r="H6" i="50" a="1"/>
  <c r="L9" i="50" a="1"/>
  <c r="J7" i="50" a="1"/>
  <c r="H5" i="50" a="1"/>
  <c r="L7" i="50" a="1"/>
  <c r="H8" i="50" a="1"/>
  <c r="F9" i="50" a="1"/>
  <c r="F10" i="50" a="1"/>
  <c r="L4" i="50" a="1"/>
  <c r="J8" i="50" a="1"/>
  <c r="J4" i="50" a="1"/>
  <c r="H4" i="50" a="1"/>
  <c r="J6" i="50" a="1"/>
  <c r="L8" i="50" a="1"/>
  <c r="L5" i="50" a="1"/>
  <c r="H7" i="50" a="1"/>
  <c r="F5" i="50" a="1"/>
  <c r="P10" i="50" a="1"/>
  <c r="J10" i="50" a="1"/>
  <c r="P10" i="50" l="1"/>
  <c r="N10" i="50"/>
  <c r="AJ20" i="45"/>
  <c r="AI22" i="45"/>
  <c r="AI18" i="45"/>
  <c r="J10" i="50"/>
  <c r="J8" i="50"/>
  <c r="J9" i="50"/>
  <c r="J7" i="50"/>
  <c r="J6" i="50"/>
  <c r="J5" i="50"/>
  <c r="L8" i="50"/>
  <c r="L7" i="50"/>
  <c r="L10" i="50"/>
  <c r="L6" i="50"/>
  <c r="L9" i="50"/>
  <c r="L5" i="50"/>
  <c r="H9" i="50"/>
  <c r="H7" i="50"/>
  <c r="H10" i="50"/>
  <c r="H6" i="50"/>
  <c r="H8" i="50"/>
  <c r="H5" i="50"/>
  <c r="F8" i="50"/>
  <c r="F7" i="50"/>
  <c r="F10" i="50"/>
  <c r="F6" i="50"/>
  <c r="F9" i="50"/>
  <c r="F5" i="50"/>
  <c r="L4" i="50"/>
  <c r="J4" i="50"/>
  <c r="H4" i="50"/>
  <c r="F4" i="50"/>
  <c r="AJ24" i="45"/>
  <c r="AJ25" i="45"/>
  <c r="T36" i="41"/>
  <c r="T38" i="41"/>
  <c r="T37" i="41"/>
  <c r="T62" i="41"/>
  <c r="T20" i="41"/>
  <c r="T49" i="41"/>
  <c r="T13" i="41"/>
  <c r="T30" i="41"/>
  <c r="T65" i="41"/>
  <c r="T59" i="41"/>
  <c r="T53" i="41"/>
  <c r="T47" i="41"/>
  <c r="T41" i="41"/>
  <c r="T35" i="41"/>
  <c r="T29" i="41"/>
  <c r="T23" i="41"/>
  <c r="T17" i="41"/>
  <c r="T11" i="41"/>
  <c r="T5" i="41"/>
  <c r="T56" i="41"/>
  <c r="T26" i="41"/>
  <c r="T43" i="41"/>
  <c r="T7" i="41"/>
  <c r="T24" i="41"/>
  <c r="T68" i="41"/>
  <c r="T32" i="41"/>
  <c r="T67" i="41"/>
  <c r="T19" i="41"/>
  <c r="T66" i="41"/>
  <c r="T60" i="41"/>
  <c r="T54" i="41"/>
  <c r="T48" i="41"/>
  <c r="T42" i="41"/>
  <c r="T6" i="41"/>
  <c r="T64" i="41"/>
  <c r="T58" i="41"/>
  <c r="T52" i="41"/>
  <c r="T46" i="41"/>
  <c r="T40" i="41"/>
  <c r="T34" i="41"/>
  <c r="T28" i="41"/>
  <c r="T22" i="41"/>
  <c r="T16" i="41"/>
  <c r="T10" i="41"/>
  <c r="T4" i="41"/>
  <c r="T44" i="41"/>
  <c r="T8" i="41"/>
  <c r="T55" i="41"/>
  <c r="T25" i="41"/>
  <c r="T12" i="41"/>
  <c r="T50" i="41"/>
  <c r="T14" i="41"/>
  <c r="T61" i="41"/>
  <c r="T31" i="41"/>
  <c r="T18" i="41"/>
  <c r="T69" i="41"/>
  <c r="T63" i="41"/>
  <c r="T57" i="41"/>
  <c r="T51" i="41"/>
  <c r="T45" i="41"/>
  <c r="T39" i="41"/>
  <c r="T33" i="41"/>
  <c r="T27" i="41"/>
  <c r="T21" i="41"/>
  <c r="T15" i="41"/>
  <c r="T9" i="41"/>
  <c r="T3" i="41"/>
  <c r="T2" i="41"/>
  <c r="AG9" i="34"/>
  <c r="AG14" i="34"/>
  <c r="AG8" i="34"/>
  <c r="AG10" i="34"/>
  <c r="AG15" i="34"/>
  <c r="AG11" i="34"/>
  <c r="AG13" i="34"/>
  <c r="AG7" i="34"/>
  <c r="AG12" i="34"/>
  <c r="AG6" i="34"/>
  <c r="AG5" i="34"/>
  <c r="AH12" i="35"/>
  <c r="AH11" i="35"/>
  <c r="AH10" i="35"/>
  <c r="AH18" i="35"/>
  <c r="AH17" i="35"/>
  <c r="AH21" i="35"/>
  <c r="AH15" i="35"/>
  <c r="AH9" i="35"/>
  <c r="AH24" i="35"/>
  <c r="AH16" i="35"/>
  <c r="AH14" i="35"/>
  <c r="AH8" i="35"/>
  <c r="AH22" i="35"/>
  <c r="AH23" i="35"/>
  <c r="AH20" i="35"/>
  <c r="AH25" i="35"/>
  <c r="AH19" i="35"/>
  <c r="AH13" i="35"/>
  <c r="AH7" i="35"/>
  <c r="AH6" i="35"/>
  <c r="AA12" i="35"/>
  <c r="AA17" i="35"/>
  <c r="AA22" i="35"/>
  <c r="AA9" i="35"/>
  <c r="AA24" i="35"/>
  <c r="AA23" i="35"/>
  <c r="AA11" i="35"/>
  <c r="AA16" i="35"/>
  <c r="AA20" i="35"/>
  <c r="AA14" i="35"/>
  <c r="AA8" i="35"/>
  <c r="AA10" i="35"/>
  <c r="AA21" i="35"/>
  <c r="AA18" i="35"/>
  <c r="AA15" i="35"/>
  <c r="AA25" i="35"/>
  <c r="AA19" i="35"/>
  <c r="AA13" i="35"/>
  <c r="AA7" i="35"/>
  <c r="AA6" i="35"/>
  <c r="AL26" i="35"/>
  <c r="AM6" i="35"/>
  <c r="AN12" i="35"/>
  <c r="AN11" i="35"/>
  <c r="AN26" i="35" a="1"/>
  <c r="AN26" i="35" s="1"/>
  <c r="AF8" i="35"/>
  <c r="AN8" i="35"/>
  <c r="AK20" i="35"/>
  <c r="AK25" i="35"/>
  <c r="AD17" i="35"/>
  <c r="AN17" i="35" s="1"/>
  <c r="AD22" i="35"/>
  <c r="AN22" i="35" s="1"/>
  <c r="AK23" i="35"/>
  <c r="AK13" i="35"/>
  <c r="AD10" i="35"/>
  <c r="AN10" i="35" s="1"/>
  <c r="AD20" i="35"/>
  <c r="AN20" i="35" s="1"/>
  <c r="AD25" i="35"/>
  <c r="AN25" i="35" s="1"/>
  <c r="Z26" i="35"/>
  <c r="AE12" i="35"/>
  <c r="AM12" i="35" s="1"/>
  <c r="AK6" i="35"/>
  <c r="AL18" i="35"/>
  <c r="AE15" i="35"/>
  <c r="AM15" i="35" s="1"/>
  <c r="AK16" i="35"/>
  <c r="AE8" i="35"/>
  <c r="AM8" i="35" s="1"/>
  <c r="AK9" i="35"/>
  <c r="AD13" i="35"/>
  <c r="AN13" i="35" s="1"/>
  <c r="AK21" i="35"/>
  <c r="AK14" i="35"/>
  <c r="AD18" i="35"/>
  <c r="AN18" i="35" s="1"/>
  <c r="AD23" i="35"/>
  <c r="AK19" i="35"/>
  <c r="AD16" i="35"/>
  <c r="AN16" i="35" s="1"/>
  <c r="AD7" i="35"/>
  <c r="AN7" i="35" s="1"/>
  <c r="AK8" i="35"/>
  <c r="AK11" i="35"/>
  <c r="AD9" i="35"/>
  <c r="AN9" i="35" s="1"/>
  <c r="AK17" i="35"/>
  <c r="AD21" i="35"/>
  <c r="AN21" i="35" s="1"/>
  <c r="AH11" i="36"/>
  <c r="AA18" i="36"/>
  <c r="AA23" i="36"/>
  <c r="AH6" i="36"/>
  <c r="AA11" i="36"/>
  <c r="AH19" i="36"/>
  <c r="AH24" i="36"/>
  <c r="AA8" i="36"/>
  <c r="AH16" i="36"/>
  <c r="AA20" i="36"/>
  <c r="AA25" i="36"/>
  <c r="AA13" i="36"/>
  <c r="AH21" i="36"/>
  <c r="AA21" i="36"/>
  <c r="AA15" i="36"/>
  <c r="AH17" i="36"/>
  <c r="AH10" i="36"/>
  <c r="AA14" i="36"/>
  <c r="AH22" i="36"/>
  <c r="AH9" i="36"/>
  <c r="AH15" i="36"/>
  <c r="AA19" i="36"/>
  <c r="AA24" i="36"/>
  <c r="AH7" i="36"/>
  <c r="AH12" i="36"/>
  <c r="AA16" i="36"/>
  <c r="AA9" i="36"/>
  <c r="AA7" i="36"/>
  <c r="AH8" i="36"/>
  <c r="AA12" i="36"/>
  <c r="AH20" i="36"/>
  <c r="AH25" i="36"/>
  <c r="AH14" i="36"/>
  <c r="AA6" i="36"/>
  <c r="AH13" i="36"/>
  <c r="AA17" i="36"/>
  <c r="AA10" i="36"/>
  <c r="AH18" i="36"/>
  <c r="AA22" i="36"/>
  <c r="AH23" i="36"/>
  <c r="AM8" i="36"/>
  <c r="AN10" i="36"/>
  <c r="AF10" i="36"/>
  <c r="AM14" i="36"/>
  <c r="AF6" i="36"/>
  <c r="AN20" i="36"/>
  <c r="AN14" i="36"/>
  <c r="AF14" i="36"/>
  <c r="AM6" i="36"/>
  <c r="AE17" i="36"/>
  <c r="AM17" i="36" s="1"/>
  <c r="AD22" i="36"/>
  <c r="AN22" i="36" s="1"/>
  <c r="AK23" i="36"/>
  <c r="AK8" i="36"/>
  <c r="AE10" i="36"/>
  <c r="AM10" i="36" s="1"/>
  <c r="AK11" i="36"/>
  <c r="AD15" i="36"/>
  <c r="AN15" i="36" s="1"/>
  <c r="AL18" i="36"/>
  <c r="AD25" i="36"/>
  <c r="Z26" i="36"/>
  <c r="AD7" i="36"/>
  <c r="AK20" i="36"/>
  <c r="AE20" i="36"/>
  <c r="AM20" i="36" s="1"/>
  <c r="AK21" i="36"/>
  <c r="AD12" i="36"/>
  <c r="AK25" i="36"/>
  <c r="AD13" i="36"/>
  <c r="AN13" i="36" s="1"/>
  <c r="AL16" i="36"/>
  <c r="AL26" i="36" s="1"/>
  <c r="AL9" i="36"/>
  <c r="AM9" i="36" s="1"/>
  <c r="AK14" i="36"/>
  <c r="AD18" i="36"/>
  <c r="AN18" i="36" s="1"/>
  <c r="AD23" i="36"/>
  <c r="AK13" i="36"/>
  <c r="AD6" i="36"/>
  <c r="AD11" i="36"/>
  <c r="AN11" i="36" s="1"/>
  <c r="AK19" i="36"/>
  <c r="AK24" i="36"/>
  <c r="AD8" i="36"/>
  <c r="AK6" i="36"/>
  <c r="AD21" i="36"/>
  <c r="AN21" i="36" s="1"/>
  <c r="AH6" i="38"/>
  <c r="AH11" i="38"/>
  <c r="AA15" i="38"/>
  <c r="AA13" i="38"/>
  <c r="AH21" i="38"/>
  <c r="AH9" i="38"/>
  <c r="AA18" i="38"/>
  <c r="AH16" i="38"/>
  <c r="AA20" i="38"/>
  <c r="AH14" i="38"/>
  <c r="AA25" i="38"/>
  <c r="AH7" i="38"/>
  <c r="AA21" i="38"/>
  <c r="AA23" i="38"/>
  <c r="AH17" i="38"/>
  <c r="AH10" i="38"/>
  <c r="AA14" i="38"/>
  <c r="AH22" i="38"/>
  <c r="AA8" i="38"/>
  <c r="AA9" i="38"/>
  <c r="AH15" i="38"/>
  <c r="AA19" i="38"/>
  <c r="AA24" i="38"/>
  <c r="AH12" i="38"/>
  <c r="AA16" i="38"/>
  <c r="AA7" i="38"/>
  <c r="AH8" i="38"/>
  <c r="AA12" i="38"/>
  <c r="AH20" i="38"/>
  <c r="AH25" i="38"/>
  <c r="AA11" i="38"/>
  <c r="AH19" i="38"/>
  <c r="AA17" i="38"/>
  <c r="AA6" i="38"/>
  <c r="AH24" i="38"/>
  <c r="AH13" i="38"/>
  <c r="AA10" i="38"/>
  <c r="AH18" i="38"/>
  <c r="AA22" i="38"/>
  <c r="AH23" i="38"/>
  <c r="AM6" i="38"/>
  <c r="AF6" i="38"/>
  <c r="AM8" i="38"/>
  <c r="AN20" i="38"/>
  <c r="AN19" i="38"/>
  <c r="AN9" i="38"/>
  <c r="AF9" i="38"/>
  <c r="AF12" i="38"/>
  <c r="AN12" i="38"/>
  <c r="AL8" i="38"/>
  <c r="AL26" i="38" s="1"/>
  <c r="AK13" i="38"/>
  <c r="AD17" i="38"/>
  <c r="AN17" i="38" s="1"/>
  <c r="AE12" i="38"/>
  <c r="AM12" i="38" s="1"/>
  <c r="AK18" i="38"/>
  <c r="AK6" i="38"/>
  <c r="AK26" i="38" s="1"/>
  <c r="AK20" i="38"/>
  <c r="AD22" i="38"/>
  <c r="AN22" i="38" s="1"/>
  <c r="Z26" i="38"/>
  <c r="AD7" i="38"/>
  <c r="AD10" i="38"/>
  <c r="AK11" i="38"/>
  <c r="AD8" i="38"/>
  <c r="AE15" i="38"/>
  <c r="AM15" i="38" s="1"/>
  <c r="AE25" i="38"/>
  <c r="AM25" i="38" s="1"/>
  <c r="AD13" i="38"/>
  <c r="AN13" i="38" s="1"/>
  <c r="AL16" i="38"/>
  <c r="AL9" i="38"/>
  <c r="AM9" i="38" s="1"/>
  <c r="AK14" i="38"/>
  <c r="AD18" i="38"/>
  <c r="AN18" i="38" s="1"/>
  <c r="AL21" i="38"/>
  <c r="AM21" i="38" s="1"/>
  <c r="AD23" i="38"/>
  <c r="AE20" i="38"/>
  <c r="AM20" i="38" s="1"/>
  <c r="AD6" i="38"/>
  <c r="AD11" i="38"/>
  <c r="AN11" i="38" s="1"/>
  <c r="AK19" i="38"/>
  <c r="AK24" i="38"/>
  <c r="AD16" i="38"/>
  <c r="AN16" i="38" s="1"/>
  <c r="AK17" i="38"/>
  <c r="AD21" i="38"/>
  <c r="AN21" i="38" s="1"/>
  <c r="AH18" i="39"/>
  <c r="AH11" i="39"/>
  <c r="AH22" i="39"/>
  <c r="AH17" i="39"/>
  <c r="AH24" i="39"/>
  <c r="AH23" i="39"/>
  <c r="AH10" i="39"/>
  <c r="AH9" i="39"/>
  <c r="AH12" i="39"/>
  <c r="AH16" i="39"/>
  <c r="AH21" i="39"/>
  <c r="AH15" i="39"/>
  <c r="AH20" i="39"/>
  <c r="AH14" i="39"/>
  <c r="AH8" i="39"/>
  <c r="AH25" i="39"/>
  <c r="AH19" i="39"/>
  <c r="AH13" i="39"/>
  <c r="AH7" i="39"/>
  <c r="AH6" i="39"/>
  <c r="AA24" i="39"/>
  <c r="AA17" i="39"/>
  <c r="AA22" i="39"/>
  <c r="AA20" i="39"/>
  <c r="AJ9" i="45"/>
  <c r="AJ16" i="45"/>
  <c r="AJ13" i="45"/>
  <c r="AI14" i="45"/>
  <c r="AJ17" i="45"/>
  <c r="AJ10" i="45"/>
  <c r="AJ21" i="45"/>
  <c r="AI10" i="45"/>
  <c r="AI17" i="45"/>
  <c r="AJ18" i="45"/>
  <c r="AI21" i="45"/>
  <c r="AJ22" i="45"/>
  <c r="Z6" i="45"/>
  <c r="AQ26" i="45"/>
  <c r="AJ8" i="45"/>
  <c r="AI9" i="45"/>
  <c r="AS11" i="45"/>
  <c r="AJ14" i="45"/>
  <c r="AB12" i="45"/>
  <c r="Z7" i="45"/>
  <c r="AJ6" i="45"/>
  <c r="AI7" i="45"/>
  <c r="AS9" i="45"/>
  <c r="Z12" i="45"/>
  <c r="AS15" i="45"/>
  <c r="AB9" i="45"/>
  <c r="AJ12" i="45"/>
  <c r="Z13" i="45"/>
  <c r="AC9" i="45"/>
  <c r="X10" i="45"/>
  <c r="AC8" i="45"/>
  <c r="X6" i="45"/>
  <c r="X7" i="45"/>
  <c r="X11" i="45"/>
  <c r="AC13" i="45"/>
  <c r="X15" i="45"/>
  <c r="AC17" i="45"/>
  <c r="X19" i="45"/>
  <c r="AC21" i="45"/>
  <c r="X23" i="45"/>
  <c r="AC25" i="45"/>
  <c r="X12" i="45"/>
  <c r="AC14" i="45"/>
  <c r="X16" i="45"/>
  <c r="AC18" i="45"/>
  <c r="X20" i="45"/>
  <c r="AC22" i="45"/>
  <c r="X24" i="45"/>
  <c r="AC11" i="45"/>
  <c r="X13" i="45"/>
  <c r="AC15" i="45"/>
  <c r="X17" i="45"/>
  <c r="AC19" i="45"/>
  <c r="X21" i="45"/>
  <c r="AC23" i="45"/>
  <c r="X25" i="45"/>
  <c r="AC6" i="45"/>
  <c r="X8" i="45"/>
  <c r="AC10" i="45"/>
  <c r="AC7" i="45"/>
  <c r="X9" i="45"/>
  <c r="AC12" i="45"/>
  <c r="X14" i="45"/>
  <c r="AC16" i="45"/>
  <c r="X18" i="45"/>
  <c r="AC20" i="45"/>
  <c r="X22" i="45"/>
  <c r="AC24" i="45"/>
  <c r="AS7" i="45"/>
  <c r="AI15" i="45"/>
  <c r="AJ15" i="45"/>
  <c r="AS14" i="45"/>
  <c r="AB14" i="45"/>
  <c r="Z14" i="45"/>
  <c r="AS18" i="45"/>
  <c r="AB18" i="45"/>
  <c r="Z18" i="45"/>
  <c r="AI6" i="45"/>
  <c r="AS22" i="45"/>
  <c r="AB22" i="45"/>
  <c r="Z22" i="45"/>
  <c r="AB6" i="45"/>
  <c r="Y26" i="45"/>
  <c r="AS8" i="45"/>
  <c r="AR8" i="45"/>
  <c r="AS10" i="45"/>
  <c r="AS6" i="45"/>
  <c r="Z10" i="45"/>
  <c r="AI19" i="45"/>
  <c r="AJ19" i="45"/>
  <c r="AJ11" i="45"/>
  <c r="AI11" i="45"/>
  <c r="AI23" i="45"/>
  <c r="AJ23" i="45"/>
  <c r="AJ7" i="45"/>
  <c r="Z11" i="45"/>
  <c r="Z15" i="45"/>
  <c r="AI12" i="45"/>
  <c r="AI16" i="45"/>
  <c r="AI20" i="45"/>
  <c r="AI24" i="45"/>
  <c r="AR25" i="45"/>
  <c r="AI8" i="45"/>
  <c r="AR6" i="45"/>
  <c r="AI13" i="45"/>
  <c r="AI25" i="45"/>
  <c r="Z16" i="46"/>
  <c r="AE20" i="46"/>
  <c r="AE8" i="46"/>
  <c r="AE14" i="46"/>
  <c r="AE16" i="46"/>
  <c r="AE11" i="46"/>
  <c r="AE9" i="46"/>
  <c r="AE23" i="46"/>
  <c r="AE21" i="46"/>
  <c r="AE18" i="46"/>
  <c r="AE19" i="46"/>
  <c r="AE15" i="46"/>
  <c r="AE10" i="46"/>
  <c r="AE22" i="46"/>
  <c r="AE17" i="46"/>
  <c r="AE6" i="46"/>
  <c r="AE12" i="46"/>
  <c r="AE24" i="46"/>
  <c r="AE7" i="46"/>
  <c r="AE13" i="46"/>
  <c r="AE25" i="46"/>
  <c r="Z20" i="46"/>
  <c r="Z21" i="46"/>
  <c r="Z22" i="46"/>
  <c r="Z24" i="46"/>
  <c r="X7" i="40"/>
  <c r="X12" i="40"/>
  <c r="X17" i="40"/>
  <c r="X22" i="40"/>
  <c r="X9" i="40"/>
  <c r="X18" i="40"/>
  <c r="X11" i="40"/>
  <c r="X16" i="40"/>
  <c r="X15" i="40"/>
  <c r="X8" i="40"/>
  <c r="X24" i="40"/>
  <c r="X10" i="40"/>
  <c r="X14" i="40"/>
  <c r="X23" i="40"/>
  <c r="X21" i="40"/>
  <c r="X20" i="40"/>
  <c r="X25" i="40"/>
  <c r="X19" i="40"/>
  <c r="X13" i="40"/>
  <c r="X6" i="40"/>
  <c r="AC10" i="40"/>
  <c r="AC8" i="40"/>
  <c r="AC20" i="40"/>
  <c r="AC9" i="40"/>
  <c r="AC15" i="40"/>
  <c r="AC21" i="40"/>
  <c r="AC6" i="40"/>
  <c r="AC12" i="40"/>
  <c r="AC18" i="40"/>
  <c r="AC24" i="40"/>
  <c r="AC11" i="40"/>
  <c r="AC14" i="40"/>
  <c r="AC16" i="40"/>
  <c r="AC22" i="40"/>
  <c r="AC17" i="40"/>
  <c r="AC7" i="40"/>
  <c r="AC13" i="40"/>
  <c r="AC19" i="40"/>
  <c r="AC25" i="40"/>
  <c r="AC23" i="40"/>
  <c r="AA11" i="46"/>
  <c r="AA12" i="46"/>
  <c r="AA13" i="46"/>
  <c r="AA14" i="46"/>
  <c r="AA15" i="46"/>
  <c r="AA16" i="46"/>
  <c r="AB16" i="46" s="1"/>
  <c r="Y7" i="46"/>
  <c r="Y8" i="46"/>
  <c r="Y9" i="46"/>
  <c r="Y10" i="46"/>
  <c r="Y11" i="46"/>
  <c r="Y12" i="46"/>
  <c r="Y13" i="46"/>
  <c r="Y14" i="46"/>
  <c r="Y15" i="46"/>
  <c r="Y16" i="46"/>
  <c r="Y17" i="46"/>
  <c r="Y18" i="46"/>
  <c r="Y19" i="46"/>
  <c r="Y20" i="46"/>
  <c r="Y21" i="46"/>
  <c r="Y22" i="46"/>
  <c r="Y23" i="46"/>
  <c r="Y24" i="46"/>
  <c r="Y25" i="46"/>
  <c r="Y6" i="46"/>
  <c r="X8" i="46"/>
  <c r="X9" i="46"/>
  <c r="X10" i="46"/>
  <c r="X11" i="46"/>
  <c r="X12" i="46"/>
  <c r="X13" i="46"/>
  <c r="X14" i="46"/>
  <c r="X15" i="46"/>
  <c r="X16" i="46"/>
  <c r="X17" i="46"/>
  <c r="X18" i="46"/>
  <c r="X19" i="46"/>
  <c r="X20" i="46"/>
  <c r="X21" i="46"/>
  <c r="X22" i="46"/>
  <c r="X23" i="46"/>
  <c r="X24" i="46"/>
  <c r="X25" i="46"/>
  <c r="X6" i="46"/>
  <c r="X7" i="46"/>
  <c r="W77" i="41"/>
  <c r="Y77" i="41"/>
  <c r="U77" i="41"/>
  <c r="Z77" i="41"/>
  <c r="U76" i="41"/>
  <c r="Y76" i="41"/>
  <c r="W76" i="41"/>
  <c r="Z76" i="41"/>
  <c r="Z75" i="41"/>
  <c r="W75" i="41"/>
  <c r="U75" i="41"/>
  <c r="Y75" i="41"/>
  <c r="Z74" i="41"/>
  <c r="W74" i="41"/>
  <c r="U74" i="41"/>
  <c r="Y74" i="41"/>
  <c r="Z62" i="41"/>
  <c r="Y62" i="41"/>
  <c r="Z32" i="41"/>
  <c r="Y32" i="41"/>
  <c r="X65" i="41"/>
  <c r="X64" i="41"/>
  <c r="X63" i="41"/>
  <c r="X66" i="41"/>
  <c r="X62" i="41"/>
  <c r="U62" i="41"/>
  <c r="X32" i="41"/>
  <c r="U32" i="41"/>
  <c r="V62" i="41"/>
  <c r="W62" i="41"/>
  <c r="V66" i="41"/>
  <c r="V65" i="41"/>
  <c r="V64" i="41"/>
  <c r="V63" i="41"/>
  <c r="W32" i="41"/>
  <c r="V32" i="41"/>
  <c r="Z73" i="41"/>
  <c r="W73" i="41"/>
  <c r="U73" i="41"/>
  <c r="Y73" i="41"/>
  <c r="X50" i="41"/>
  <c r="V50" i="41"/>
  <c r="Y21" i="41"/>
  <c r="V24" i="41"/>
  <c r="U60" i="41"/>
  <c r="U48" i="41"/>
  <c r="Z46" i="41"/>
  <c r="V46" i="41"/>
  <c r="Z66" i="41"/>
  <c r="Z6" i="41"/>
  <c r="X55" i="41"/>
  <c r="W46" i="41"/>
  <c r="X36" i="41"/>
  <c r="Y5" i="41"/>
  <c r="U31" i="41"/>
  <c r="Z44" i="41"/>
  <c r="V38" i="41"/>
  <c r="W33" i="41"/>
  <c r="X37" i="41"/>
  <c r="Y61" i="41"/>
  <c r="W67" i="41"/>
  <c r="W16" i="41"/>
  <c r="X18" i="41"/>
  <c r="Z55" i="41"/>
  <c r="V61" i="41"/>
  <c r="X44" i="41"/>
  <c r="Y42" i="41"/>
  <c r="V33" i="41"/>
  <c r="Z3" i="41"/>
  <c r="W43" i="41"/>
  <c r="U7" i="41"/>
  <c r="W68" i="41"/>
  <c r="Z8" i="41"/>
  <c r="W47" i="41"/>
  <c r="X57" i="41"/>
  <c r="Y6" i="41"/>
  <c r="W45" i="41"/>
  <c r="Y68" i="41"/>
  <c r="U35" i="41"/>
  <c r="Y67" i="41"/>
  <c r="W53" i="41"/>
  <c r="U68" i="41"/>
  <c r="X31" i="41"/>
  <c r="X16" i="41"/>
  <c r="U40" i="41"/>
  <c r="U52" i="41"/>
  <c r="U71" i="41"/>
  <c r="U20" i="41"/>
  <c r="X26" i="41"/>
  <c r="X15" i="41"/>
  <c r="Y41" i="41"/>
  <c r="V43" i="41"/>
  <c r="V37" i="41"/>
  <c r="V30" i="41"/>
  <c r="Y44" i="41"/>
  <c r="U50" i="41"/>
  <c r="X10" i="41"/>
  <c r="Y3" i="41"/>
  <c r="X45" i="41"/>
  <c r="Z39" i="41"/>
  <c r="U23" i="41"/>
  <c r="Z41" i="41"/>
  <c r="Y54" i="41"/>
  <c r="Y15" i="41"/>
  <c r="U19" i="41"/>
  <c r="X24" i="41"/>
  <c r="U57" i="41"/>
  <c r="Z40" i="41"/>
  <c r="W25" i="41"/>
  <c r="Y69" i="41"/>
  <c r="Z70" i="41"/>
  <c r="W49" i="41"/>
  <c r="W15" i="41"/>
  <c r="V35" i="41"/>
  <c r="Z65" i="41"/>
  <c r="X41" i="41"/>
  <c r="Z38" i="41"/>
  <c r="V48" i="41"/>
  <c r="U38" i="41"/>
  <c r="U55" i="41"/>
  <c r="Y55" i="41"/>
  <c r="V59" i="41"/>
  <c r="X46" i="41"/>
  <c r="U43" i="41"/>
  <c r="Z49" i="41"/>
  <c r="X28" i="41"/>
  <c r="U33" i="41"/>
  <c r="Y36" i="41"/>
  <c r="W29" i="41"/>
  <c r="Z63" i="41"/>
  <c r="V16" i="41"/>
  <c r="W21" i="41"/>
  <c r="Z2" i="41"/>
  <c r="W57" i="41"/>
  <c r="Z34" i="41"/>
  <c r="X8" i="41"/>
  <c r="U29" i="41"/>
  <c r="W54" i="41"/>
  <c r="X22" i="41"/>
  <c r="Z31" i="41"/>
  <c r="U44" i="41"/>
  <c r="Y49" i="41"/>
  <c r="Z43" i="41"/>
  <c r="W50" i="41"/>
  <c r="Y59" i="41"/>
  <c r="Z48" i="41"/>
  <c r="V12" i="41"/>
  <c r="Y45" i="41"/>
  <c r="V34" i="41"/>
  <c r="X56" i="41"/>
  <c r="Y24" i="41"/>
  <c r="U22" i="41"/>
  <c r="V47" i="41"/>
  <c r="X38" i="41"/>
  <c r="W22" i="41"/>
  <c r="V20" i="41"/>
  <c r="W28" i="41"/>
  <c r="W23" i="41"/>
  <c r="V23" i="41"/>
  <c r="U17" i="41"/>
  <c r="Y7" i="41"/>
  <c r="W30" i="41"/>
  <c r="V56" i="41"/>
  <c r="Y18" i="41"/>
  <c r="Z68" i="41"/>
  <c r="U58" i="41"/>
  <c r="Z69" i="41"/>
  <c r="Z28" i="41"/>
  <c r="X47" i="41"/>
  <c r="Z64" i="41"/>
  <c r="Z67" i="41"/>
  <c r="W48" i="41"/>
  <c r="V29" i="41"/>
  <c r="U64" i="41"/>
  <c r="Z27" i="41"/>
  <c r="V9" i="41"/>
  <c r="W42" i="41"/>
  <c r="U69" i="41"/>
  <c r="W18" i="41"/>
  <c r="U53" i="41"/>
  <c r="U45" i="41"/>
  <c r="U63" i="41"/>
  <c r="W36" i="41"/>
  <c r="Z25" i="41"/>
  <c r="V26" i="41"/>
  <c r="U59" i="41"/>
  <c r="X52" i="41"/>
  <c r="Y43" i="41"/>
  <c r="V39" i="41"/>
  <c r="W38" i="41"/>
  <c r="X23" i="41"/>
  <c r="Z37" i="41"/>
  <c r="V42" i="41"/>
  <c r="W66" i="41"/>
  <c r="Y23" i="41"/>
  <c r="Z60" i="41"/>
  <c r="W63" i="41"/>
  <c r="V5" i="41"/>
  <c r="Y53" i="41"/>
  <c r="X43" i="41"/>
  <c r="U65" i="41"/>
  <c r="W20" i="41"/>
  <c r="Y51" i="41"/>
  <c r="V54" i="41"/>
  <c r="V41" i="41"/>
  <c r="Y50" i="41"/>
  <c r="Z12" i="41"/>
  <c r="X9" i="41"/>
  <c r="X39" i="41"/>
  <c r="W59" i="41"/>
  <c r="V7" i="41"/>
  <c r="V22" i="41"/>
  <c r="V44" i="41"/>
  <c r="Y9" i="41"/>
  <c r="W65" i="41"/>
  <c r="W39" i="41"/>
  <c r="Z5" i="41"/>
  <c r="U5" i="41"/>
  <c r="Z47" i="41"/>
  <c r="V40" i="41"/>
  <c r="V10" i="41"/>
  <c r="Z72" i="41"/>
  <c r="Y28" i="41"/>
  <c r="U47" i="41"/>
  <c r="U66" i="41"/>
  <c r="V18" i="41"/>
  <c r="U16" i="41"/>
  <c r="X2" i="41"/>
  <c r="Z21" i="41"/>
  <c r="Y57" i="41"/>
  <c r="Z57" i="41"/>
  <c r="W2" i="41"/>
  <c r="V3" i="41"/>
  <c r="V52" i="41"/>
  <c r="Y56" i="41"/>
  <c r="V2" i="41"/>
  <c r="U3" i="41"/>
  <c r="Z19" i="41"/>
  <c r="X4" i="41"/>
  <c r="V28" i="41"/>
  <c r="X40" i="41"/>
  <c r="Y37" i="41"/>
  <c r="V45" i="41"/>
  <c r="U39" i="41"/>
  <c r="W26" i="41"/>
  <c r="Z30" i="41"/>
  <c r="W58" i="41"/>
  <c r="U24" i="41"/>
  <c r="Y17" i="41"/>
  <c r="Z54" i="41"/>
  <c r="V55" i="41"/>
  <c r="X49" i="41"/>
  <c r="Y47" i="41"/>
  <c r="Z59" i="41"/>
  <c r="U70" i="41"/>
  <c r="X54" i="41"/>
  <c r="V57" i="41"/>
  <c r="Z15" i="41"/>
  <c r="Z51" i="41"/>
  <c r="V51" i="41"/>
  <c r="W71" i="41"/>
  <c r="U18" i="41"/>
  <c r="Y30" i="41"/>
  <c r="U49" i="41"/>
  <c r="Z24" i="41"/>
  <c r="V15" i="41"/>
  <c r="Z45" i="41"/>
  <c r="W10" i="41"/>
  <c r="U61" i="41"/>
  <c r="Z42" i="41"/>
  <c r="Z71" i="41"/>
  <c r="V14" i="41"/>
  <c r="W40" i="41"/>
  <c r="Y25" i="41"/>
  <c r="V58" i="41"/>
  <c r="X30" i="41"/>
  <c r="Z22" i="41"/>
  <c r="X20" i="41"/>
  <c r="V53" i="41"/>
  <c r="Y38" i="41"/>
  <c r="V21" i="41"/>
  <c r="X21" i="41"/>
  <c r="Z36" i="41"/>
  <c r="W70" i="41"/>
  <c r="X6" i="41"/>
  <c r="U56" i="41"/>
  <c r="Z23" i="41"/>
  <c r="Z56" i="41"/>
  <c r="Z17" i="41"/>
  <c r="Y58" i="41"/>
  <c r="X51" i="41"/>
  <c r="U10" i="41"/>
  <c r="X48" i="41"/>
  <c r="W41" i="41"/>
  <c r="W69" i="41"/>
  <c r="U51" i="41"/>
  <c r="V17" i="41"/>
  <c r="X61" i="41"/>
  <c r="X3" i="41"/>
  <c r="Y52" i="41"/>
  <c r="U34" i="41"/>
  <c r="X12" i="41"/>
  <c r="Z10" i="41"/>
  <c r="W56" i="41"/>
  <c r="Y4" i="41"/>
  <c r="Y60" i="41"/>
  <c r="Y16" i="41"/>
  <c r="U2" i="41"/>
  <c r="Y8" i="41"/>
  <c r="Y46" i="41"/>
  <c r="X27" i="41"/>
  <c r="W35" i="41"/>
  <c r="X42" i="41"/>
  <c r="V6" i="41"/>
  <c r="Y70" i="41"/>
  <c r="Y33" i="41"/>
  <c r="Z33" i="41"/>
  <c r="W27" i="41"/>
  <c r="U6" i="41"/>
  <c r="X14" i="41"/>
  <c r="Y31" i="41"/>
  <c r="W24" i="41"/>
  <c r="W14" i="41"/>
  <c r="Y65" i="41"/>
  <c r="U28" i="41"/>
  <c r="W19" i="41"/>
  <c r="W52" i="41"/>
  <c r="Y10" i="41"/>
  <c r="U15" i="41"/>
  <c r="U46" i="41"/>
  <c r="X17" i="41"/>
  <c r="Z4" i="41"/>
  <c r="X35" i="41"/>
  <c r="U26" i="41"/>
  <c r="Y71" i="41"/>
  <c r="Z29" i="41"/>
  <c r="W55" i="41"/>
  <c r="Y2" i="41"/>
  <c r="Y22" i="41"/>
  <c r="Z35" i="41"/>
  <c r="V49" i="41"/>
  <c r="X33" i="41"/>
  <c r="W37" i="41"/>
  <c r="U54" i="41"/>
  <c r="U67" i="41"/>
  <c r="Y26" i="41"/>
  <c r="W51" i="41"/>
  <c r="U37" i="41"/>
  <c r="Y40" i="41"/>
  <c r="Z26" i="41"/>
  <c r="U42" i="41"/>
  <c r="W17" i="41"/>
  <c r="U36" i="41"/>
  <c r="X5" i="41"/>
  <c r="V27" i="41"/>
  <c r="X7" i="41"/>
  <c r="V25" i="41"/>
  <c r="V19" i="41"/>
  <c r="Y63" i="41"/>
  <c r="Y34" i="41"/>
  <c r="W31" i="41"/>
  <c r="U4" i="41"/>
  <c r="X34" i="41"/>
  <c r="Z58" i="41"/>
  <c r="Y72" i="41"/>
  <c r="Y20" i="41"/>
  <c r="Z20" i="41"/>
  <c r="Y19" i="41"/>
  <c r="W34" i="41"/>
  <c r="Y27" i="41"/>
  <c r="W60" i="41"/>
  <c r="U41" i="41"/>
  <c r="U12" i="41"/>
  <c r="Z52" i="41"/>
  <c r="V60" i="41"/>
  <c r="Y14" i="41"/>
  <c r="Z14" i="41"/>
  <c r="U14" i="41"/>
  <c r="X59" i="41"/>
  <c r="V4" i="41"/>
  <c r="Y12" i="41"/>
  <c r="U21" i="41"/>
  <c r="Z50" i="41"/>
  <c r="X29" i="41"/>
  <c r="X19" i="41"/>
  <c r="W44" i="41"/>
  <c r="U9" i="41"/>
  <c r="Y64" i="41"/>
  <c r="U25" i="41"/>
  <c r="U30" i="41"/>
  <c r="Z61" i="41"/>
  <c r="W64" i="41"/>
  <c r="V8" i="41"/>
  <c r="Y48" i="41"/>
  <c r="X25" i="41"/>
  <c r="Z9" i="41"/>
  <c r="X58" i="41"/>
  <c r="X60" i="41"/>
  <c r="W61" i="41"/>
  <c r="Z16" i="41"/>
  <c r="V36" i="41"/>
  <c r="Y29" i="41"/>
  <c r="U27" i="41"/>
  <c r="Y66" i="41"/>
  <c r="Z53" i="41"/>
  <c r="Z7" i="41"/>
  <c r="X53" i="41"/>
  <c r="V31" i="41"/>
  <c r="Z18" i="41"/>
  <c r="Y35" i="41"/>
  <c r="Y39" i="41"/>
  <c r="U8" i="41"/>
  <c r="AK26" i="35" l="1"/>
  <c r="AD26" i="35"/>
  <c r="AF23" i="35"/>
  <c r="AN23" i="35"/>
  <c r="AE26" i="35"/>
  <c r="AF13" i="36"/>
  <c r="AN6" i="36"/>
  <c r="AD26" i="36"/>
  <c r="AE26" i="36"/>
  <c r="AN26" i="36" a="1"/>
  <c r="AN26" i="36" s="1"/>
  <c r="AK26" i="36"/>
  <c r="AN7" i="36"/>
  <c r="AF7" i="36"/>
  <c r="AF23" i="36"/>
  <c r="AN23" i="36"/>
  <c r="AF8" i="36"/>
  <c r="AN8" i="36"/>
  <c r="AN25" i="36"/>
  <c r="AF12" i="36"/>
  <c r="AN12" i="36"/>
  <c r="AN26" i="38" a="1"/>
  <c r="AN26" i="38" s="1"/>
  <c r="AN6" i="38"/>
  <c r="AD26" i="38"/>
  <c r="AF10" i="38"/>
  <c r="AN10" i="38"/>
  <c r="AF8" i="38"/>
  <c r="AN8" i="38"/>
  <c r="AF23" i="38"/>
  <c r="AN23" i="38"/>
  <c r="AN7" i="38"/>
  <c r="AF7" i="38"/>
  <c r="AE26" i="38"/>
  <c r="AB26" i="45"/>
  <c r="AR26" i="45"/>
  <c r="AA24" i="45"/>
  <c r="AA20" i="45"/>
  <c r="AA16" i="45"/>
  <c r="AA12" i="45"/>
  <c r="AA8" i="45"/>
  <c r="AA7" i="45"/>
  <c r="AA22" i="45"/>
  <c r="AA18" i="45"/>
  <c r="AA14" i="45"/>
  <c r="AA10" i="45"/>
  <c r="AA23" i="45"/>
  <c r="AA19" i="45"/>
  <c r="AA15" i="45"/>
  <c r="AA11" i="45"/>
  <c r="AA25" i="45"/>
  <c r="AA21" i="45"/>
  <c r="AA17" i="45"/>
  <c r="AA13" i="45"/>
  <c r="AA9" i="45"/>
  <c r="AA6" i="45"/>
  <c r="AN42" i="46"/>
  <c r="AM42" i="46"/>
  <c r="AL42" i="46"/>
  <c r="AK42" i="46"/>
  <c r="AJ42" i="46"/>
  <c r="AI42" i="46"/>
  <c r="AH42" i="46"/>
  <c r="AG42" i="46"/>
  <c r="AF42" i="46"/>
  <c r="AE42" i="46"/>
  <c r="AD42" i="46"/>
  <c r="AC42" i="46"/>
  <c r="AB42" i="46"/>
  <c r="AA42" i="46"/>
  <c r="Z42" i="46"/>
  <c r="Y42" i="46"/>
  <c r="X42" i="46"/>
  <c r="W42" i="46"/>
  <c r="V42" i="46"/>
  <c r="U42" i="46"/>
  <c r="T42" i="46"/>
  <c r="S42" i="46"/>
  <c r="R42" i="46"/>
  <c r="Q42" i="46"/>
  <c r="P42" i="46"/>
  <c r="O42" i="46"/>
  <c r="N42" i="46"/>
  <c r="M42" i="46"/>
  <c r="L42" i="46"/>
  <c r="K42" i="46"/>
  <c r="K55" i="46"/>
  <c r="K54" i="46"/>
  <c r="K53" i="46"/>
  <c r="K52" i="46"/>
  <c r="K51" i="46"/>
  <c r="I49" i="46"/>
  <c r="I48" i="46"/>
  <c r="I47" i="46"/>
  <c r="I46" i="46"/>
  <c r="I45" i="46"/>
  <c r="I44" i="46"/>
  <c r="I43" i="46"/>
  <c r="I37" i="46"/>
  <c r="I36" i="46"/>
  <c r="I35" i="46"/>
  <c r="I34" i="46"/>
  <c r="I33" i="46"/>
  <c r="C33" i="46"/>
  <c r="I32" i="46"/>
  <c r="I31" i="46"/>
  <c r="AN30" i="46"/>
  <c r="AM30" i="46"/>
  <c r="AL30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C30" i="46"/>
  <c r="C28" i="46"/>
  <c r="C35" i="46" s="1"/>
  <c r="AS25" i="46"/>
  <c r="AR25" i="46"/>
  <c r="AQ25" i="46"/>
  <c r="AP25" i="46"/>
  <c r="AO25" i="46"/>
  <c r="AN25" i="46"/>
  <c r="AM25" i="46"/>
  <c r="AJ25" i="46"/>
  <c r="AI25" i="46"/>
  <c r="AH25" i="46"/>
  <c r="AG25" i="46"/>
  <c r="AF25" i="46"/>
  <c r="AA25" i="46"/>
  <c r="AS24" i="46"/>
  <c r="AR24" i="46"/>
  <c r="AQ24" i="46"/>
  <c r="AP24" i="46"/>
  <c r="AO24" i="46"/>
  <c r="AN24" i="46"/>
  <c r="AM24" i="46"/>
  <c r="AJ24" i="46"/>
  <c r="AI24" i="46"/>
  <c r="AH24" i="46"/>
  <c r="AG24" i="46"/>
  <c r="AF24" i="46"/>
  <c r="AA24" i="46"/>
  <c r="AS23" i="46"/>
  <c r="AR23" i="46"/>
  <c r="AQ23" i="46"/>
  <c r="AP23" i="46"/>
  <c r="AO23" i="46"/>
  <c r="AN23" i="46"/>
  <c r="AM23" i="46"/>
  <c r="AJ23" i="46"/>
  <c r="AI23" i="46"/>
  <c r="AH23" i="46"/>
  <c r="AG23" i="46"/>
  <c r="AF23" i="46"/>
  <c r="AA23" i="46"/>
  <c r="AS22" i="46"/>
  <c r="AR22" i="46"/>
  <c r="AQ22" i="46"/>
  <c r="AP22" i="46"/>
  <c r="AO22" i="46"/>
  <c r="AN22" i="46"/>
  <c r="AM22" i="46"/>
  <c r="AJ22" i="46"/>
  <c r="AI22" i="46"/>
  <c r="AH22" i="46"/>
  <c r="AG22" i="46"/>
  <c r="AF22" i="46"/>
  <c r="AA22" i="46"/>
  <c r="AS21" i="46"/>
  <c r="AR21" i="46"/>
  <c r="AQ21" i="46"/>
  <c r="AP21" i="46"/>
  <c r="AO21" i="46"/>
  <c r="AN21" i="46"/>
  <c r="AM21" i="46"/>
  <c r="AJ21" i="46"/>
  <c r="AI21" i="46"/>
  <c r="AH21" i="46"/>
  <c r="AG21" i="46"/>
  <c r="AF21" i="46"/>
  <c r="AA21" i="46"/>
  <c r="AS20" i="46"/>
  <c r="AR20" i="46"/>
  <c r="AQ20" i="46"/>
  <c r="AP20" i="46"/>
  <c r="AO20" i="46"/>
  <c r="AN20" i="46"/>
  <c r="AM20" i="46"/>
  <c r="AJ20" i="46"/>
  <c r="AI20" i="46"/>
  <c r="AH20" i="46"/>
  <c r="AG20" i="46"/>
  <c r="AF20" i="46"/>
  <c r="AA20" i="46"/>
  <c r="AS19" i="46"/>
  <c r="AP19" i="46"/>
  <c r="AJ19" i="46"/>
  <c r="AI19" i="46"/>
  <c r="AH19" i="46"/>
  <c r="AG19" i="46"/>
  <c r="AF19" i="46"/>
  <c r="AA19" i="46"/>
  <c r="AS18" i="46"/>
  <c r="AP18" i="46"/>
  <c r="AJ18" i="46"/>
  <c r="AI18" i="46"/>
  <c r="AH18" i="46"/>
  <c r="AG18" i="46"/>
  <c r="AF18" i="46"/>
  <c r="AA18" i="46"/>
  <c r="E18" i="46"/>
  <c r="AS17" i="46"/>
  <c r="AR17" i="46"/>
  <c r="AQ17" i="46"/>
  <c r="AP17" i="46"/>
  <c r="AO17" i="46"/>
  <c r="AN17" i="46"/>
  <c r="AM17" i="46"/>
  <c r="AJ17" i="46"/>
  <c r="AI17" i="46"/>
  <c r="AH17" i="46"/>
  <c r="AG17" i="46"/>
  <c r="AF17" i="46"/>
  <c r="AA17" i="46"/>
  <c r="AP16" i="46"/>
  <c r="AJ16" i="46"/>
  <c r="AG16" i="46"/>
  <c r="AF16" i="46"/>
  <c r="AP15" i="46"/>
  <c r="AJ15" i="46"/>
  <c r="AG15" i="46"/>
  <c r="AF15" i="46"/>
  <c r="AP14" i="46"/>
  <c r="AJ14" i="46"/>
  <c r="AG14" i="46"/>
  <c r="AF14" i="46"/>
  <c r="AS13" i="46"/>
  <c r="AP13" i="46"/>
  <c r="AJ13" i="46"/>
  <c r="AG13" i="46"/>
  <c r="AF13" i="46"/>
  <c r="AS12" i="46"/>
  <c r="AP12" i="46"/>
  <c r="AJ12" i="46"/>
  <c r="AG12" i="46"/>
  <c r="AF12" i="46"/>
  <c r="AS11" i="46"/>
  <c r="AP11" i="46"/>
  <c r="AJ11" i="46"/>
  <c r="AG11" i="46"/>
  <c r="AF11" i="46"/>
  <c r="AS10" i="46"/>
  <c r="AP10" i="46"/>
  <c r="AJ10" i="46"/>
  <c r="AG10" i="46"/>
  <c r="AF10" i="46"/>
  <c r="AA10" i="46"/>
  <c r="AS9" i="46"/>
  <c r="AP9" i="46"/>
  <c r="AJ9" i="46"/>
  <c r="AG9" i="46"/>
  <c r="AF9" i="46"/>
  <c r="AA9" i="46"/>
  <c r="AS8" i="46"/>
  <c r="AP8" i="46"/>
  <c r="AJ8" i="46"/>
  <c r="AG8" i="46"/>
  <c r="AF8" i="46"/>
  <c r="AA8" i="46"/>
  <c r="AS7" i="46"/>
  <c r="AP7" i="46"/>
  <c r="AJ7" i="46"/>
  <c r="AG7" i="46"/>
  <c r="AF7" i="46"/>
  <c r="AA7" i="46"/>
  <c r="AS6" i="46"/>
  <c r="AP6" i="46"/>
  <c r="AJ6" i="46"/>
  <c r="AG6" i="46"/>
  <c r="AF6" i="46"/>
  <c r="AA6" i="46"/>
  <c r="K55" i="45"/>
  <c r="K54" i="45"/>
  <c r="K53" i="45"/>
  <c r="K52" i="45"/>
  <c r="K51" i="45"/>
  <c r="I49" i="45"/>
  <c r="I48" i="45"/>
  <c r="I47" i="45"/>
  <c r="I46" i="45"/>
  <c r="I45" i="45"/>
  <c r="I44" i="45"/>
  <c r="I43" i="45"/>
  <c r="I37" i="45"/>
  <c r="I36" i="45"/>
  <c r="I35" i="45"/>
  <c r="I34" i="45"/>
  <c r="I33" i="45"/>
  <c r="C33" i="45"/>
  <c r="I32" i="45"/>
  <c r="I31" i="45"/>
  <c r="AS30" i="45"/>
  <c r="AR30" i="45"/>
  <c r="AQ30" i="45"/>
  <c r="AP30" i="45"/>
  <c r="AO30" i="45"/>
  <c r="AN30" i="45"/>
  <c r="AM30" i="45"/>
  <c r="AL30" i="45"/>
  <c r="AK30" i="45"/>
  <c r="AJ30" i="45"/>
  <c r="AI30" i="45"/>
  <c r="AH30" i="45"/>
  <c r="AG30" i="45"/>
  <c r="AF30" i="45"/>
  <c r="AE30" i="45"/>
  <c r="AD30" i="45"/>
  <c r="AC30" i="45"/>
  <c r="AB30" i="45"/>
  <c r="AA30" i="45"/>
  <c r="Z30" i="45"/>
  <c r="Y30" i="45"/>
  <c r="X30" i="45"/>
  <c r="W30" i="45"/>
  <c r="V30" i="45"/>
  <c r="U30" i="45"/>
  <c r="T30" i="45"/>
  <c r="S30" i="45"/>
  <c r="R30" i="45"/>
  <c r="Q30" i="45"/>
  <c r="P30" i="45"/>
  <c r="O30" i="45"/>
  <c r="N30" i="45"/>
  <c r="M30" i="45"/>
  <c r="L30" i="45"/>
  <c r="K30" i="45"/>
  <c r="C30" i="45"/>
  <c r="C28" i="45"/>
  <c r="E18" i="45"/>
  <c r="AQ42" i="45" s="1"/>
  <c r="E18" i="40"/>
  <c r="L30" i="40"/>
  <c r="M30" i="40"/>
  <c r="N30" i="40"/>
  <c r="O30" i="40"/>
  <c r="P30" i="40"/>
  <c r="Q30" i="40"/>
  <c r="R30" i="40"/>
  <c r="S30" i="40"/>
  <c r="T30" i="40"/>
  <c r="U30" i="40"/>
  <c r="V30" i="40"/>
  <c r="W30" i="40"/>
  <c r="X30" i="40"/>
  <c r="Y30" i="40"/>
  <c r="Z30" i="40"/>
  <c r="AA30" i="40"/>
  <c r="AB30" i="40"/>
  <c r="AC30" i="40"/>
  <c r="AD30" i="40"/>
  <c r="AE30" i="40"/>
  <c r="AF30" i="40"/>
  <c r="AG30" i="40"/>
  <c r="AH30" i="40"/>
  <c r="AI30" i="40"/>
  <c r="AJ30" i="40"/>
  <c r="AK30" i="40"/>
  <c r="AL30" i="40"/>
  <c r="AM30" i="40"/>
  <c r="AN30" i="40"/>
  <c r="AO30" i="40"/>
  <c r="AP30" i="40"/>
  <c r="AQ30" i="40"/>
  <c r="AR30" i="40"/>
  <c r="AS30" i="40"/>
  <c r="K30" i="40"/>
  <c r="AH7" i="40"/>
  <c r="AH8" i="40"/>
  <c r="AH9" i="40"/>
  <c r="AH10" i="40"/>
  <c r="AH11" i="40"/>
  <c r="AH12" i="40"/>
  <c r="AH13" i="40"/>
  <c r="AH14" i="40"/>
  <c r="AH15" i="40"/>
  <c r="AH16" i="40"/>
  <c r="AH17" i="40"/>
  <c r="AH18" i="40"/>
  <c r="AH19" i="40"/>
  <c r="AH20" i="40"/>
  <c r="AH21" i="40"/>
  <c r="AH22" i="40"/>
  <c r="AH23" i="40"/>
  <c r="AH24" i="40"/>
  <c r="AH25" i="40"/>
  <c r="AH6" i="40"/>
  <c r="AE7" i="40"/>
  <c r="AE8" i="40"/>
  <c r="AE9" i="40"/>
  <c r="AE10" i="40"/>
  <c r="AE11" i="40"/>
  <c r="AE12" i="40"/>
  <c r="AE13" i="40"/>
  <c r="AE14" i="40"/>
  <c r="AE15" i="40"/>
  <c r="AE16" i="40"/>
  <c r="AE17" i="40"/>
  <c r="AE18" i="40"/>
  <c r="AE19" i="40"/>
  <c r="AE20" i="40"/>
  <c r="AE21" i="40"/>
  <c r="AE22" i="40"/>
  <c r="AE23" i="40"/>
  <c r="AE24" i="40"/>
  <c r="AE25" i="40"/>
  <c r="AE6" i="40"/>
  <c r="AD25" i="40"/>
  <c r="AD24" i="40"/>
  <c r="AD23" i="40"/>
  <c r="AD22" i="40"/>
  <c r="AD21" i="40"/>
  <c r="AD20" i="40"/>
  <c r="AD19" i="40"/>
  <c r="AD18" i="40"/>
  <c r="AD17" i="40"/>
  <c r="AD16" i="40"/>
  <c r="AD15" i="40"/>
  <c r="AD14" i="40"/>
  <c r="AD13" i="40"/>
  <c r="AD12" i="40"/>
  <c r="AD11" i="40"/>
  <c r="AD10" i="40"/>
  <c r="AD9" i="40"/>
  <c r="AD8" i="40"/>
  <c r="AD7" i="40"/>
  <c r="AD6" i="40"/>
  <c r="K3" i="41"/>
  <c r="K4" i="41"/>
  <c r="K5" i="41"/>
  <c r="K6" i="41"/>
  <c r="K7" i="41"/>
  <c r="K8" i="41"/>
  <c r="K9" i="41"/>
  <c r="K10" i="41"/>
  <c r="K11" i="41"/>
  <c r="K12" i="41"/>
  <c r="K13" i="41"/>
  <c r="K14" i="41"/>
  <c r="K15" i="41"/>
  <c r="K16" i="41"/>
  <c r="K17" i="41"/>
  <c r="K18" i="41"/>
  <c r="K19" i="41"/>
  <c r="K20" i="41"/>
  <c r="K21" i="41"/>
  <c r="K22" i="41"/>
  <c r="K23" i="41"/>
  <c r="K24" i="41"/>
  <c r="K25" i="41"/>
  <c r="K26" i="41"/>
  <c r="K27" i="41"/>
  <c r="K28" i="41"/>
  <c r="K29" i="41"/>
  <c r="K30" i="41"/>
  <c r="K31" i="41"/>
  <c r="K32" i="41"/>
  <c r="K33" i="41"/>
  <c r="K34" i="41"/>
  <c r="K35" i="41"/>
  <c r="K36" i="41"/>
  <c r="K37" i="41"/>
  <c r="K38" i="41"/>
  <c r="K39" i="41"/>
  <c r="K40" i="41"/>
  <c r="K41" i="41"/>
  <c r="K42" i="41"/>
  <c r="K43" i="41"/>
  <c r="K44" i="41"/>
  <c r="K45" i="41"/>
  <c r="K46" i="41"/>
  <c r="K47" i="41"/>
  <c r="K48" i="41"/>
  <c r="K49" i="41"/>
  <c r="K50" i="41"/>
  <c r="K51" i="41"/>
  <c r="K52" i="41"/>
  <c r="K53" i="41"/>
  <c r="K54" i="41"/>
  <c r="K55" i="41"/>
  <c r="K56" i="41"/>
  <c r="K57" i="41"/>
  <c r="K58" i="41"/>
  <c r="K59" i="41"/>
  <c r="K60" i="41"/>
  <c r="K61" i="41"/>
  <c r="K62" i="41"/>
  <c r="K63" i="41"/>
  <c r="K64" i="41"/>
  <c r="K65" i="41"/>
  <c r="K66" i="41"/>
  <c r="K67" i="41"/>
  <c r="K68" i="41"/>
  <c r="K69" i="41"/>
  <c r="K70" i="41"/>
  <c r="K71" i="41"/>
  <c r="K72" i="41"/>
  <c r="K73" i="41"/>
  <c r="K74" i="41"/>
  <c r="K75" i="41"/>
  <c r="K76" i="41"/>
  <c r="K77" i="41"/>
  <c r="K78" i="41"/>
  <c r="K79" i="41"/>
  <c r="K2" i="41"/>
  <c r="Z25" i="46" a="1"/>
  <c r="Z9" i="46" a="1"/>
  <c r="Z7" i="46" a="1"/>
  <c r="Z8" i="46" a="1"/>
  <c r="Z10" i="46" a="1"/>
  <c r="Z11" i="46" a="1"/>
  <c r="Z18" i="46" a="1"/>
  <c r="Z6" i="46" a="1"/>
  <c r="Z19" i="46" a="1"/>
  <c r="Z23" i="46" a="1"/>
  <c r="Z13" i="46" a="1"/>
  <c r="Z17" i="46" a="1"/>
  <c r="Z15" i="46" a="1"/>
  <c r="Z12" i="46" a="1"/>
  <c r="Z14" i="46" a="1"/>
  <c r="Z78" i="41"/>
  <c r="Y78" i="41"/>
  <c r="U78" i="41"/>
  <c r="W78" i="41"/>
  <c r="AU17" i="46" l="1"/>
  <c r="AU18" i="46"/>
  <c r="AU20" i="46"/>
  <c r="AU21" i="46"/>
  <c r="AG11" i="35"/>
  <c r="AG6" i="35"/>
  <c r="AG14" i="35"/>
  <c r="AG23" i="35"/>
  <c r="AG18" i="35"/>
  <c r="AG12" i="35"/>
  <c r="AG9" i="35"/>
  <c r="AG16" i="35"/>
  <c r="AG13" i="35"/>
  <c r="AG19" i="35"/>
  <c r="AG25" i="35"/>
  <c r="AG20" i="35"/>
  <c r="AG8" i="35"/>
  <c r="AG15" i="35"/>
  <c r="AG17" i="35"/>
  <c r="AG22" i="35"/>
  <c r="AG10" i="35"/>
  <c r="AG7" i="35"/>
  <c r="AG24" i="35"/>
  <c r="AG21" i="35"/>
  <c r="AG11" i="36"/>
  <c r="AG6" i="36"/>
  <c r="AG18" i="36"/>
  <c r="AG10" i="36"/>
  <c r="AG14" i="36"/>
  <c r="AG23" i="36"/>
  <c r="AG7" i="36"/>
  <c r="AG13" i="36"/>
  <c r="AG17" i="36"/>
  <c r="AG25" i="36"/>
  <c r="AG20" i="36"/>
  <c r="AG8" i="36"/>
  <c r="AG21" i="36"/>
  <c r="AG15" i="36"/>
  <c r="AG16" i="36"/>
  <c r="AG22" i="36"/>
  <c r="AG19" i="36"/>
  <c r="AG9" i="36"/>
  <c r="AG12" i="36"/>
  <c r="AG24" i="36"/>
  <c r="AG11" i="38"/>
  <c r="AG6" i="38"/>
  <c r="AG7" i="38"/>
  <c r="AG23" i="38"/>
  <c r="AG18" i="38"/>
  <c r="AG12" i="38"/>
  <c r="AG13" i="38"/>
  <c r="AG25" i="38"/>
  <c r="AG20" i="38"/>
  <c r="AG8" i="38"/>
  <c r="AG10" i="38"/>
  <c r="AG9" i="38"/>
  <c r="AG15" i="38"/>
  <c r="AG22" i="38"/>
  <c r="AG17" i="38"/>
  <c r="AG24" i="38"/>
  <c r="AG19" i="38"/>
  <c r="AG21" i="38"/>
  <c r="AG16" i="38"/>
  <c r="AG14" i="38"/>
  <c r="Z19" i="46"/>
  <c r="Z18" i="46"/>
  <c r="Z17" i="46"/>
  <c r="Z14" i="46"/>
  <c r="Z15" i="46"/>
  <c r="Z11" i="46"/>
  <c r="Z12" i="46"/>
  <c r="Z6" i="46"/>
  <c r="Z25" i="46"/>
  <c r="Z13" i="46"/>
  <c r="Z8" i="46"/>
  <c r="Z7" i="46"/>
  <c r="Z10" i="46"/>
  <c r="Z23" i="46"/>
  <c r="Z9" i="46"/>
  <c r="AU24" i="46"/>
  <c r="AU25" i="46"/>
  <c r="AU10" i="46"/>
  <c r="AU23" i="46"/>
  <c r="AU19" i="46"/>
  <c r="AH14" i="46"/>
  <c r="AH10" i="46"/>
  <c r="AH8" i="46"/>
  <c r="AH12" i="46"/>
  <c r="AH6" i="46"/>
  <c r="AH13" i="46"/>
  <c r="AH7" i="46"/>
  <c r="AH16" i="46"/>
  <c r="AH15" i="46"/>
  <c r="AH11" i="46"/>
  <c r="AH9" i="46"/>
  <c r="AK17" i="46"/>
  <c r="AK11" i="46"/>
  <c r="AL14" i="46"/>
  <c r="AK21" i="46"/>
  <c r="AL25" i="46"/>
  <c r="AK18" i="46"/>
  <c r="C29" i="46"/>
  <c r="C34" i="46" s="1"/>
  <c r="AL23" i="46"/>
  <c r="AL15" i="46"/>
  <c r="AL16" i="46"/>
  <c r="AK16" i="46"/>
  <c r="AK19" i="46"/>
  <c r="AL24" i="46"/>
  <c r="AK13" i="46"/>
  <c r="AU11" i="46"/>
  <c r="AU9" i="46"/>
  <c r="AU13" i="46"/>
  <c r="AU14" i="46"/>
  <c r="AL6" i="46"/>
  <c r="AL11" i="46"/>
  <c r="AL18" i="46"/>
  <c r="AK22" i="46"/>
  <c r="AU22" i="46"/>
  <c r="AK9" i="46"/>
  <c r="C32" i="46"/>
  <c r="AU7" i="46"/>
  <c r="AL7" i="46"/>
  <c r="AL17" i="46"/>
  <c r="AK10" i="46"/>
  <c r="AK15" i="46"/>
  <c r="AL21" i="46"/>
  <c r="AL22" i="46"/>
  <c r="AU16" i="46"/>
  <c r="AA26" i="46"/>
  <c r="AC21" i="46" s="1"/>
  <c r="AS26" i="46"/>
  <c r="AL8" i="46"/>
  <c r="AL12" i="46"/>
  <c r="AL13" i="46"/>
  <c r="AL20" i="46"/>
  <c r="AK24" i="46"/>
  <c r="AK25" i="46"/>
  <c r="AU12" i="46"/>
  <c r="AL19" i="46"/>
  <c r="AK20" i="46"/>
  <c r="AU8" i="46"/>
  <c r="AK8" i="46"/>
  <c r="AL9" i="46"/>
  <c r="AK7" i="46"/>
  <c r="AK6" i="46"/>
  <c r="AU15" i="46"/>
  <c r="AL10" i="46"/>
  <c r="AK14" i="46"/>
  <c r="AU6" i="46"/>
  <c r="AK12" i="46"/>
  <c r="AK23" i="46"/>
  <c r="T42" i="45"/>
  <c r="AF42" i="45"/>
  <c r="AR42" i="45"/>
  <c r="U42" i="45"/>
  <c r="AG42" i="45"/>
  <c r="AS42" i="45"/>
  <c r="C35" i="45"/>
  <c r="V42" i="45"/>
  <c r="AH42" i="45"/>
  <c r="C32" i="45"/>
  <c r="K42" i="45"/>
  <c r="W42" i="45"/>
  <c r="AI42" i="45"/>
  <c r="L42" i="45"/>
  <c r="X42" i="45"/>
  <c r="AJ42" i="45"/>
  <c r="M42" i="45"/>
  <c r="Y42" i="45"/>
  <c r="AK42" i="45"/>
  <c r="C29" i="45"/>
  <c r="N42" i="45"/>
  <c r="Z42" i="45"/>
  <c r="AL42" i="45"/>
  <c r="O42" i="45"/>
  <c r="AA42" i="45"/>
  <c r="AM42" i="45"/>
  <c r="P42" i="45"/>
  <c r="AB42" i="45"/>
  <c r="AN42" i="45"/>
  <c r="Q42" i="45"/>
  <c r="AC42" i="45"/>
  <c r="AO42" i="45"/>
  <c r="R42" i="45"/>
  <c r="AD42" i="45"/>
  <c r="AP42" i="45"/>
  <c r="S42" i="45"/>
  <c r="AE42" i="45"/>
  <c r="AM18" i="40"/>
  <c r="AM19" i="40"/>
  <c r="AM20" i="40"/>
  <c r="AM21" i="40"/>
  <c r="AM22" i="40"/>
  <c r="AM23" i="40"/>
  <c r="AM24" i="40"/>
  <c r="AM25" i="40"/>
  <c r="AL18" i="40"/>
  <c r="AL19" i="40"/>
  <c r="AL20" i="40"/>
  <c r="AL21" i="40"/>
  <c r="AL22" i="40"/>
  <c r="AL23" i="40"/>
  <c r="AL24" i="40"/>
  <c r="AL25" i="40"/>
  <c r="O3" i="41"/>
  <c r="O4" i="41"/>
  <c r="O5" i="41"/>
  <c r="O6" i="41"/>
  <c r="O7" i="41"/>
  <c r="O8" i="41"/>
  <c r="O9" i="41"/>
  <c r="O10" i="41"/>
  <c r="O11" i="41"/>
  <c r="O12" i="41"/>
  <c r="O13" i="41"/>
  <c r="O14" i="41"/>
  <c r="O15" i="41"/>
  <c r="O16" i="41"/>
  <c r="O17" i="41"/>
  <c r="O18" i="41"/>
  <c r="O19" i="41"/>
  <c r="O20" i="41"/>
  <c r="O21" i="41"/>
  <c r="O22" i="41"/>
  <c r="O23" i="41"/>
  <c r="O24" i="41"/>
  <c r="O25" i="41"/>
  <c r="O26" i="41"/>
  <c r="O27" i="41"/>
  <c r="O28" i="41"/>
  <c r="O29" i="41"/>
  <c r="O30" i="41"/>
  <c r="O31" i="41"/>
  <c r="O32" i="41"/>
  <c r="O33" i="41"/>
  <c r="O34" i="41"/>
  <c r="O35" i="41"/>
  <c r="O36" i="41"/>
  <c r="O37" i="41"/>
  <c r="O38" i="41"/>
  <c r="O39" i="41"/>
  <c r="O40" i="41"/>
  <c r="O41" i="41"/>
  <c r="O42" i="41"/>
  <c r="O43" i="41"/>
  <c r="O44" i="41"/>
  <c r="O45" i="41"/>
  <c r="O46" i="41"/>
  <c r="O47" i="41"/>
  <c r="O48" i="41"/>
  <c r="O49" i="41"/>
  <c r="O50" i="41"/>
  <c r="O51" i="41"/>
  <c r="O52" i="41"/>
  <c r="O53" i="41"/>
  <c r="O54" i="41"/>
  <c r="O55" i="41"/>
  <c r="O56" i="41"/>
  <c r="O57" i="41"/>
  <c r="O58" i="41"/>
  <c r="O59" i="41"/>
  <c r="O60" i="41"/>
  <c r="O61" i="41"/>
  <c r="O62" i="41"/>
  <c r="O63" i="41"/>
  <c r="AK10" i="45" s="1"/>
  <c r="O64" i="41"/>
  <c r="AK8" i="45" s="1"/>
  <c r="O65" i="41"/>
  <c r="AK6" i="45" s="1"/>
  <c r="O66" i="41"/>
  <c r="AK9" i="45" s="1"/>
  <c r="O67" i="41"/>
  <c r="AK7" i="45" s="1"/>
  <c r="O68" i="41"/>
  <c r="AK12" i="45" s="1"/>
  <c r="O69" i="41"/>
  <c r="AK11" i="45" s="1"/>
  <c r="O70" i="41"/>
  <c r="AK15" i="45" s="1"/>
  <c r="O71" i="41"/>
  <c r="AK14" i="45" s="1"/>
  <c r="O72" i="41"/>
  <c r="AK13" i="45" s="1"/>
  <c r="O73" i="41"/>
  <c r="O74" i="41"/>
  <c r="O75" i="41"/>
  <c r="O76" i="41"/>
  <c r="O77" i="41"/>
  <c r="O78" i="41"/>
  <c r="AM18" i="46" s="1"/>
  <c r="O79" i="41"/>
  <c r="AM19" i="46" s="1"/>
  <c r="O2" i="41"/>
  <c r="AK18" i="40"/>
  <c r="AK19" i="40"/>
  <c r="AK20" i="40"/>
  <c r="AK21" i="40"/>
  <c r="AK22" i="40"/>
  <c r="AK23" i="40"/>
  <c r="AK24" i="40"/>
  <c r="AK25" i="40"/>
  <c r="AP18" i="40"/>
  <c r="AP19" i="40"/>
  <c r="AP20" i="40"/>
  <c r="AP21" i="40"/>
  <c r="AP22" i="40"/>
  <c r="AP23" i="40"/>
  <c r="AP24" i="40"/>
  <c r="AP25" i="40"/>
  <c r="M3" i="41"/>
  <c r="M4" i="41"/>
  <c r="M5" i="41"/>
  <c r="M6" i="41"/>
  <c r="M7" i="41"/>
  <c r="M8" i="41"/>
  <c r="M9" i="41"/>
  <c r="M10" i="41"/>
  <c r="M11" i="41"/>
  <c r="M12" i="41"/>
  <c r="M13" i="41"/>
  <c r="M14" i="41"/>
  <c r="M15" i="41"/>
  <c r="M16" i="41"/>
  <c r="M17" i="41"/>
  <c r="M18" i="41"/>
  <c r="M19" i="41"/>
  <c r="M20" i="41"/>
  <c r="M21" i="41"/>
  <c r="M22" i="41"/>
  <c r="M23" i="41"/>
  <c r="M24" i="41"/>
  <c r="M25" i="41"/>
  <c r="M26" i="41"/>
  <c r="M27" i="41"/>
  <c r="M28" i="41"/>
  <c r="M29" i="41"/>
  <c r="M30" i="41"/>
  <c r="M31" i="41"/>
  <c r="M32" i="41"/>
  <c r="M33" i="41"/>
  <c r="M34" i="41"/>
  <c r="M35" i="41"/>
  <c r="M36" i="41"/>
  <c r="M37" i="41"/>
  <c r="M38" i="41"/>
  <c r="M39" i="41"/>
  <c r="M40" i="41"/>
  <c r="M41" i="41"/>
  <c r="M42" i="41"/>
  <c r="M43" i="41"/>
  <c r="M44" i="41"/>
  <c r="M45" i="41"/>
  <c r="M46" i="41"/>
  <c r="M47" i="41"/>
  <c r="M48" i="41"/>
  <c r="M49" i="41"/>
  <c r="M50" i="41"/>
  <c r="M51" i="41"/>
  <c r="M52" i="41"/>
  <c r="M53" i="41"/>
  <c r="M54" i="41"/>
  <c r="M55" i="41"/>
  <c r="M56" i="41"/>
  <c r="M57" i="41"/>
  <c r="M58" i="41"/>
  <c r="M59" i="41"/>
  <c r="M60" i="41"/>
  <c r="M61" i="41"/>
  <c r="M62" i="41"/>
  <c r="M63" i="41"/>
  <c r="AO10" i="45" s="1"/>
  <c r="M64" i="41"/>
  <c r="AO8" i="45" s="1"/>
  <c r="M65" i="41"/>
  <c r="AO6" i="45" s="1"/>
  <c r="M66" i="41"/>
  <c r="AO9" i="45" s="1"/>
  <c r="M67" i="41"/>
  <c r="AO7" i="45" s="1"/>
  <c r="M68" i="41"/>
  <c r="AO12" i="45" s="1"/>
  <c r="M69" i="41"/>
  <c r="AO11" i="45" s="1"/>
  <c r="M70" i="41"/>
  <c r="AO15" i="45" s="1"/>
  <c r="M71" i="41"/>
  <c r="AO14" i="45" s="1"/>
  <c r="M72" i="41"/>
  <c r="AO13" i="45" s="1"/>
  <c r="M73" i="41"/>
  <c r="M74" i="41"/>
  <c r="M75" i="41"/>
  <c r="M76" i="41"/>
  <c r="M77" i="41"/>
  <c r="M78" i="41"/>
  <c r="AQ18" i="46" s="1"/>
  <c r="M79" i="41"/>
  <c r="AQ19" i="46" s="1"/>
  <c r="M2" i="41"/>
  <c r="AO18" i="40"/>
  <c r="AO19" i="40"/>
  <c r="AO20" i="40"/>
  <c r="AO21" i="40"/>
  <c r="AO22" i="40"/>
  <c r="AO23" i="40"/>
  <c r="AO24" i="40"/>
  <c r="AO25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6" i="40"/>
  <c r="AG18" i="40"/>
  <c r="AG19" i="40"/>
  <c r="AG20" i="40"/>
  <c r="AG21" i="40"/>
  <c r="AG22" i="40"/>
  <c r="AG23" i="40"/>
  <c r="AG24" i="40"/>
  <c r="AG25" i="40"/>
  <c r="W7" i="40"/>
  <c r="W8" i="40"/>
  <c r="W9" i="40"/>
  <c r="W10" i="40"/>
  <c r="W11" i="40"/>
  <c r="W12" i="40"/>
  <c r="W13" i="40"/>
  <c r="W14" i="40"/>
  <c r="W15" i="40"/>
  <c r="W16" i="40"/>
  <c r="W17" i="40"/>
  <c r="W18" i="40"/>
  <c r="W19" i="40"/>
  <c r="W20" i="40"/>
  <c r="W21" i="40"/>
  <c r="W22" i="40"/>
  <c r="W23" i="40"/>
  <c r="W24" i="40"/>
  <c r="W25" i="40"/>
  <c r="W6" i="40"/>
  <c r="AF18" i="40"/>
  <c r="AF19" i="40"/>
  <c r="AF20" i="40"/>
  <c r="AF21" i="40"/>
  <c r="AF22" i="40"/>
  <c r="AF23" i="40"/>
  <c r="AF24" i="40"/>
  <c r="AF25" i="40"/>
  <c r="V7" i="40"/>
  <c r="V8" i="40"/>
  <c r="V9" i="40"/>
  <c r="V10" i="40"/>
  <c r="V11" i="40"/>
  <c r="V12" i="40"/>
  <c r="V13" i="40"/>
  <c r="V14" i="40"/>
  <c r="V15" i="40"/>
  <c r="V16" i="40"/>
  <c r="V17" i="40"/>
  <c r="V18" i="40"/>
  <c r="V19" i="40"/>
  <c r="V20" i="40"/>
  <c r="V21" i="40"/>
  <c r="V22" i="40"/>
  <c r="V23" i="40"/>
  <c r="V24" i="40"/>
  <c r="V25" i="40"/>
  <c r="V6" i="40"/>
  <c r="AQ7" i="40"/>
  <c r="AQ8" i="40"/>
  <c r="AQ9" i="40"/>
  <c r="AQ10" i="40"/>
  <c r="AQ11" i="40"/>
  <c r="AQ12" i="40"/>
  <c r="AQ13" i="40"/>
  <c r="AQ14" i="40"/>
  <c r="AQ15" i="40"/>
  <c r="AS15" i="40" s="1"/>
  <c r="AQ16" i="40"/>
  <c r="AQ17" i="40"/>
  <c r="AQ18" i="40"/>
  <c r="AQ19" i="40"/>
  <c r="AQ20" i="40"/>
  <c r="AQ21" i="40"/>
  <c r="AQ22" i="40"/>
  <c r="AQ23" i="40"/>
  <c r="AQ24" i="40"/>
  <c r="AQ25" i="40"/>
  <c r="AQ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10" i="40"/>
  <c r="Y9" i="40"/>
  <c r="Y8" i="40"/>
  <c r="Y7" i="40"/>
  <c r="Y6" i="40"/>
  <c r="P3" i="41"/>
  <c r="P4" i="41"/>
  <c r="P5" i="41"/>
  <c r="P6" i="41"/>
  <c r="P7" i="41"/>
  <c r="P8" i="41"/>
  <c r="P9" i="41"/>
  <c r="P10" i="41"/>
  <c r="P11" i="41"/>
  <c r="P12" i="41"/>
  <c r="P13" i="41"/>
  <c r="P14" i="41"/>
  <c r="P15" i="41"/>
  <c r="P16" i="41"/>
  <c r="P17" i="4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P33" i="41"/>
  <c r="P34" i="41"/>
  <c r="P35" i="41"/>
  <c r="P36" i="41"/>
  <c r="P37" i="41"/>
  <c r="P38" i="41"/>
  <c r="P39" i="41"/>
  <c r="P40" i="41"/>
  <c r="P41" i="41"/>
  <c r="P42" i="41"/>
  <c r="P43" i="41"/>
  <c r="P44" i="41"/>
  <c r="P45" i="41"/>
  <c r="P46" i="41"/>
  <c r="P47" i="41"/>
  <c r="P48" i="41"/>
  <c r="P49" i="41"/>
  <c r="P50" i="41"/>
  <c r="P51" i="41"/>
  <c r="P52" i="41"/>
  <c r="P53" i="41"/>
  <c r="P54" i="41"/>
  <c r="P55" i="41"/>
  <c r="P56" i="41"/>
  <c r="P57" i="41"/>
  <c r="P58" i="41"/>
  <c r="P59" i="41"/>
  <c r="P60" i="41"/>
  <c r="P61" i="41"/>
  <c r="P62" i="41"/>
  <c r="P63" i="41"/>
  <c r="AL10" i="45" s="1"/>
  <c r="P64" i="41"/>
  <c r="AL8" i="45" s="1"/>
  <c r="P65" i="41"/>
  <c r="AL6" i="45" s="1"/>
  <c r="P66" i="41"/>
  <c r="AL9" i="45" s="1"/>
  <c r="P67" i="41"/>
  <c r="AL7" i="45" s="1"/>
  <c r="P68" i="41"/>
  <c r="AL12" i="45" s="1"/>
  <c r="P69" i="41"/>
  <c r="AL11" i="45" s="1"/>
  <c r="P70" i="41"/>
  <c r="AL15" i="45" s="1"/>
  <c r="P71" i="41"/>
  <c r="AL14" i="45" s="1"/>
  <c r="P72" i="41"/>
  <c r="AL13" i="45" s="1"/>
  <c r="P73" i="41"/>
  <c r="P74" i="41"/>
  <c r="P75" i="41"/>
  <c r="P76" i="41"/>
  <c r="P77" i="41"/>
  <c r="P78" i="41"/>
  <c r="AN18" i="46" s="1"/>
  <c r="P79" i="41"/>
  <c r="AN19" i="46" s="1"/>
  <c r="P2" i="41"/>
  <c r="N3" i="41"/>
  <c r="N4" i="41"/>
  <c r="N5" i="41"/>
  <c r="N6" i="41"/>
  <c r="N7" i="41"/>
  <c r="N8" i="41"/>
  <c r="N9" i="41"/>
  <c r="N10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N33" i="41"/>
  <c r="N34" i="41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N59" i="41"/>
  <c r="N60" i="41"/>
  <c r="N61" i="41"/>
  <c r="N62" i="41"/>
  <c r="N63" i="41"/>
  <c r="AP10" i="45" s="1"/>
  <c r="N64" i="41"/>
  <c r="AP8" i="45" s="1"/>
  <c r="N65" i="41"/>
  <c r="AP6" i="45" s="1"/>
  <c r="N66" i="41"/>
  <c r="AP9" i="45" s="1"/>
  <c r="N67" i="41"/>
  <c r="AP7" i="45" s="1"/>
  <c r="N68" i="41"/>
  <c r="AP12" i="45" s="1"/>
  <c r="N69" i="41"/>
  <c r="AP11" i="45" s="1"/>
  <c r="N70" i="41"/>
  <c r="AP15" i="45" s="1"/>
  <c r="N71" i="41"/>
  <c r="AP14" i="45" s="1"/>
  <c r="N72" i="41"/>
  <c r="AP13" i="45" s="1"/>
  <c r="N73" i="41"/>
  <c r="N74" i="41"/>
  <c r="N75" i="41"/>
  <c r="N76" i="41"/>
  <c r="N77" i="41"/>
  <c r="N78" i="41"/>
  <c r="AR18" i="46" s="1"/>
  <c r="N79" i="41"/>
  <c r="AR19" i="46" s="1"/>
  <c r="N2" i="41"/>
  <c r="Q3" i="41"/>
  <c r="Q4" i="41"/>
  <c r="Q5" i="41"/>
  <c r="Q6" i="41"/>
  <c r="Q7" i="41"/>
  <c r="Q8" i="41"/>
  <c r="Q9" i="41"/>
  <c r="Q10" i="41"/>
  <c r="Q11" i="41"/>
  <c r="Q12" i="41"/>
  <c r="Q13" i="41"/>
  <c r="Q14" i="41"/>
  <c r="Q15" i="41"/>
  <c r="Q16" i="41"/>
  <c r="Q17" i="41"/>
  <c r="Q18" i="41"/>
  <c r="Q19" i="41"/>
  <c r="Q20" i="41"/>
  <c r="Q21" i="41"/>
  <c r="Q22" i="41"/>
  <c r="Q23" i="41"/>
  <c r="Q24" i="41"/>
  <c r="Q25" i="41"/>
  <c r="Q26" i="41"/>
  <c r="Q27" i="41"/>
  <c r="Q28" i="41"/>
  <c r="Q29" i="41"/>
  <c r="Q30" i="41"/>
  <c r="Q31" i="41"/>
  <c r="Q32" i="41"/>
  <c r="Q33" i="41"/>
  <c r="Q34" i="41"/>
  <c r="Q35" i="41"/>
  <c r="Q36" i="41"/>
  <c r="Q37" i="41"/>
  <c r="Q38" i="41"/>
  <c r="Q39" i="41"/>
  <c r="Q40" i="41"/>
  <c r="Q41" i="41"/>
  <c r="Q42" i="41"/>
  <c r="Q43" i="41"/>
  <c r="Q44" i="41"/>
  <c r="Q45" i="41"/>
  <c r="Q46" i="41"/>
  <c r="Q47" i="41"/>
  <c r="Q48" i="41"/>
  <c r="Q49" i="41"/>
  <c r="Q50" i="41"/>
  <c r="Q51" i="41"/>
  <c r="Q52" i="41"/>
  <c r="Q53" i="41"/>
  <c r="Q54" i="41"/>
  <c r="Q55" i="41"/>
  <c r="Q56" i="41"/>
  <c r="Q57" i="41"/>
  <c r="Q58" i="41"/>
  <c r="Q59" i="41"/>
  <c r="Q60" i="41"/>
  <c r="Q61" i="41"/>
  <c r="Q62" i="41"/>
  <c r="Q63" i="41"/>
  <c r="Q64" i="41"/>
  <c r="Q65" i="41"/>
  <c r="Q66" i="41"/>
  <c r="Q67" i="41"/>
  <c r="Q68" i="41"/>
  <c r="Q69" i="41"/>
  <c r="Q70" i="41"/>
  <c r="Q71" i="41"/>
  <c r="Q72" i="41"/>
  <c r="Q73" i="41"/>
  <c r="Q74" i="41"/>
  <c r="Q75" i="41"/>
  <c r="Q76" i="41"/>
  <c r="Q77" i="41"/>
  <c r="Q78" i="41"/>
  <c r="Q79" i="41"/>
  <c r="Q2" i="41"/>
  <c r="L3" i="41"/>
  <c r="R3" i="41"/>
  <c r="L4" i="41"/>
  <c r="R4" i="41"/>
  <c r="L5" i="41"/>
  <c r="R5" i="41"/>
  <c r="L6" i="41"/>
  <c r="R6" i="41"/>
  <c r="L7" i="41"/>
  <c r="R7" i="41"/>
  <c r="L8" i="41"/>
  <c r="R8" i="41"/>
  <c r="L9" i="41"/>
  <c r="R9" i="41"/>
  <c r="L10" i="41"/>
  <c r="R10" i="41"/>
  <c r="L11" i="41"/>
  <c r="R11" i="41"/>
  <c r="L12" i="41"/>
  <c r="R12" i="41"/>
  <c r="L13" i="41"/>
  <c r="R13" i="41"/>
  <c r="L14" i="41"/>
  <c r="R14" i="41"/>
  <c r="L15" i="41"/>
  <c r="R15" i="41"/>
  <c r="L16" i="41"/>
  <c r="R16" i="41"/>
  <c r="L17" i="41"/>
  <c r="R17" i="41"/>
  <c r="L18" i="41"/>
  <c r="R18" i="41"/>
  <c r="L19" i="41"/>
  <c r="R19" i="41"/>
  <c r="L20" i="41"/>
  <c r="R20" i="41"/>
  <c r="L21" i="41"/>
  <c r="R21" i="41"/>
  <c r="L22" i="41"/>
  <c r="R22" i="41"/>
  <c r="L23" i="41"/>
  <c r="R23" i="41"/>
  <c r="L24" i="41"/>
  <c r="R24" i="41"/>
  <c r="L25" i="41"/>
  <c r="R25" i="41"/>
  <c r="L26" i="41"/>
  <c r="R26" i="41"/>
  <c r="L27" i="41"/>
  <c r="R27" i="41"/>
  <c r="L28" i="41"/>
  <c r="R28" i="41"/>
  <c r="L29" i="41"/>
  <c r="R29" i="41"/>
  <c r="L30" i="41"/>
  <c r="R30" i="41"/>
  <c r="L31" i="41"/>
  <c r="R31" i="41"/>
  <c r="L32" i="41"/>
  <c r="R32" i="41"/>
  <c r="L33" i="41"/>
  <c r="R33" i="41"/>
  <c r="L34" i="41"/>
  <c r="R34" i="41"/>
  <c r="L35" i="41"/>
  <c r="R35" i="41"/>
  <c r="L36" i="41"/>
  <c r="R36" i="41"/>
  <c r="L37" i="41"/>
  <c r="R37" i="41"/>
  <c r="L38" i="41"/>
  <c r="R38" i="41"/>
  <c r="L39" i="41"/>
  <c r="R39" i="41"/>
  <c r="L40" i="41"/>
  <c r="R40" i="41"/>
  <c r="L41" i="41"/>
  <c r="R41" i="41"/>
  <c r="L42" i="41"/>
  <c r="R42" i="41"/>
  <c r="AF17" i="40"/>
  <c r="L43" i="41"/>
  <c r="R43" i="41"/>
  <c r="L44" i="41"/>
  <c r="R44" i="41"/>
  <c r="L45" i="41"/>
  <c r="R45" i="41"/>
  <c r="L46" i="41"/>
  <c r="R46" i="41"/>
  <c r="L47" i="41"/>
  <c r="R47" i="41"/>
  <c r="L48" i="41"/>
  <c r="R48" i="41"/>
  <c r="L49" i="41"/>
  <c r="R49" i="41"/>
  <c r="L50" i="41"/>
  <c r="R50" i="41"/>
  <c r="L51" i="41"/>
  <c r="R51" i="41"/>
  <c r="L52" i="41"/>
  <c r="R52" i="41"/>
  <c r="L53" i="41"/>
  <c r="R53" i="41"/>
  <c r="L54" i="41"/>
  <c r="R54" i="41"/>
  <c r="L55" i="41"/>
  <c r="R55" i="41"/>
  <c r="L56" i="41"/>
  <c r="R56" i="41"/>
  <c r="AF16" i="40"/>
  <c r="L57" i="41"/>
  <c r="R57" i="41"/>
  <c r="AF11" i="40"/>
  <c r="L58" i="41"/>
  <c r="AG11" i="40" s="1"/>
  <c r="R58" i="41"/>
  <c r="AF6" i="40"/>
  <c r="L59" i="41"/>
  <c r="R59" i="41"/>
  <c r="L60" i="41"/>
  <c r="R60" i="41"/>
  <c r="L61" i="41"/>
  <c r="R61" i="41"/>
  <c r="AF12" i="40"/>
  <c r="L62" i="41"/>
  <c r="R62" i="41"/>
  <c r="AF15" i="40"/>
  <c r="L63" i="41"/>
  <c r="R63" i="41"/>
  <c r="AM10" i="45" s="1"/>
  <c r="L64" i="41"/>
  <c r="R64" i="41"/>
  <c r="AM8" i="45" s="1"/>
  <c r="L65" i="41"/>
  <c r="R65" i="41"/>
  <c r="AM6" i="45" s="1"/>
  <c r="L66" i="41"/>
  <c r="R66" i="41"/>
  <c r="AM9" i="45" s="1"/>
  <c r="L67" i="41"/>
  <c r="R67" i="41"/>
  <c r="AM7" i="45" s="1"/>
  <c r="L68" i="41"/>
  <c r="R68" i="41"/>
  <c r="AM12" i="45" s="1"/>
  <c r="L69" i="41"/>
  <c r="R69" i="41"/>
  <c r="AM11" i="45" s="1"/>
  <c r="L70" i="41"/>
  <c r="R70" i="41"/>
  <c r="AM15" i="45" s="1"/>
  <c r="L71" i="41"/>
  <c r="R71" i="41"/>
  <c r="AM14" i="45" s="1"/>
  <c r="L72" i="41"/>
  <c r="R72" i="41"/>
  <c r="AM13" i="45" s="1"/>
  <c r="L73" i="41"/>
  <c r="R73" i="41"/>
  <c r="L74" i="41"/>
  <c r="R74" i="41"/>
  <c r="L75" i="41"/>
  <c r="R75" i="41"/>
  <c r="L76" i="41"/>
  <c r="R76" i="41"/>
  <c r="L77" i="41"/>
  <c r="R77" i="41"/>
  <c r="L78" i="41"/>
  <c r="R78" i="41"/>
  <c r="AO18" i="46" s="1"/>
  <c r="L79" i="41"/>
  <c r="R79" i="41"/>
  <c r="AO19" i="46" s="1"/>
  <c r="AI9" i="46"/>
  <c r="R2" i="41"/>
  <c r="L2" i="41"/>
  <c r="W72" i="41"/>
  <c r="U72" i="41"/>
  <c r="AI10" i="46" l="1"/>
  <c r="C31" i="46"/>
  <c r="AI7" i="46"/>
  <c r="AG7" i="40"/>
  <c r="AI11" i="46"/>
  <c r="AI13" i="46"/>
  <c r="AI8" i="46"/>
  <c r="AI16" i="46"/>
  <c r="AI14" i="46"/>
  <c r="AI6" i="46"/>
  <c r="AR6" i="46"/>
  <c r="AO6" i="46"/>
  <c r="AQ6" i="46"/>
  <c r="AN6" i="46"/>
  <c r="AM6" i="46"/>
  <c r="AQ13" i="46"/>
  <c r="AQ14" i="46"/>
  <c r="AR13" i="46"/>
  <c r="AR14" i="46"/>
  <c r="AN13" i="46"/>
  <c r="AN14" i="46"/>
  <c r="AO13" i="46"/>
  <c r="AO14" i="46"/>
  <c r="AM13" i="46"/>
  <c r="AM14" i="46"/>
  <c r="AM16" i="46"/>
  <c r="AQ7" i="46"/>
  <c r="AQ10" i="46"/>
  <c r="AR8" i="46"/>
  <c r="AR16" i="46"/>
  <c r="AQ9" i="46"/>
  <c r="AQ11" i="46"/>
  <c r="AN15" i="46"/>
  <c r="AM12" i="46"/>
  <c r="AO7" i="46"/>
  <c r="AO10" i="46"/>
  <c r="AQ12" i="46"/>
  <c r="AR12" i="46"/>
  <c r="AM7" i="46"/>
  <c r="AM10" i="46"/>
  <c r="AO11" i="46"/>
  <c r="AO9" i="46"/>
  <c r="AQ8" i="46"/>
  <c r="AQ16" i="46"/>
  <c r="AO8" i="46"/>
  <c r="AO16" i="46"/>
  <c r="AR15" i="46"/>
  <c r="AO15" i="46"/>
  <c r="AR9" i="46"/>
  <c r="AR11" i="46"/>
  <c r="AN7" i="46"/>
  <c r="AN10" i="46"/>
  <c r="AI15" i="46"/>
  <c r="AN8" i="46"/>
  <c r="AN16" i="46"/>
  <c r="AM8" i="46"/>
  <c r="AN9" i="46"/>
  <c r="AN12" i="46"/>
  <c r="AM15" i="46"/>
  <c r="AM9" i="46"/>
  <c r="AM11" i="46"/>
  <c r="AN11" i="46"/>
  <c r="AO12" i="46"/>
  <c r="AI12" i="46"/>
  <c r="AR7" i="46"/>
  <c r="AR10" i="46"/>
  <c r="AQ15" i="46"/>
  <c r="AG9" i="40"/>
  <c r="AG10" i="40"/>
  <c r="C36" i="46"/>
  <c r="C37" i="46" s="1"/>
  <c r="AC9" i="46"/>
  <c r="AC8" i="46"/>
  <c r="AC7" i="46"/>
  <c r="AC13" i="46"/>
  <c r="AC20" i="46"/>
  <c r="AC12" i="46"/>
  <c r="AC6" i="46"/>
  <c r="AC25" i="46"/>
  <c r="AC19" i="46"/>
  <c r="AC24" i="46"/>
  <c r="AC17" i="46"/>
  <c r="AC11" i="46"/>
  <c r="AC18" i="46"/>
  <c r="AC10" i="46"/>
  <c r="AC16" i="46"/>
  <c r="AC23" i="46"/>
  <c r="E22" i="46" s="1"/>
  <c r="AC15" i="46"/>
  <c r="AC22" i="46"/>
  <c r="AC14" i="46"/>
  <c r="C31" i="45"/>
  <c r="C34" i="45"/>
  <c r="AG12" i="40"/>
  <c r="AG8" i="40"/>
  <c r="AS23" i="40"/>
  <c r="AS11" i="40"/>
  <c r="AJ6" i="40"/>
  <c r="AJ14" i="40"/>
  <c r="AJ13" i="40"/>
  <c r="AJ11" i="40"/>
  <c r="AJ21" i="40"/>
  <c r="AJ24" i="40"/>
  <c r="AJ17" i="40"/>
  <c r="AJ10" i="40"/>
  <c r="AJ25" i="40"/>
  <c r="AI23" i="40"/>
  <c r="AJ23" i="40"/>
  <c r="AI22" i="40"/>
  <c r="AJ22" i="40"/>
  <c r="AI20" i="40"/>
  <c r="AJ20" i="40"/>
  <c r="AI19" i="40"/>
  <c r="AJ19" i="40"/>
  <c r="AI18" i="40"/>
  <c r="AJ18" i="40"/>
  <c r="AI16" i="40"/>
  <c r="AJ16" i="40"/>
  <c r="AI15" i="40"/>
  <c r="AJ15" i="40"/>
  <c r="AI12" i="40"/>
  <c r="AJ12" i="40"/>
  <c r="AI9" i="40"/>
  <c r="AJ9" i="40"/>
  <c r="AI8" i="40"/>
  <c r="AJ8" i="40"/>
  <c r="AI7" i="40"/>
  <c r="AJ7" i="40"/>
  <c r="AS16" i="40"/>
  <c r="AS13" i="40"/>
  <c r="AS25" i="40"/>
  <c r="AM14" i="40"/>
  <c r="AM16" i="40"/>
  <c r="AP7" i="40"/>
  <c r="AL15" i="40"/>
  <c r="AO12" i="40"/>
  <c r="AK16" i="40"/>
  <c r="AP6" i="40"/>
  <c r="AL12" i="40"/>
  <c r="AO10" i="40"/>
  <c r="AK8" i="40"/>
  <c r="AM10" i="40"/>
  <c r="AP11" i="40"/>
  <c r="AL10" i="40"/>
  <c r="AO7" i="40"/>
  <c r="AK17" i="40"/>
  <c r="AP16" i="40"/>
  <c r="AL7" i="40"/>
  <c r="AO6" i="40"/>
  <c r="AK9" i="40"/>
  <c r="AP8" i="40"/>
  <c r="AL6" i="40"/>
  <c r="AO11" i="40"/>
  <c r="AK14" i="40"/>
  <c r="AM7" i="40"/>
  <c r="AM17" i="40"/>
  <c r="AP17" i="40"/>
  <c r="AL11" i="40"/>
  <c r="AO16" i="40"/>
  <c r="AK13" i="40"/>
  <c r="AP9" i="40"/>
  <c r="AL16" i="40"/>
  <c r="AO8" i="40"/>
  <c r="AK15" i="40"/>
  <c r="AP14" i="40"/>
  <c r="AL8" i="40"/>
  <c r="AO17" i="40"/>
  <c r="AK12" i="40"/>
  <c r="AM15" i="40"/>
  <c r="AP13" i="40"/>
  <c r="AL17" i="40"/>
  <c r="AO9" i="40"/>
  <c r="AK10" i="40"/>
  <c r="AM9" i="40"/>
  <c r="AP15" i="40"/>
  <c r="AL9" i="40"/>
  <c r="AO14" i="40"/>
  <c r="AK7" i="40"/>
  <c r="AM13" i="40"/>
  <c r="AM6" i="40"/>
  <c r="AM11" i="40"/>
  <c r="AP12" i="40"/>
  <c r="AL14" i="40"/>
  <c r="AO13" i="40"/>
  <c r="AK6" i="40"/>
  <c r="AM8" i="40"/>
  <c r="AM12" i="40"/>
  <c r="AP10" i="40"/>
  <c r="AL13" i="40"/>
  <c r="AO15" i="40"/>
  <c r="AK11" i="40"/>
  <c r="AS6" i="40"/>
  <c r="AS19" i="40"/>
  <c r="AS18" i="40"/>
  <c r="AS7" i="40"/>
  <c r="AS20" i="40"/>
  <c r="AS8" i="40"/>
  <c r="AS17" i="40"/>
  <c r="AS14" i="40"/>
  <c r="AS24" i="40"/>
  <c r="AS12" i="40"/>
  <c r="AS22" i="40"/>
  <c r="AS10" i="40"/>
  <c r="AS21" i="40"/>
  <c r="AS9" i="40"/>
  <c r="AI25" i="40"/>
  <c r="AI14" i="40"/>
  <c r="AI21" i="40"/>
  <c r="AI11" i="40"/>
  <c r="AI6" i="40"/>
  <c r="AI17" i="40"/>
  <c r="AI13" i="40"/>
  <c r="AI10" i="40"/>
  <c r="AI24" i="40"/>
  <c r="AF14" i="40"/>
  <c r="AF13" i="40"/>
  <c r="AG17" i="40"/>
  <c r="AG16" i="40"/>
  <c r="AG15" i="40"/>
  <c r="AF10" i="40"/>
  <c r="AG6" i="40"/>
  <c r="AG14" i="40"/>
  <c r="AF9" i="40"/>
  <c r="AG13" i="40"/>
  <c r="AF8" i="40"/>
  <c r="AF7" i="40"/>
  <c r="I31" i="40"/>
  <c r="I32" i="40"/>
  <c r="I33" i="40"/>
  <c r="I34" i="40"/>
  <c r="I35" i="40"/>
  <c r="I36" i="40"/>
  <c r="I37" i="40"/>
  <c r="I43" i="40"/>
  <c r="K55" i="40"/>
  <c r="K54" i="40"/>
  <c r="K53" i="40"/>
  <c r="K52" i="40"/>
  <c r="K51" i="40"/>
  <c r="I49" i="40"/>
  <c r="I48" i="40"/>
  <c r="I47" i="40"/>
  <c r="I46" i="40"/>
  <c r="I45" i="40"/>
  <c r="I44" i="40"/>
  <c r="C33" i="40"/>
  <c r="E33" i="40" s="1"/>
  <c r="D30" i="40"/>
  <c r="C30" i="40"/>
  <c r="D28" i="40"/>
  <c r="D32" i="40" s="1"/>
  <c r="C28" i="40"/>
  <c r="C32" i="40" s="1"/>
  <c r="T25" i="40"/>
  <c r="Z25" i="40" s="1"/>
  <c r="T24" i="40"/>
  <c r="Z24" i="40" s="1"/>
  <c r="T23" i="40"/>
  <c r="Z23" i="40" s="1"/>
  <c r="AB11" i="39"/>
  <c r="AC11" i="39"/>
  <c r="AI11" i="39"/>
  <c r="AJ11" i="39"/>
  <c r="AD11" i="39" l="1"/>
  <c r="AT19" i="46"/>
  <c r="AD7" i="46"/>
  <c r="AT18" i="46"/>
  <c r="AD25" i="46"/>
  <c r="AT23" i="46"/>
  <c r="AD19" i="46"/>
  <c r="AD23" i="46"/>
  <c r="AD13" i="46"/>
  <c r="AD20" i="46"/>
  <c r="AD17" i="46"/>
  <c r="AD12" i="46"/>
  <c r="AT6" i="46"/>
  <c r="AT8" i="46"/>
  <c r="AD6" i="46"/>
  <c r="L51" i="46" s="1" a="1"/>
  <c r="L51" i="46" s="1"/>
  <c r="AT7" i="46"/>
  <c r="AD22" i="46"/>
  <c r="AD8" i="46"/>
  <c r="AD24" i="46"/>
  <c r="AD9" i="46"/>
  <c r="AT12" i="46"/>
  <c r="AT22" i="46"/>
  <c r="AT21" i="46"/>
  <c r="AT16" i="46"/>
  <c r="AT10" i="46"/>
  <c r="AD16" i="46"/>
  <c r="AD10" i="46"/>
  <c r="AD11" i="46"/>
  <c r="AT13" i="46"/>
  <c r="AT11" i="46"/>
  <c r="AT24" i="46"/>
  <c r="AD14" i="46"/>
  <c r="AT20" i="46"/>
  <c r="AT15" i="46"/>
  <c r="AT25" i="46"/>
  <c r="AT9" i="46"/>
  <c r="AD18" i="46"/>
  <c r="AD21" i="46"/>
  <c r="AT17" i="46"/>
  <c r="AT14" i="46"/>
  <c r="AD15" i="46"/>
  <c r="C36" i="45"/>
  <c r="E32" i="40"/>
  <c r="E28" i="40"/>
  <c r="E30" i="40"/>
  <c r="C29" i="40"/>
  <c r="D29" i="40"/>
  <c r="C35" i="40"/>
  <c r="D35" i="40"/>
  <c r="AK11" i="39"/>
  <c r="AD26" i="46" l="1"/>
  <c r="AT26" i="46"/>
  <c r="AN11" i="39"/>
  <c r="L56" i="46"/>
  <c r="P52" i="46"/>
  <c r="P51" i="46"/>
  <c r="C38" i="45"/>
  <c r="AQ26" i="40"/>
  <c r="D31" i="40"/>
  <c r="D34" i="40"/>
  <c r="E35" i="40"/>
  <c r="E29" i="40"/>
  <c r="C31" i="40"/>
  <c r="C34" i="40"/>
  <c r="E34" i="40" s="1"/>
  <c r="Y26" i="40"/>
  <c r="AJ18" i="39"/>
  <c r="AI18" i="39"/>
  <c r="AC18" i="39"/>
  <c r="AB18" i="39"/>
  <c r="AJ19" i="39"/>
  <c r="AI19" i="39"/>
  <c r="AC19" i="39"/>
  <c r="AB19" i="39"/>
  <c r="J57" i="39"/>
  <c r="J56" i="39"/>
  <c r="J55" i="39"/>
  <c r="J54" i="39"/>
  <c r="J53" i="39"/>
  <c r="H51" i="39"/>
  <c r="H50" i="39"/>
  <c r="H49" i="39"/>
  <c r="H48" i="39"/>
  <c r="H47" i="39"/>
  <c r="H46" i="39"/>
  <c r="H45" i="39"/>
  <c r="H44" i="39"/>
  <c r="AM43" i="39"/>
  <c r="AL43" i="39"/>
  <c r="AK43" i="39"/>
  <c r="AJ43" i="39"/>
  <c r="AI43" i="39"/>
  <c r="AH43" i="39"/>
  <c r="AG43" i="39"/>
  <c r="AF43" i="39"/>
  <c r="AE43" i="39"/>
  <c r="AD43" i="39"/>
  <c r="AC43" i="39"/>
  <c r="AB43" i="39"/>
  <c r="AA43" i="39"/>
  <c r="Z43" i="39"/>
  <c r="Y43" i="39"/>
  <c r="X43" i="39"/>
  <c r="W43" i="39"/>
  <c r="V43" i="39"/>
  <c r="U43" i="39"/>
  <c r="T43" i="39"/>
  <c r="S43" i="39"/>
  <c r="R43" i="39"/>
  <c r="Q43" i="39"/>
  <c r="P43" i="39"/>
  <c r="O43" i="39"/>
  <c r="N43" i="39"/>
  <c r="M43" i="39"/>
  <c r="L43" i="39"/>
  <c r="K43" i="39"/>
  <c r="J43" i="39"/>
  <c r="H38" i="39"/>
  <c r="H37" i="39"/>
  <c r="H36" i="39"/>
  <c r="H35" i="39"/>
  <c r="H34" i="39"/>
  <c r="C32" i="39"/>
  <c r="E32" i="39" s="1"/>
  <c r="H33" i="39"/>
  <c r="H32" i="39"/>
  <c r="H31" i="39"/>
  <c r="D29" i="39"/>
  <c r="C29" i="39"/>
  <c r="AM30" i="39"/>
  <c r="AL30" i="39"/>
  <c r="AK30" i="39"/>
  <c r="AJ30" i="39"/>
  <c r="AI30" i="39"/>
  <c r="AH30" i="39"/>
  <c r="AG30" i="39"/>
  <c r="AF30" i="39"/>
  <c r="AE30" i="39"/>
  <c r="AD30" i="39"/>
  <c r="AC30" i="39"/>
  <c r="AB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D27" i="39"/>
  <c r="D31" i="39" s="1"/>
  <c r="C27" i="39"/>
  <c r="C31" i="39" s="1"/>
  <c r="AJ25" i="39"/>
  <c r="AI25" i="39"/>
  <c r="AC25" i="39"/>
  <c r="AB25" i="39"/>
  <c r="Z25" i="39"/>
  <c r="AF25" i="39" s="1"/>
  <c r="AJ24" i="39"/>
  <c r="AI24" i="39"/>
  <c r="AC24" i="39"/>
  <c r="AB24" i="39"/>
  <c r="Z24" i="39"/>
  <c r="AF24" i="39" s="1"/>
  <c r="AJ23" i="39"/>
  <c r="AI23" i="39"/>
  <c r="AC23" i="39"/>
  <c r="AB23" i="39"/>
  <c r="AJ22" i="39"/>
  <c r="AI22" i="39"/>
  <c r="AC22" i="39"/>
  <c r="AB22" i="39"/>
  <c r="AJ21" i="39"/>
  <c r="AI21" i="39"/>
  <c r="AC21" i="39"/>
  <c r="AB21" i="39"/>
  <c r="AJ20" i="39"/>
  <c r="AI20" i="39"/>
  <c r="AC20" i="39"/>
  <c r="AB20" i="39"/>
  <c r="AJ17" i="39"/>
  <c r="AI17" i="39"/>
  <c r="AC17" i="39"/>
  <c r="AB17" i="39"/>
  <c r="AJ16" i="39"/>
  <c r="AI16" i="39"/>
  <c r="AC16" i="39"/>
  <c r="AB16" i="39"/>
  <c r="AJ15" i="39"/>
  <c r="AI15" i="39"/>
  <c r="AC15" i="39"/>
  <c r="AB15" i="39"/>
  <c r="AJ14" i="39"/>
  <c r="AI14" i="39"/>
  <c r="AC14" i="39"/>
  <c r="AB14" i="39"/>
  <c r="AJ13" i="39"/>
  <c r="AI13" i="39"/>
  <c r="AC13" i="39"/>
  <c r="AB13" i="39"/>
  <c r="AJ12" i="39"/>
  <c r="AI12" i="39"/>
  <c r="AC12" i="39"/>
  <c r="AB12" i="39"/>
  <c r="AJ10" i="39"/>
  <c r="AI10" i="39"/>
  <c r="AC10" i="39"/>
  <c r="AB10" i="39"/>
  <c r="AJ9" i="39"/>
  <c r="AI9" i="39"/>
  <c r="AC9" i="39"/>
  <c r="AB9" i="39"/>
  <c r="AJ8" i="39"/>
  <c r="AI8" i="39"/>
  <c r="AC8" i="39"/>
  <c r="AB8" i="39"/>
  <c r="AJ7" i="39"/>
  <c r="AI7" i="39"/>
  <c r="AC7" i="39"/>
  <c r="AB7" i="39"/>
  <c r="AJ6" i="39"/>
  <c r="AI6" i="39"/>
  <c r="AC6" i="39"/>
  <c r="AB6" i="39"/>
  <c r="AM43" i="38"/>
  <c r="AL43" i="38"/>
  <c r="AK43" i="38"/>
  <c r="AJ43" i="38"/>
  <c r="AI43" i="38"/>
  <c r="AM30" i="38"/>
  <c r="AL30" i="38"/>
  <c r="AK30" i="38"/>
  <c r="AJ30" i="38"/>
  <c r="AI30" i="38"/>
  <c r="J57" i="38"/>
  <c r="J56" i="38"/>
  <c r="J55" i="38"/>
  <c r="J54" i="38"/>
  <c r="J53" i="38"/>
  <c r="H51" i="38"/>
  <c r="H50" i="38"/>
  <c r="H49" i="38"/>
  <c r="H48" i="38"/>
  <c r="H47" i="38"/>
  <c r="H46" i="38"/>
  <c r="H45" i="38"/>
  <c r="H44" i="38"/>
  <c r="AR43" i="38"/>
  <c r="AQ43" i="38"/>
  <c r="AP43" i="38"/>
  <c r="AO43" i="38"/>
  <c r="AN43" i="38"/>
  <c r="AH43" i="38"/>
  <c r="AG43" i="38"/>
  <c r="AF43" i="38"/>
  <c r="AE43" i="38"/>
  <c r="AD43" i="38"/>
  <c r="AC43" i="38"/>
  <c r="AB43" i="38"/>
  <c r="AA43" i="38"/>
  <c r="Z43" i="38"/>
  <c r="Y43" i="38"/>
  <c r="X43" i="38"/>
  <c r="W43" i="38"/>
  <c r="V43" i="38"/>
  <c r="U43" i="38"/>
  <c r="T43" i="38"/>
  <c r="S43" i="38"/>
  <c r="R43" i="38"/>
  <c r="Q43" i="38"/>
  <c r="P43" i="38"/>
  <c r="O43" i="38"/>
  <c r="N43" i="38"/>
  <c r="M43" i="38"/>
  <c r="L43" i="38"/>
  <c r="K43" i="38"/>
  <c r="J43" i="38"/>
  <c r="H38" i="38"/>
  <c r="H37" i="38"/>
  <c r="H36" i="38"/>
  <c r="H35" i="38"/>
  <c r="H34" i="38"/>
  <c r="C32" i="38"/>
  <c r="E32" i="38" s="1"/>
  <c r="H33" i="38"/>
  <c r="H32" i="38"/>
  <c r="H31" i="38"/>
  <c r="D29" i="38"/>
  <c r="C29" i="38"/>
  <c r="AR30" i="38"/>
  <c r="AQ30" i="38"/>
  <c r="AP30" i="38"/>
  <c r="AO30" i="38"/>
  <c r="AN30" i="38"/>
  <c r="AH30" i="38"/>
  <c r="AG30" i="38"/>
  <c r="AF30" i="38"/>
  <c r="AE30" i="38"/>
  <c r="AD30" i="38"/>
  <c r="AC30" i="38"/>
  <c r="AB30" i="38"/>
  <c r="AA30" i="38"/>
  <c r="Z30" i="38"/>
  <c r="Y30" i="38"/>
  <c r="X30" i="38"/>
  <c r="W30" i="38"/>
  <c r="V30" i="38"/>
  <c r="U30" i="38"/>
  <c r="T30" i="38"/>
  <c r="S30" i="38"/>
  <c r="R30" i="38"/>
  <c r="Q30" i="38"/>
  <c r="P30" i="38"/>
  <c r="O30" i="38"/>
  <c r="N30" i="38"/>
  <c r="M30" i="38"/>
  <c r="L30" i="38"/>
  <c r="K30" i="38"/>
  <c r="J30" i="38"/>
  <c r="D27" i="38"/>
  <c r="D31" i="38" s="1"/>
  <c r="C27" i="38"/>
  <c r="J54" i="36"/>
  <c r="J55" i="36"/>
  <c r="J56" i="36"/>
  <c r="J57" i="36"/>
  <c r="J53" i="36"/>
  <c r="H51" i="36"/>
  <c r="H50" i="36"/>
  <c r="H49" i="36"/>
  <c r="H48" i="36"/>
  <c r="H47" i="36"/>
  <c r="H46" i="36"/>
  <c r="H45" i="36"/>
  <c r="H44" i="36"/>
  <c r="AM43" i="36"/>
  <c r="AL43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Y43" i="36"/>
  <c r="X43" i="36"/>
  <c r="W43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C32" i="36"/>
  <c r="E32" i="36" s="1"/>
  <c r="H38" i="36"/>
  <c r="D29" i="36"/>
  <c r="C29" i="36"/>
  <c r="H37" i="36"/>
  <c r="H36" i="36"/>
  <c r="D27" i="36"/>
  <c r="D28" i="36" s="1"/>
  <c r="C27" i="36"/>
  <c r="C28" i="36" s="1"/>
  <c r="H35" i="36"/>
  <c r="H34" i="36"/>
  <c r="H33" i="36"/>
  <c r="H32" i="36"/>
  <c r="H31" i="36"/>
  <c r="AM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H44" i="35"/>
  <c r="H45" i="35"/>
  <c r="H46" i="35"/>
  <c r="H47" i="35"/>
  <c r="H48" i="35"/>
  <c r="H49" i="35"/>
  <c r="H43" i="35"/>
  <c r="AM42" i="35"/>
  <c r="AL42" i="35"/>
  <c r="AK42" i="35"/>
  <c r="AJ42" i="35"/>
  <c r="AI42" i="35"/>
  <c r="AH42" i="35"/>
  <c r="AG42" i="35"/>
  <c r="AF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H32" i="35"/>
  <c r="H33" i="35"/>
  <c r="H34" i="35"/>
  <c r="H35" i="35"/>
  <c r="H36" i="35"/>
  <c r="H37" i="35"/>
  <c r="C29" i="35"/>
  <c r="E29" i="35" s="1"/>
  <c r="D26" i="35"/>
  <c r="C26" i="35"/>
  <c r="D24" i="35"/>
  <c r="D28" i="35" s="1"/>
  <c r="C24" i="35"/>
  <c r="H31" i="35"/>
  <c r="AM30" i="35"/>
  <c r="AL30" i="35"/>
  <c r="AK30" i="35"/>
  <c r="AJ30" i="35"/>
  <c r="AI30" i="35"/>
  <c r="AH30" i="35"/>
  <c r="AG30" i="35"/>
  <c r="AF30" i="35"/>
  <c r="AE30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9" i="34"/>
  <c r="AN38" i="34"/>
  <c r="AM38" i="34"/>
  <c r="AL38" i="34"/>
  <c r="AK38" i="34"/>
  <c r="AJ38" i="34"/>
  <c r="AI38" i="34"/>
  <c r="AH38" i="34"/>
  <c r="AG38" i="34"/>
  <c r="AF38" i="34"/>
  <c r="AE38" i="34"/>
  <c r="AD38" i="34"/>
  <c r="AC38" i="34"/>
  <c r="AB38" i="34"/>
  <c r="AA38" i="34"/>
  <c r="Z38" i="34"/>
  <c r="Y38" i="34"/>
  <c r="X38" i="34"/>
  <c r="W38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AC13" i="34"/>
  <c r="AB13" i="34"/>
  <c r="AD13" i="34" s="1"/>
  <c r="AC8" i="34"/>
  <c r="AB8" i="34"/>
  <c r="AC15" i="34"/>
  <c r="AB15" i="34"/>
  <c r="AC14" i="34"/>
  <c r="AB14" i="34"/>
  <c r="AC12" i="34"/>
  <c r="AB12" i="34"/>
  <c r="AC11" i="34"/>
  <c r="AB11" i="34"/>
  <c r="AC10" i="34"/>
  <c r="AB10" i="34"/>
  <c r="AC9" i="34"/>
  <c r="AB9" i="34"/>
  <c r="AC7" i="34"/>
  <c r="AB7" i="34"/>
  <c r="AC6" i="34"/>
  <c r="AB6" i="34"/>
  <c r="AB5" i="34"/>
  <c r="D28" i="34"/>
  <c r="C28" i="34"/>
  <c r="I29" i="34"/>
  <c r="I28" i="34"/>
  <c r="I27" i="34"/>
  <c r="I26" i="34"/>
  <c r="I25" i="34"/>
  <c r="D23" i="34"/>
  <c r="I43" i="34" s="1"/>
  <c r="C23" i="34"/>
  <c r="I24" i="34"/>
  <c r="AN23" i="34"/>
  <c r="AM23" i="34"/>
  <c r="AL23" i="34"/>
  <c r="AK23" i="34"/>
  <c r="AJ23" i="34"/>
  <c r="AI23" i="34"/>
  <c r="AH23" i="34"/>
  <c r="AG23" i="34"/>
  <c r="AF23" i="34"/>
  <c r="AE23" i="34"/>
  <c r="AD23" i="34"/>
  <c r="AC23" i="34"/>
  <c r="AB23" i="34"/>
  <c r="AA23" i="34"/>
  <c r="Z23" i="34"/>
  <c r="Y23" i="34"/>
  <c r="X23" i="34"/>
  <c r="W23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D21" i="34"/>
  <c r="I41" i="34" s="1"/>
  <c r="C21" i="34"/>
  <c r="D20" i="34"/>
  <c r="C20" i="34"/>
  <c r="AC5" i="34"/>
  <c r="AA13" i="39" a="1"/>
  <c r="AA15" i="39" a="1"/>
  <c r="AA10" i="39" a="1"/>
  <c r="AA11" i="39" a="1"/>
  <c r="AA21" i="39" a="1"/>
  <c r="AA19" i="39" a="1"/>
  <c r="AA12" i="39" a="1"/>
  <c r="AA6" i="39" a="1"/>
  <c r="AA14" i="39" a="1"/>
  <c r="AA9" i="39" a="1"/>
  <c r="AA18" i="39" a="1"/>
  <c r="AA7" i="39" a="1"/>
  <c r="AA23" i="39" a="1"/>
  <c r="AA25" i="39" a="1"/>
  <c r="AA8" i="39" a="1"/>
  <c r="AA16" i="39" a="1"/>
  <c r="E29" i="38" l="1"/>
  <c r="AA15" i="39"/>
  <c r="AA16" i="39"/>
  <c r="AA23" i="39"/>
  <c r="AA12" i="39"/>
  <c r="AA9" i="39"/>
  <c r="AA19" i="39"/>
  <c r="AA14" i="39"/>
  <c r="AA21" i="39"/>
  <c r="AA18" i="39"/>
  <c r="AA6" i="39"/>
  <c r="AA11" i="39"/>
  <c r="AA10" i="39"/>
  <c r="AA13" i="39"/>
  <c r="AA8" i="39"/>
  <c r="AA7" i="39"/>
  <c r="AA25" i="39"/>
  <c r="M55" i="46"/>
  <c r="M54" i="46"/>
  <c r="M53" i="46"/>
  <c r="M52" i="46"/>
  <c r="M51" i="46"/>
  <c r="AA18" i="40"/>
  <c r="AA17" i="40"/>
  <c r="E31" i="40"/>
  <c r="C36" i="40"/>
  <c r="AA24" i="40"/>
  <c r="AA12" i="40"/>
  <c r="AA11" i="40"/>
  <c r="AA10" i="40"/>
  <c r="AA22" i="40"/>
  <c r="AA9" i="40"/>
  <c r="AA23" i="40"/>
  <c r="AA8" i="40"/>
  <c r="AA21" i="40"/>
  <c r="AA7" i="40"/>
  <c r="AA20" i="40"/>
  <c r="AA6" i="40"/>
  <c r="AA15" i="40"/>
  <c r="AA14" i="40"/>
  <c r="AA13" i="40"/>
  <c r="AA19" i="40"/>
  <c r="AA16" i="40"/>
  <c r="AA25" i="40"/>
  <c r="D36" i="40"/>
  <c r="D38" i="40" s="1"/>
  <c r="D39" i="40" s="1"/>
  <c r="AK22" i="39"/>
  <c r="AD16" i="39"/>
  <c r="AD14" i="39"/>
  <c r="AD18" i="39"/>
  <c r="AK18" i="39"/>
  <c r="AK19" i="39"/>
  <c r="AD19" i="39"/>
  <c r="D34" i="39"/>
  <c r="E31" i="39"/>
  <c r="E29" i="39"/>
  <c r="E27" i="39"/>
  <c r="D28" i="39"/>
  <c r="D30" i="39" s="1"/>
  <c r="AK7" i="39"/>
  <c r="AK21" i="39"/>
  <c r="AK6" i="39"/>
  <c r="AK24" i="39"/>
  <c r="AK8" i="39"/>
  <c r="AK12" i="39"/>
  <c r="AK23" i="39"/>
  <c r="AE25" i="39"/>
  <c r="AD25" i="39"/>
  <c r="AD24" i="39"/>
  <c r="AN24" i="39" s="1"/>
  <c r="AD17" i="39"/>
  <c r="AD22" i="39"/>
  <c r="AN22" i="39" s="1"/>
  <c r="AD9" i="39"/>
  <c r="AD13" i="39"/>
  <c r="AD15" i="39"/>
  <c r="AK9" i="39"/>
  <c r="AK25" i="39"/>
  <c r="AK10" i="39"/>
  <c r="AK13" i="39"/>
  <c r="AK20" i="39"/>
  <c r="AD20" i="39"/>
  <c r="AN20" i="39" s="1"/>
  <c r="AD21" i="39"/>
  <c r="AL25" i="39"/>
  <c r="C28" i="39"/>
  <c r="AD7" i="39"/>
  <c r="AN7" i="39" s="1"/>
  <c r="AK14" i="39"/>
  <c r="AD8" i="39"/>
  <c r="AK15" i="39"/>
  <c r="AD10" i="39"/>
  <c r="AK16" i="39"/>
  <c r="AD6" i="39"/>
  <c r="AD12" i="39"/>
  <c r="AK17" i="39"/>
  <c r="AD23" i="39"/>
  <c r="C34" i="39"/>
  <c r="D27" i="34"/>
  <c r="I40" i="34"/>
  <c r="C28" i="38"/>
  <c r="C30" i="38" s="1"/>
  <c r="C34" i="38"/>
  <c r="D34" i="38"/>
  <c r="E27" i="38"/>
  <c r="D28" i="38"/>
  <c r="E28" i="38" s="1"/>
  <c r="C31" i="38"/>
  <c r="E31" i="38" s="1"/>
  <c r="C31" i="36"/>
  <c r="D31" i="36"/>
  <c r="C34" i="36"/>
  <c r="D34" i="36"/>
  <c r="C33" i="36"/>
  <c r="C30" i="36"/>
  <c r="E28" i="36"/>
  <c r="D33" i="36"/>
  <c r="D30" i="36"/>
  <c r="E27" i="36"/>
  <c r="E24" i="35"/>
  <c r="D25" i="35"/>
  <c r="D30" i="35" s="1"/>
  <c r="C31" i="35"/>
  <c r="D31" i="35"/>
  <c r="C28" i="35"/>
  <c r="E28" i="35" s="1"/>
  <c r="C25" i="35"/>
  <c r="C30" i="35" s="1"/>
  <c r="AD8" i="34"/>
  <c r="AD9" i="34"/>
  <c r="AD6" i="34"/>
  <c r="AD14" i="34"/>
  <c r="AD11" i="34"/>
  <c r="AD12" i="34"/>
  <c r="AD7" i="34"/>
  <c r="AD10" i="34"/>
  <c r="AD15" i="34"/>
  <c r="E23" i="34"/>
  <c r="E28" i="34"/>
  <c r="AE17" i="34" s="1"/>
  <c r="E21" i="34"/>
  <c r="C22" i="34"/>
  <c r="C29" i="34" s="1"/>
  <c r="AD5" i="34"/>
  <c r="C27" i="34"/>
  <c r="E27" i="34" s="1"/>
  <c r="AE16" i="34" s="1"/>
  <c r="E20" i="34"/>
  <c r="D22" i="34"/>
  <c r="I42" i="34" s="1"/>
  <c r="W4" i="41"/>
  <c r="W7" i="41"/>
  <c r="W8" i="41"/>
  <c r="W5" i="41"/>
  <c r="W9" i="41"/>
  <c r="W12" i="41"/>
  <c r="W6" i="41"/>
  <c r="W3" i="41"/>
  <c r="L51" i="45" l="1" a="1"/>
  <c r="E36" i="40"/>
  <c r="C38" i="40"/>
  <c r="AN19" i="39"/>
  <c r="AN9" i="39"/>
  <c r="AN10" i="39"/>
  <c r="E34" i="39"/>
  <c r="AN17" i="39"/>
  <c r="AN12" i="39"/>
  <c r="AN8" i="39"/>
  <c r="AN13" i="39"/>
  <c r="AN14" i="39"/>
  <c r="AN16" i="39"/>
  <c r="D33" i="39"/>
  <c r="D35" i="39" s="1"/>
  <c r="D37" i="39" s="1"/>
  <c r="AN18" i="39"/>
  <c r="AN15" i="39"/>
  <c r="AN21" i="39"/>
  <c r="AN23" i="39"/>
  <c r="AF23" i="39"/>
  <c r="AM25" i="39"/>
  <c r="AN25" i="39"/>
  <c r="AK26" i="39"/>
  <c r="AN26" i="39" a="1"/>
  <c r="AN26" i="39" s="1"/>
  <c r="AN6" i="39"/>
  <c r="AD26" i="39"/>
  <c r="AG11" i="39" s="1"/>
  <c r="E28" i="39"/>
  <c r="C30" i="39"/>
  <c r="C33" i="39"/>
  <c r="C33" i="38"/>
  <c r="E34" i="38"/>
  <c r="C35" i="38"/>
  <c r="D33" i="38"/>
  <c r="E33" i="38" s="1"/>
  <c r="D30" i="38"/>
  <c r="E30" i="38" s="1"/>
  <c r="E34" i="36"/>
  <c r="D35" i="36"/>
  <c r="D37" i="36" s="1"/>
  <c r="E31" i="36"/>
  <c r="E33" i="36"/>
  <c r="E30" i="36"/>
  <c r="C35" i="36"/>
  <c r="E25" i="35"/>
  <c r="E30" i="35"/>
  <c r="D27" i="35"/>
  <c r="D32" i="35" s="1"/>
  <c r="D34" i="35" s="1"/>
  <c r="C27" i="35"/>
  <c r="E27" i="35" s="1"/>
  <c r="E31" i="35"/>
  <c r="E22" i="34"/>
  <c r="C24" i="34"/>
  <c r="C26" i="34" s="1"/>
  <c r="D24" i="34"/>
  <c r="I44" i="34" s="1"/>
  <c r="D29" i="34"/>
  <c r="E29" i="34" s="1"/>
  <c r="AE18" i="34" s="1"/>
  <c r="L51" i="45" l="1"/>
  <c r="AB9" i="40"/>
  <c r="AB21" i="40"/>
  <c r="AR13" i="40"/>
  <c r="AR25" i="40"/>
  <c r="AR16" i="40"/>
  <c r="AR18" i="40"/>
  <c r="AR7" i="40"/>
  <c r="AR19" i="40"/>
  <c r="AB20" i="40"/>
  <c r="AR11" i="40"/>
  <c r="AB11" i="40"/>
  <c r="AR8" i="40"/>
  <c r="AR15" i="40"/>
  <c r="AR24" i="40"/>
  <c r="AR9" i="40"/>
  <c r="AB8" i="40"/>
  <c r="AB6" i="40"/>
  <c r="AB14" i="40"/>
  <c r="AB24" i="40"/>
  <c r="AB7" i="40"/>
  <c r="AR14" i="40"/>
  <c r="AB17" i="40"/>
  <c r="AB13" i="40"/>
  <c r="AB18" i="40"/>
  <c r="AR22" i="40"/>
  <c r="AB16" i="40"/>
  <c r="AR21" i="40"/>
  <c r="AR17" i="40"/>
  <c r="AR10" i="40"/>
  <c r="AR20" i="40"/>
  <c r="AB19" i="40"/>
  <c r="AB22" i="40"/>
  <c r="AB23" i="40"/>
  <c r="AB15" i="40"/>
  <c r="AB25" i="40"/>
  <c r="AB10" i="40"/>
  <c r="AB12" i="40"/>
  <c r="AR12" i="40"/>
  <c r="AR23" i="40"/>
  <c r="AR6" i="40"/>
  <c r="E38" i="40"/>
  <c r="E33" i="39"/>
  <c r="AG19" i="39"/>
  <c r="AG18" i="39"/>
  <c r="E30" i="39"/>
  <c r="C35" i="39"/>
  <c r="AG24" i="39"/>
  <c r="AG13" i="39"/>
  <c r="AG23" i="39"/>
  <c r="AG15" i="39"/>
  <c r="AG10" i="39"/>
  <c r="AG20" i="39"/>
  <c r="AG22" i="39"/>
  <c r="AG9" i="39"/>
  <c r="AG6" i="39"/>
  <c r="AG8" i="39"/>
  <c r="AG21" i="39"/>
  <c r="AG7" i="39"/>
  <c r="AG17" i="39"/>
  <c r="AG25" i="39"/>
  <c r="AG14" i="39"/>
  <c r="AG12" i="39"/>
  <c r="AG16" i="39"/>
  <c r="C37" i="38"/>
  <c r="D35" i="38"/>
  <c r="D37" i="38" s="1"/>
  <c r="E35" i="36"/>
  <c r="C37" i="36"/>
  <c r="C32" i="35"/>
  <c r="E32" i="35" s="1"/>
  <c r="C25" i="34"/>
  <c r="C30" i="34" s="1"/>
  <c r="C31" i="34" s="1"/>
  <c r="D26" i="34"/>
  <c r="E26" i="34" s="1"/>
  <c r="D25" i="34"/>
  <c r="E24" i="34"/>
  <c r="P51" i="45" l="1"/>
  <c r="P52" i="45"/>
  <c r="L56" i="45"/>
  <c r="AB26" i="40"/>
  <c r="T18" i="40"/>
  <c r="Z18" i="40" s="1"/>
  <c r="T17" i="40"/>
  <c r="Z17" i="40" s="1"/>
  <c r="AR26" i="40"/>
  <c r="T20" i="40"/>
  <c r="Z20" i="40" s="1"/>
  <c r="T6" i="40"/>
  <c r="Z6" i="40" s="1"/>
  <c r="T19" i="40"/>
  <c r="Z19" i="40" s="1"/>
  <c r="T16" i="40"/>
  <c r="Z16" i="40" s="1"/>
  <c r="T15" i="40"/>
  <c r="Z15" i="40" s="1"/>
  <c r="T14" i="40"/>
  <c r="Z14" i="40" s="1"/>
  <c r="T13" i="40"/>
  <c r="Z13" i="40" s="1"/>
  <c r="T12" i="40"/>
  <c r="Z12" i="40" s="1"/>
  <c r="T8" i="40"/>
  <c r="Z8" i="40" s="1"/>
  <c r="T11" i="40"/>
  <c r="Z11" i="40" s="1"/>
  <c r="T10" i="40"/>
  <c r="Z10" i="40" s="1"/>
  <c r="T9" i="40"/>
  <c r="Z9" i="40" s="1"/>
  <c r="T21" i="40"/>
  <c r="Z21" i="40" s="1"/>
  <c r="T7" i="40"/>
  <c r="Z7" i="40" s="1"/>
  <c r="T22" i="40"/>
  <c r="Z22" i="40" s="1"/>
  <c r="L51" i="40" a="1"/>
  <c r="E35" i="39"/>
  <c r="C37" i="39"/>
  <c r="D38" i="38"/>
  <c r="E37" i="38"/>
  <c r="E20" i="38"/>
  <c r="E35" i="38"/>
  <c r="E37" i="36"/>
  <c r="D38" i="36"/>
  <c r="C34" i="35"/>
  <c r="D30" i="34"/>
  <c r="D31" i="34" s="1"/>
  <c r="D32" i="34" s="1"/>
  <c r="E25" i="34"/>
  <c r="E37" i="39" l="1"/>
  <c r="Z11" i="39" s="1"/>
  <c r="AF11" i="39" s="1"/>
  <c r="AE11" i="39"/>
  <c r="AL11" i="39"/>
  <c r="M55" i="45"/>
  <c r="M54" i="45"/>
  <c r="M53" i="45"/>
  <c r="M52" i="45"/>
  <c r="M51" i="45"/>
  <c r="L51" i="40"/>
  <c r="P52" i="40"/>
  <c r="AL18" i="39"/>
  <c r="AE18" i="39"/>
  <c r="AE19" i="39"/>
  <c r="AL19" i="39"/>
  <c r="AL21" i="39"/>
  <c r="AL7" i="39"/>
  <c r="AL24" i="39"/>
  <c r="AL12" i="39"/>
  <c r="AE24" i="39"/>
  <c r="AM24" i="39" s="1"/>
  <c r="E20" i="39" s="1"/>
  <c r="AL20" i="39"/>
  <c r="AE13" i="39"/>
  <c r="AL6" i="39"/>
  <c r="AE6" i="39"/>
  <c r="D38" i="39"/>
  <c r="AE20" i="39"/>
  <c r="AM20" i="39" s="1"/>
  <c r="AE17" i="39"/>
  <c r="AL10" i="39"/>
  <c r="AL23" i="39"/>
  <c r="AE16" i="39"/>
  <c r="AE14" i="39"/>
  <c r="AL13" i="39"/>
  <c r="AL14" i="39"/>
  <c r="AE10" i="39"/>
  <c r="AL22" i="39"/>
  <c r="AL8" i="39"/>
  <c r="AE21" i="39"/>
  <c r="AE22" i="39"/>
  <c r="AM22" i="39" s="1"/>
  <c r="AE7" i="39"/>
  <c r="AL16" i="39"/>
  <c r="AE9" i="39"/>
  <c r="AE15" i="39"/>
  <c r="AE23" i="39"/>
  <c r="AE8" i="39"/>
  <c r="AE12" i="39"/>
  <c r="AL17" i="39"/>
  <c r="AL15" i="39"/>
  <c r="AL9" i="39"/>
  <c r="E21" i="38"/>
  <c r="K53" i="38" a="1"/>
  <c r="K53" i="38" s="1"/>
  <c r="K58" i="38" s="1"/>
  <c r="K53" i="36" a="1"/>
  <c r="K53" i="36" s="1"/>
  <c r="E20" i="36"/>
  <c r="E21" i="36"/>
  <c r="D35" i="35"/>
  <c r="E34" i="35"/>
  <c r="AE13" i="34"/>
  <c r="AE8" i="34"/>
  <c r="AE15" i="34"/>
  <c r="AE10" i="34"/>
  <c r="AE6" i="34"/>
  <c r="AE14" i="34"/>
  <c r="AE12" i="34"/>
  <c r="AE7" i="34"/>
  <c r="AE11" i="34"/>
  <c r="AE9" i="34"/>
  <c r="E30" i="34"/>
  <c r="AE5" i="34"/>
  <c r="AM11" i="39" l="1"/>
  <c r="L56" i="40"/>
  <c r="P51" i="40"/>
  <c r="AM18" i="39"/>
  <c r="AM12" i="39"/>
  <c r="AM13" i="39"/>
  <c r="AM9" i="39"/>
  <c r="AM7" i="39"/>
  <c r="AM16" i="39"/>
  <c r="AM23" i="39"/>
  <c r="E21" i="39" s="1"/>
  <c r="AM14" i="39"/>
  <c r="AM19" i="39"/>
  <c r="Z19" i="39"/>
  <c r="AF19" i="39" s="1"/>
  <c r="Z18" i="39"/>
  <c r="AF18" i="39" s="1"/>
  <c r="AM10" i="39"/>
  <c r="AM8" i="39"/>
  <c r="AM15" i="39"/>
  <c r="AM17" i="39"/>
  <c r="Z20" i="39"/>
  <c r="AF20" i="39" s="1"/>
  <c r="Z6" i="39"/>
  <c r="AF6" i="39" s="1"/>
  <c r="AF8" i="39"/>
  <c r="Z16" i="39"/>
  <c r="AF16" i="39" s="1"/>
  <c r="Z13" i="39"/>
  <c r="AF13" i="39" s="1"/>
  <c r="Z22" i="39"/>
  <c r="AF22" i="39" s="1"/>
  <c r="Z9" i="39"/>
  <c r="AF9" i="39" s="1"/>
  <c r="Z15" i="39"/>
  <c r="AF15" i="39" s="1"/>
  <c r="Z12" i="39"/>
  <c r="AF12" i="39" s="1"/>
  <c r="Z14" i="39"/>
  <c r="AF14" i="39" s="1"/>
  <c r="Z21" i="39"/>
  <c r="AF21" i="39" s="1"/>
  <c r="Z7" i="39"/>
  <c r="AF7" i="39" s="1"/>
  <c r="Z17" i="39"/>
  <c r="Z10" i="39"/>
  <c r="AF10" i="39" s="1"/>
  <c r="AM6" i="39"/>
  <c r="AE26" i="39"/>
  <c r="AM21" i="39"/>
  <c r="K53" i="39" a="1"/>
  <c r="AL26" i="39"/>
  <c r="L57" i="38"/>
  <c r="L53" i="38"/>
  <c r="L56" i="38"/>
  <c r="L55" i="38"/>
  <c r="L54" i="38"/>
  <c r="K58" i="36"/>
  <c r="AD19" i="34"/>
  <c r="M54" i="40" l="1"/>
  <c r="M53" i="40"/>
  <c r="M52" i="40"/>
  <c r="M55" i="40"/>
  <c r="M51" i="40"/>
  <c r="K53" i="39"/>
  <c r="O54" i="39" s="1"/>
  <c r="AF17" i="39"/>
  <c r="Z26" i="39"/>
  <c r="L53" i="36"/>
  <c r="L55" i="36"/>
  <c r="L54" i="36"/>
  <c r="L57" i="36"/>
  <c r="L56" i="36"/>
  <c r="AF8" i="34"/>
  <c r="AF13" i="34"/>
  <c r="AF15" i="34"/>
  <c r="AF6" i="34"/>
  <c r="AF12" i="34"/>
  <c r="AF10" i="34"/>
  <c r="AF7" i="34"/>
  <c r="AF11" i="34"/>
  <c r="AF14" i="34"/>
  <c r="AF9" i="34"/>
  <c r="AF5" i="34"/>
  <c r="AF16" i="34"/>
  <c r="AF18" i="34"/>
  <c r="AF17" i="34"/>
  <c r="K58" i="39" l="1"/>
  <c r="O53" i="39"/>
  <c r="AE19" i="34"/>
  <c r="L57" i="39" l="1"/>
  <c r="L55" i="39"/>
  <c r="L54" i="39"/>
  <c r="L53" i="39"/>
  <c r="L56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tc={592B6708-D794-9C46-A700-A3A6FBD3B810}</author>
    <author>tc={B134C970-1C7D-AA4A-B0A7-05E452168F8B}</author>
    <author>tc={E16126B9-7B59-8148-9122-20B92A18EC6B}</author>
    <author>tc={44F0888D-ABC1-DB40-BBC4-E9D27A2C2A43}</author>
    <author>tc={B6AB3F6F-C9AF-5C44-8C42-A24C07CFF0E7}</author>
    <author>tc={7F615707-978F-5C47-A4DF-62A8C571C350}</author>
  </authors>
  <commentList>
    <comment ref="B3" authorId="0" shapeId="0" xr:uid="{592B6708-D794-9C46-A700-A3A6FBD3B810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B134C970-1C7D-AA4A-B0A7-05E452168F8B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F3" authorId="2" shapeId="0" xr:uid="{E16126B9-7B59-8148-9122-20B92A18EC6B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holidays in the cycle</t>
      </text>
    </comment>
    <comment ref="B11" authorId="3" shapeId="0" xr:uid="{44F0888D-ABC1-DB40-BBC4-E9D27A2C2A4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2" authorId="4" shapeId="0" xr:uid="{B6AB3F6F-C9AF-5C44-8C42-A24C07CFF0E7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29" authorId="5" shapeId="0" xr:uid="{7F615707-978F-5C47-A4DF-62A8C571C350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
- Planning
- Demo
- Retro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tc={BFE271ED-0E1B-1C4B-969F-0243266D6BAC}</author>
    <author>tc={524DDDBC-1583-3541-AD3F-0B188F440142}</author>
    <author>tc={28DA77D6-81D1-BD44-B16D-CA6F32610160}</author>
    <author>tc={49AE6594-B674-3548-88E1-A480177444C7}</author>
    <author>tc={72330E16-12B1-1441-B5DF-5341BD1C8E8C}</author>
    <author>tc={419ADE27-0153-6A40-9DEA-4787758F2166}</author>
    <author>tc={06EDB49E-9288-CF44-9B63-EE9D204C9B20}</author>
  </authors>
  <commentList>
    <comment ref="B3" authorId="0" shapeId="0" xr:uid="{BFE271ED-0E1B-1C4B-969F-0243266D6BAC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524DDDBC-1583-3541-AD3F-0B188F440142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28DA77D6-81D1-BD44-B16D-CA6F32610160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3" authorId="3" shapeId="0" xr:uid="{49AE6594-B674-3548-88E1-A480177444C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4" authorId="4" shapeId="0" xr:uid="{72330E16-12B1-1441-B5DF-5341BD1C8E8C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419ADE27-0153-6A40-9DEA-4787758F2166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0" authorId="6" shapeId="0" xr:uid="{06EDB49E-9288-CF44-9B63-EE9D204C9B20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
- Planning
- Demo
- Retro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tc={E44DE6CD-65B1-7040-A372-21E023F32D11}</author>
    <author>tc={6A377055-98CE-A840-AEC0-B4E9479BFD7D}</author>
    <author>tc={A46AAE5C-989F-DA4B-BA87-F1C38E71FD80}</author>
    <author>tc={CD27513B-1361-9B4C-A663-1CEEE2DBBE64}</author>
    <author>tc={BEFC715B-F5D9-0E4A-AFBE-2C52BB53B170}</author>
    <author>tc={6A4043E1-BB0D-7A47-87B3-48734E4370C5}</author>
    <author>tc={1F9EF5C3-A3BC-4E4D-97EE-9688B1CD9744}</author>
    <author>tc={AFEB080B-7B9B-E242-A497-EC4411330BA6}</author>
  </authors>
  <commentList>
    <comment ref="B3" authorId="0" shapeId="0" xr:uid="{E44DE6CD-65B1-7040-A372-21E023F32D11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6A377055-98CE-A840-AEC0-B4E9479BFD7D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A46AAE5C-989F-DA4B-BA87-F1C38E71FD80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4" authorId="3" shapeId="0" xr:uid="{CD27513B-1361-9B4C-A663-1CEEE2DBBE64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4" shapeId="0" xr:uid="{BEFC715B-F5D9-0E4A-AFBE-2C52BB53B170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6A4043E1-BB0D-7A47-87B3-48734E4370C5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3" authorId="6" shapeId="0" xr:uid="{1F9EF5C3-A3BC-4E4D-97EE-9688B1CD9744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4" authorId="7" shapeId="0" xr:uid="{AFEB080B-7B9B-E242-A497-EC4411330BA6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tc={8B8F1EA0-9611-B24F-9508-B04BC3204FFE}</author>
    <author>tc={12E03AEA-5A67-504B-86DE-58F5A4E911F8}</author>
    <author>tc={CA608989-979D-9F45-85D4-E76C99BB65A2}</author>
    <author>tc={C8DD63E1-629F-CC4E-A327-7E5011A90DBD}</author>
    <author>tc={C659D028-D168-E640-BA29-B984508E01B1}</author>
    <author>tc={A90F86BF-7907-AC40-8B94-EAC566976C28}</author>
    <author>tc={B01B31DD-0C69-1942-BFF4-8ACEFE82CB52}</author>
    <author>tc={FCC4C65C-373A-5B4A-86E9-FD02024CD3A2}</author>
  </authors>
  <commentList>
    <comment ref="B3" authorId="0" shapeId="0" xr:uid="{8B8F1EA0-9611-B24F-9508-B04BC3204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12E03AEA-5A67-504B-86DE-58F5A4E911F8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CA608989-979D-9F45-85D4-E76C99BB65A2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4" authorId="3" shapeId="0" xr:uid="{C8DD63E1-629F-CC4E-A327-7E5011A90DBD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4" shapeId="0" xr:uid="{C659D028-D168-E640-BA29-B984508E01B1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A90F86BF-7907-AC40-8B94-EAC566976C28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3" authorId="6" shapeId="0" xr:uid="{B01B31DD-0C69-1942-BFF4-8ACEFE82CB52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4" authorId="7" shapeId="0" xr:uid="{FCC4C65C-373A-5B4A-86E9-FD02024CD3A2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tc={2AC2B876-C36D-A34E-9C8F-6112851ADE4D}</author>
    <author>tc={92073362-5B41-AE45-9201-A8D20729F8E3}</author>
    <author>tc={4F679C00-8504-8940-BA67-DB9573ED5EEB}</author>
    <author>tc={B323EA98-AF8A-FF4C-B4EC-379E375BE6E3}</author>
    <author>tc={CCB7081C-4502-6A46-9D64-4D18FEC231F7}</author>
    <author>tc={0F6B16E8-E7D0-DF40-A350-6C121EDD0526}</author>
    <author>tc={851A3727-EC74-AB4E-BF82-F304C0A7B63D}</author>
    <author>tc={BB6B5D0C-3DE7-6940-8E03-81397D3F71BB}</author>
  </authors>
  <commentList>
    <comment ref="B3" authorId="0" shapeId="0" xr:uid="{2AC2B876-C36D-A34E-9C8F-6112851ADE4D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92073362-5B41-AE45-9201-A8D20729F8E3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4F679C00-8504-8940-BA67-DB9573ED5EEB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4" authorId="3" shapeId="0" xr:uid="{B323EA98-AF8A-FF4C-B4EC-379E375BE6E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4" shapeId="0" xr:uid="{CCB7081C-4502-6A46-9D64-4D18FEC231F7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0F6B16E8-E7D0-DF40-A350-6C121EDD0526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3" authorId="6" shapeId="0" xr:uid="{851A3727-EC74-AB4E-BF82-F304C0A7B63D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4" authorId="7" shapeId="0" xr:uid="{BB6B5D0C-3DE7-6940-8E03-81397D3F71BB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tc={D0902783-7A4C-7D49-8247-F3EE619BBD04}</author>
    <author>tc={CD4A0211-B607-2A49-8B57-97B67ED5D545}</author>
    <author>tc={B28D94DE-08DF-1342-BF47-48C64F610769}</author>
    <author>tc={F0FE6BBE-F2F0-8444-8982-38176B79D97A}</author>
    <author>tc={8A4E6FA8-F8A8-B549-9ED3-DAEF89F700AF}</author>
    <author>tc={EA146A20-7350-E24D-8285-5B5D7DF0F0E0}</author>
  </authors>
  <commentList>
    <comment ref="B3" authorId="0" shapeId="0" xr:uid="{D0902783-7A4C-7D49-8247-F3EE619BBD04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CD4A0211-B607-2A49-8B57-97B67ED5D545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B14" authorId="2" shapeId="0" xr:uid="{B28D94DE-08DF-1342-BF47-48C64F610769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3" shapeId="0" xr:uid="{F0FE6BBE-F2F0-8444-8982-38176B79D97A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34" authorId="4" shapeId="0" xr:uid="{8A4E6FA8-F8A8-B549-9ED3-DAEF89F700AF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5" authorId="5" shapeId="0" xr:uid="{EA146A20-7350-E24D-8285-5B5D7DF0F0E0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tc={14D4CB0F-694E-BC48-8693-A170204252EF}</author>
    <author>tc={6FB70C58-17A6-0B47-A8E5-DEDFAC296725}</author>
    <author>tc={9F414BD8-9C91-8644-B251-D10BD171A10B}</author>
    <author>tc={A30CCED3-5481-E749-84D8-F80AA5A62138}</author>
    <author>tc={8A41205F-3F0B-0245-8D63-E381A1AFD895}</author>
    <author>tc={126FC2F7-FB6B-D345-96C9-15AD7CE7E960}</author>
  </authors>
  <commentList>
    <comment ref="B3" authorId="0" shapeId="0" xr:uid="{14D4CB0F-694E-BC48-8693-A170204252EF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6FB70C58-17A6-0B47-A8E5-DEDFAC296725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B14" authorId="2" shapeId="0" xr:uid="{9F414BD8-9C91-8644-B251-D10BD171A10B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3" shapeId="0" xr:uid="{A30CCED3-5481-E749-84D8-F80AA5A62138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34" authorId="4" shapeId="0" xr:uid="{8A41205F-3F0B-0245-8D63-E381A1AFD895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min/cycle/dev)
- Retro (60 min/cycle/dev)</t>
      </text>
    </comment>
    <comment ref="B35" authorId="5" shapeId="0" xr:uid="{126FC2F7-FB6B-D345-96C9-15AD7CE7E960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hour/dev x 2)
2. Growth Friday’s (2 hour/week/dev - last week)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tc={99BCB4AD-0435-904E-A31A-72B193CB29D6}</author>
    <author>tc={75D72176-667A-9C47-AC48-4B4753072ADC}</author>
    <author>tc={94943F4D-066A-C346-9CA5-0640A5A8D289}</author>
    <author>tc={9E194BC8-95F2-7C43-9293-A896CBE5413E}</author>
    <author>tc={9288B34B-DD86-F74A-B2A9-A84C4EDAA27F}</author>
    <author>tc={03F336E7-13F4-4049-A143-D120F6498D40}</author>
  </authors>
  <commentList>
    <comment ref="B3" authorId="0" shapeId="0" xr:uid="{99BCB4AD-0435-904E-A31A-72B193CB29D6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75D72176-667A-9C47-AC48-4B4753072ADC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B14" authorId="2" shapeId="0" xr:uid="{94943F4D-066A-C346-9CA5-0640A5A8D289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3" shapeId="0" xr:uid="{9E194BC8-95F2-7C43-9293-A896CBE5413E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34" authorId="4" shapeId="0" xr:uid="{9288B34B-DD86-F74A-B2A9-A84C4EDAA27F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5" authorId="5" shapeId="0" xr:uid="{03F336E7-13F4-4049-A143-D120F6498D40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<sst xmlns="http://schemas.openxmlformats.org/spreadsheetml/2006/main" count="5310" uniqueCount="592">
  <si>
    <t>Role</t>
  </si>
  <si>
    <t>Discovery</t>
  </si>
  <si>
    <t>Eng Name</t>
  </si>
  <si>
    <t>Holidays</t>
  </si>
  <si>
    <t>Epics/Tasks</t>
  </si>
  <si>
    <t>Size</t>
  </si>
  <si>
    <t>Comment</t>
  </si>
  <si>
    <t>Confidence</t>
  </si>
  <si>
    <t>Engineer</t>
  </si>
  <si>
    <t>Intern</t>
  </si>
  <si>
    <t>TOTAL</t>
  </si>
  <si>
    <t>Hours</t>
  </si>
  <si>
    <t>%</t>
  </si>
  <si>
    <t>I</t>
  </si>
  <si>
    <t>Y</t>
  </si>
  <si>
    <t>Arthur Mota</t>
  </si>
  <si>
    <t>Code</t>
  </si>
  <si>
    <t>JIRA</t>
  </si>
  <si>
    <t>Subject</t>
  </si>
  <si>
    <t>D</t>
  </si>
  <si>
    <t>Marcela</t>
  </si>
  <si>
    <t>Weeks</t>
  </si>
  <si>
    <t xml:space="preserve">Workday effectiveness		</t>
  </si>
  <si>
    <t>Bug</t>
  </si>
  <si>
    <t>Bugs / Support</t>
  </si>
  <si>
    <t>Engineering: Tech Debts / Improv</t>
  </si>
  <si>
    <t>Eng</t>
  </si>
  <si>
    <t>Engineer Time: Tech Debts / Improvements</t>
  </si>
  <si>
    <t>Hours Refinement Per Week Per Dev</t>
  </si>
  <si>
    <t>Out</t>
  </si>
  <si>
    <t>Holiday / Vacation / Day off</t>
  </si>
  <si>
    <t>-</t>
  </si>
  <si>
    <t>Hours Discovery Per Week Per Dev</t>
  </si>
  <si>
    <t>Refin</t>
  </si>
  <si>
    <t>First Monday</t>
  </si>
  <si>
    <t>Disc</t>
  </si>
  <si>
    <t>Process</t>
  </si>
  <si>
    <t>Engs</t>
  </si>
  <si>
    <t>Interns</t>
  </si>
  <si>
    <t>Total</t>
  </si>
  <si>
    <t>No</t>
  </si>
  <si>
    <t>Current</t>
  </si>
  <si>
    <t>Days</t>
  </si>
  <si>
    <t>Week 1</t>
  </si>
  <si>
    <t>Week 2</t>
  </si>
  <si>
    <t>Week 3</t>
  </si>
  <si>
    <t>Week 4</t>
  </si>
  <si>
    <t>Week 5</t>
  </si>
  <si>
    <t>Hours Day</t>
  </si>
  <si>
    <t>Eng Name/Day</t>
  </si>
  <si>
    <t>Total Hours</t>
  </si>
  <si>
    <t>Refinement</t>
  </si>
  <si>
    <t>Ceremonies</t>
  </si>
  <si>
    <t>Available</t>
  </si>
  <si>
    <t>Effective day</t>
  </si>
  <si>
    <t>Dev/Intern</t>
  </si>
  <si>
    <t>Release Date Planned</t>
  </si>
  <si>
    <t>N</t>
  </si>
  <si>
    <t>Fernando</t>
  </si>
  <si>
    <t>Invite</t>
  </si>
  <si>
    <t>CWS-8538</t>
  </si>
  <si>
    <t>Change the invite member deep action to a MFE</t>
  </si>
  <si>
    <t>Spillover</t>
  </si>
  <si>
    <t>Josiel</t>
  </si>
  <si>
    <t>Data Panel</t>
  </si>
  <si>
    <t>CWS-8747</t>
  </si>
  <si>
    <t>Data panel: test coverage and table improvements</t>
  </si>
  <si>
    <t>Andréa</t>
  </si>
  <si>
    <t>Adapter</t>
  </si>
  <si>
    <t>CWS-9447</t>
  </si>
  <si>
    <t>[Backend] Adding Generic Item in Demeter Adapter</t>
  </si>
  <si>
    <t>André</t>
  </si>
  <si>
    <t>Cat Mig</t>
  </si>
  <si>
    <t>Seeds</t>
  </si>
  <si>
    <t>CWS-8976</t>
  </si>
  <si>
    <t>[Frontend] Seed Varieties Catalog</t>
  </si>
  <si>
    <t>29/01 and 16/02</t>
  </si>
  <si>
    <t>G Item</t>
  </si>
  <si>
    <t>CWS-9668</t>
  </si>
  <si>
    <t>[Frontend] Generic Items Catalog</t>
  </si>
  <si>
    <t>05/02 and 15/02</t>
  </si>
  <si>
    <t>Ag Oper</t>
  </si>
  <si>
    <t>Next cycle</t>
  </si>
  <si>
    <t>Week 6</t>
  </si>
  <si>
    <t>OOP</t>
  </si>
  <si>
    <t>Onboarding</t>
  </si>
  <si>
    <t>Seeds**</t>
  </si>
  <si>
    <t>Seeds***</t>
  </si>
  <si>
    <t>G Item*</t>
  </si>
  <si>
    <t>Invite*</t>
  </si>
  <si>
    <t xml:space="preserve">** List of Seeds </t>
  </si>
  <si>
    <t>* List of Generic Items</t>
  </si>
  <si>
    <t>OOP - Out Of the Plan</t>
  </si>
  <si>
    <t>* Feature Flag based on ids</t>
  </si>
  <si>
    <t>Release Date</t>
  </si>
  <si>
    <t>*** Basic Information</t>
  </si>
  <si>
    <t>V1</t>
  </si>
  <si>
    <t>Team</t>
  </si>
  <si>
    <t>Cycle</t>
  </si>
  <si>
    <t>Estimated Days</t>
  </si>
  <si>
    <t>Adjusted Days</t>
  </si>
  <si>
    <t>Planned Hours</t>
  </si>
  <si>
    <t>Actual Hours</t>
  </si>
  <si>
    <t>Canon</t>
  </si>
  <si>
    <t>CWS-9279</t>
  </si>
  <si>
    <t>Creation of CANON Items, Seeds, and Fertilizer</t>
  </si>
  <si>
    <t>FE Crop</t>
  </si>
  <si>
    <t>CWS-6526</t>
  </si>
  <si>
    <t>Crop catalog screen</t>
  </si>
  <si>
    <t>FE Growth</t>
  </si>
  <si>
    <t>CWS-6529</t>
  </si>
  <si>
    <t>Growth Scale catalog screen</t>
  </si>
  <si>
    <t>BE Growth</t>
  </si>
  <si>
    <t>CWS-9906</t>
  </si>
  <si>
    <t>Growth Scale improvements for the FE delivery (Back-end)</t>
  </si>
  <si>
    <t>Ricardo</t>
  </si>
  <si>
    <t>Tube</t>
  </si>
  <si>
    <t>CWS-9500</t>
  </si>
  <si>
    <t>Move the CP product source to TUBE</t>
  </si>
  <si>
    <t>Cat Spillover</t>
  </si>
  <si>
    <t xml:space="preserve"> </t>
  </si>
  <si>
    <t>All tasks related to Catalog V2 we couldn't finish</t>
  </si>
  <si>
    <t>Ag Ops</t>
  </si>
  <si>
    <t>Discovery, Refinement, Planning, Execution</t>
  </si>
  <si>
    <t>Time spent doing refinement during the cycle</t>
  </si>
  <si>
    <t>Tasks coming from the previous cycle</t>
  </si>
  <si>
    <t>Tech Debt</t>
  </si>
  <si>
    <t>Holiday / Vacation / Day off / Out of the team</t>
  </si>
  <si>
    <t>Team Process</t>
  </si>
  <si>
    <t>Cooldown</t>
  </si>
  <si>
    <t>Effective Work</t>
  </si>
  <si>
    <t>Effective day (hours)</t>
  </si>
  <si>
    <t>Availability Ratio</t>
  </si>
  <si>
    <t>Type</t>
  </si>
  <si>
    <t>Status</t>
  </si>
  <si>
    <t>Planned</t>
  </si>
  <si>
    <t>Actual</t>
  </si>
  <si>
    <t>Estimated/Planned</t>
  </si>
  <si>
    <t>% Total</t>
  </si>
  <si>
    <t>APE</t>
  </si>
  <si>
    <t>Types</t>
  </si>
  <si>
    <t>Phrase</t>
  </si>
  <si>
    <t>CWS-9492</t>
  </si>
  <si>
    <r>
      <t>[Big] Phrase Improvements </t>
    </r>
    <r>
      <rPr>
        <b/>
        <sz val="12"/>
        <rFont val="Calibri"/>
        <family val="2"/>
        <scheme val="minor"/>
      </rPr>
      <t>(1st Milestone: CW Elements, FS)</t>
    </r>
  </si>
  <si>
    <t>Done</t>
  </si>
  <si>
    <t>Mono</t>
  </si>
  <si>
    <t>CWS-10190</t>
  </si>
  <si>
    <r>
      <rPr>
        <sz val="12"/>
        <color rgb="FF000000"/>
        <rFont val="Calibri"/>
        <family val="2"/>
        <scheme val="minor"/>
      </rPr>
      <t xml:space="preserve">[Frontend] Migration to a monorepo architecture </t>
    </r>
    <r>
      <rPr>
        <b/>
        <sz val="12"/>
        <color rgb="FF000000"/>
        <rFont val="Calibri"/>
        <family val="2"/>
        <scheme val="minor"/>
      </rPr>
      <t>(1st Milestone: Source code migration)</t>
    </r>
  </si>
  <si>
    <t>Postponed</t>
  </si>
  <si>
    <t>Prod</t>
  </si>
  <si>
    <t>CWS-10193</t>
  </si>
  <si>
    <r>
      <t xml:space="preserve">[Big]  Invite members - part 3 </t>
    </r>
    <r>
      <rPr>
        <b/>
        <sz val="12"/>
        <rFont val="Calibri"/>
        <family val="2"/>
        <scheme val="minor"/>
      </rPr>
      <t>(1st Milestone: Allocating Members page)</t>
    </r>
  </si>
  <si>
    <t>Day-by-Day</t>
  </si>
  <si>
    <t>RBAC</t>
  </si>
  <si>
    <t>CWS-10150</t>
  </si>
  <si>
    <t>[Frontend] RBAC Provider Component</t>
  </si>
  <si>
    <t>Elias</t>
  </si>
  <si>
    <t>AgOpZones</t>
  </si>
  <si>
    <t>CWS-9686</t>
  </si>
  <si>
    <t>Ag Operation with zones (Interoperability ImageryxProtector Prescriptions)</t>
  </si>
  <si>
    <t>Sentry</t>
  </si>
  <si>
    <t>AgOpSpec</t>
  </si>
  <si>
    <t>CWS-10009</t>
  </si>
  <si>
    <t>Specification of an AgOperation</t>
  </si>
  <si>
    <t>Catalog</t>
  </si>
  <si>
    <t>CWS-10208</t>
  </si>
  <si>
    <t>Seeds &amp; Crops Catalog Enhancement</t>
  </si>
  <si>
    <t>DataPanel</t>
  </si>
  <si>
    <t>CWS-9583</t>
  </si>
  <si>
    <t>Data Panel Improvements</t>
  </si>
  <si>
    <t>CWElemDoc</t>
  </si>
  <si>
    <t>CWS-8719</t>
  </si>
  <si>
    <t>Micro-frontends Documentation Update and Index Page Creation</t>
  </si>
  <si>
    <t>Protector</t>
  </si>
  <si>
    <t>Licensing</t>
  </si>
  <si>
    <t>Eng: Tech Debts / Improv</t>
  </si>
  <si>
    <t>MAPE</t>
  </si>
  <si>
    <t>Employees</t>
  </si>
  <si>
    <t>Connect</t>
  </si>
  <si>
    <t>CWS-9938</t>
  </si>
  <si>
    <t>Optimize Cropwise Connect for managing integrations and new modules efficiently</t>
  </si>
  <si>
    <t>Amplitude</t>
  </si>
  <si>
    <t>CWS-9349</t>
  </si>
  <si>
    <r>
      <t xml:space="preserve">Enhanced </t>
    </r>
    <r>
      <rPr>
        <b/>
        <sz val="12"/>
        <color rgb="FFC00000"/>
        <rFont val="Calibri (Body)"/>
      </rPr>
      <t>Tier 1</t>
    </r>
    <r>
      <rPr>
        <sz val="12"/>
        <color rgb="FF000000"/>
        <rFont val="Calibri"/>
        <family val="2"/>
        <scheme val="minor"/>
      </rPr>
      <t xml:space="preserve"> Amplitude Event Integration for Cropwise Platform</t>
    </r>
  </si>
  <si>
    <t>CWS-10558</t>
  </si>
  <si>
    <t>Optimize Sentry for enhanced monitoring across all Cropwise frontend applications</t>
  </si>
  <si>
    <t>Fertilizer</t>
  </si>
  <si>
    <t>CWS-10557</t>
  </si>
  <si>
    <t>Refine and modularize the Fertilizer Catalog UI and functionality, introducing detailed nitrogen breakdown options</t>
  </si>
  <si>
    <t>CustGrowFE</t>
  </si>
  <si>
    <t>CWS-10426</t>
  </si>
  <si>
    <t>Introduce custom growth scale management for organizational flexibility</t>
  </si>
  <si>
    <t>Crop</t>
  </si>
  <si>
    <t>CWS-10560</t>
  </si>
  <si>
    <t>Addressing challenges encountered during the migration of crops data from Demeter to the catalog v2</t>
  </si>
  <si>
    <t>CP</t>
  </si>
  <si>
    <t>CWS-10561</t>
  </si>
  <si>
    <t>Enhance the CP Catalog to integrate additional country, manage resale product, and support custom product</t>
  </si>
  <si>
    <t>Weather</t>
  </si>
  <si>
    <t>CWS-10761</t>
  </si>
  <si>
    <t>Update weather service to integrate with CE Hub APIs V2</t>
  </si>
  <si>
    <t>Analytics</t>
  </si>
  <si>
    <t>Matt</t>
  </si>
  <si>
    <t>CWS-10703</t>
  </si>
  <si>
    <t>Invite members - language</t>
  </si>
  <si>
    <t>Sonar</t>
  </si>
  <si>
    <t>CW Elements</t>
  </si>
  <si>
    <t>- Interno</t>
  </si>
  <si>
    <t>TBD</t>
  </si>
  <si>
    <t>To be defined</t>
  </si>
  <si>
    <t>Week 7</t>
  </si>
  <si>
    <t>People FE</t>
  </si>
  <si>
    <t>CWS-10847</t>
  </si>
  <si>
    <t>[FE] People/Assignee/Members page</t>
  </si>
  <si>
    <t>People BE</t>
  </si>
  <si>
    <t>CWS-10898</t>
  </si>
  <si>
    <t>[BE] Alter worker to allow the people/assignee/members consolidation</t>
  </si>
  <si>
    <t>CWS-10854</t>
  </si>
  <si>
    <t>[BE] Data panel: users_name update</t>
  </si>
  <si>
    <t>CP Front</t>
  </si>
  <si>
    <t>CWS-9061</t>
  </si>
  <si>
    <t>[FE] Refine and modularize the CP Products Catalog UI and functionality</t>
  </si>
  <si>
    <t>FrontImprov</t>
  </si>
  <si>
    <t>CWS-10995</t>
  </si>
  <si>
    <t>[FE] Consolidate reusable components into the internal library and update imports in MFEs</t>
  </si>
  <si>
    <t>Hall of Orgs</t>
  </si>
  <si>
    <t>CWS-10315</t>
  </si>
  <si>
    <t>[FE] Hall of Orgs component</t>
  </si>
  <si>
    <t>AgInsights</t>
  </si>
  <si>
    <t>CWS-10780</t>
  </si>
  <si>
    <t>[FE] Add Ag Insights type on the DeckOfApps</t>
  </si>
  <si>
    <t>Agrian</t>
  </si>
  <si>
    <t>CWS-10900</t>
  </si>
  <si>
    <t>[BE] CP Products ingests Agrian data from Tube</t>
  </si>
  <si>
    <t>Done +/-</t>
  </si>
  <si>
    <t>Planting</t>
  </si>
  <si>
    <t>CWS-10727</t>
  </si>
  <si>
    <t>[BE] Support Planting team usage of the Seeds Catalog</t>
  </si>
  <si>
    <t>VPC</t>
  </si>
  <si>
    <t>CWS-10908</t>
  </si>
  <si>
    <t>[INFRA] Review Lambda assets to ensure proper VPC and Security Group configuration</t>
  </si>
  <si>
    <t>OBSERV</t>
  </si>
  <si>
    <t>CWS-10994</t>
  </si>
  <si>
    <t>[INFRA] Enhance observability, ownership, and production readiness of CW Catalog services</t>
  </si>
  <si>
    <t>[FE] Optimize Sentry for enhanced monitoring across all Cropwise frontend applications</t>
  </si>
  <si>
    <t>AgOps</t>
  </si>
  <si>
    <t>CWS-10565</t>
  </si>
  <si>
    <t>[BE] Integrate code quality tools and automate API documentation for the Ag Operations service</t>
  </si>
  <si>
    <t>Crops</t>
  </si>
  <si>
    <t>R#</t>
  </si>
  <si>
    <t>Date</t>
  </si>
  <si>
    <t>Epic Status</t>
  </si>
  <si>
    <t>Start</t>
  </si>
  <si>
    <t>Due</t>
  </si>
  <si>
    <t>End</t>
  </si>
  <si>
    <t>Est. vs Plan.</t>
  </si>
  <si>
    <t>% Backlog</t>
  </si>
  <si>
    <t>Delay</t>
  </si>
  <si>
    <t>Plan. vs Due</t>
  </si>
  <si>
    <t>Days Δ</t>
  </si>
  <si>
    <t>Remaining</t>
  </si>
  <si>
    <t>Plan Δ (%)</t>
  </si>
  <si>
    <t>Input</t>
  </si>
  <si>
    <t>CWS-10159</t>
  </si>
  <si>
    <t>[FE] Unified Input Screen</t>
  </si>
  <si>
    <t>CWS-11422</t>
  </si>
  <si>
    <t>[FE] Sentry Data Cleanup Initiative</t>
  </si>
  <si>
    <t>Hall</t>
  </si>
  <si>
    <t>CWS-11468</t>
  </si>
  <si>
    <t>[FE] Hall of Entities Microfrontend MVP</t>
  </si>
  <si>
    <t>Menu</t>
  </si>
  <si>
    <t>CWS-11106</t>
  </si>
  <si>
    <t>[FE] Settings Menu and Deck of Apps Enhancements</t>
  </si>
  <si>
    <t>Notes</t>
  </si>
  <si>
    <t>CWS-10154</t>
  </si>
  <si>
    <t>[FE] Notes Library Integration MFE</t>
  </si>
  <si>
    <t>PickList</t>
  </si>
  <si>
    <t>CWS-10304</t>
  </si>
  <si>
    <t>[BE] Enhanced Catalog Management for CP Products, Fertilizers, and Items</t>
  </si>
  <si>
    <t>CWS-11171</t>
  </si>
  <si>
    <t>[BE] Fields table update for the Data panel</t>
  </si>
  <si>
    <t>CWS-11338</t>
  </si>
  <si>
    <t>[BE] CP Catalog small improvements - Agrian and Density</t>
  </si>
  <si>
    <t>Demeter</t>
  </si>
  <si>
    <t>CWS-11449</t>
  </si>
  <si>
    <t>[BE] Demeter Methodology Service Restoration</t>
  </si>
  <si>
    <t>CWS-11342</t>
  </si>
  <si>
    <t>[BE] Ensure the Sampling work record fits Planting use case</t>
  </si>
  <si>
    <t>CWS-11340</t>
  </si>
  <si>
    <t>[BE] Crop catalog sanitization</t>
  </si>
  <si>
    <t>People</t>
  </si>
  <si>
    <t>[BE] People/Assignee/Members Consolidation</t>
  </si>
  <si>
    <t>Last Day</t>
  </si>
  <si>
    <t>DevCon</t>
  </si>
  <si>
    <t>E1</t>
  </si>
  <si>
    <t>CWS-11903</t>
  </si>
  <si>
    <t>[FE] Frontend Performance Optimization and Tech Debt Resolution</t>
  </si>
  <si>
    <t>E2</t>
  </si>
  <si>
    <t>Seeds BE</t>
  </si>
  <si>
    <t>CWS-11778</t>
  </si>
  <si>
    <t>[BE] Enhance Seeds Catalog Service for Improved Performance and Reliability</t>
  </si>
  <si>
    <t>E3</t>
  </si>
  <si>
    <t>CWS-11938</t>
  </si>
  <si>
    <t>[BE] Productize Data Panel Platform Data Collection</t>
  </si>
  <si>
    <t>E4</t>
  </si>
  <si>
    <t>CatalogMig</t>
  </si>
  <si>
    <t>CWS-11781</t>
  </si>
  <si>
    <t>[BE] Migrate CWS Catalog Services to ECS/EKS</t>
  </si>
  <si>
    <t>E5</t>
  </si>
  <si>
    <t>Observability</t>
  </si>
  <si>
    <t>CWS-11984</t>
  </si>
  <si>
    <t>[INFRA] Enhance Observability and Incident Management for Catalog Services</t>
  </si>
  <si>
    <t>P1</t>
  </si>
  <si>
    <t>CWS-11715</t>
  </si>
  <si>
    <t>[FE] Hall of Entities v2: Enhanced Search and Navigation</t>
  </si>
  <si>
    <t>P2</t>
  </si>
  <si>
    <t>Topbar Base</t>
  </si>
  <si>
    <t>CWS-11770</t>
  </si>
  <si>
    <t>[FE] Platform Top Bar Base - CW Element</t>
  </si>
  <si>
    <t>P3</t>
  </si>
  <si>
    <t>CWS-9842</t>
  </si>
  <si>
    <t>[FE] Enhance Seed Varieties Catalog for Unified Inputs Screen</t>
  </si>
  <si>
    <t>P5</t>
  </si>
  <si>
    <t>Interpolation</t>
  </si>
  <si>
    <t>CWS-11389</t>
  </si>
  <si>
    <t>[BE] Integrate Interpolation Library for Soil and Yield Maps</t>
  </si>
  <si>
    <t>P6</t>
  </si>
  <si>
    <t>ExportWO</t>
  </si>
  <si>
    <t>CWS-11390</t>
  </si>
  <si>
    <t>[BE] Enable Work Order Export to Machines via Connect</t>
  </si>
  <si>
    <t>AgOpMig</t>
  </si>
  <si>
    <t>OtherCat</t>
  </si>
  <si>
    <t>CWS-11113</t>
  </si>
  <si>
    <t>[FE] Enhance Other Categories Catalog for Unified Inputs Screen</t>
  </si>
  <si>
    <t>CropProtec</t>
  </si>
  <si>
    <t>CWS-11138</t>
  </si>
  <si>
    <t>[FE] Crop Protection MFE Enhancements</t>
  </si>
  <si>
    <t>CWS-11122</t>
  </si>
  <si>
    <t>[FE] Deliver enhancements to Fertilizer MFE for consistency with new Inputs MFE</t>
  </si>
  <si>
    <t>TopBar</t>
  </si>
  <si>
    <t>[FE] Platform Top Bar - CW Element</t>
  </si>
  <si>
    <t>CWS-11969</t>
  </si>
  <si>
    <t>[BE] Migrate AgroOperations to PostgreSQL</t>
  </si>
  <si>
    <t>Key</t>
  </si>
  <si>
    <t>Summary</t>
  </si>
  <si>
    <t>Components</t>
  </si>
  <si>
    <t>Fix versions</t>
  </si>
  <si>
    <t>Planned Start Date</t>
  </si>
  <si>
    <t>Planned End Date</t>
  </si>
  <si>
    <t>Start date</t>
  </si>
  <si>
    <t>Due date</t>
  </si>
  <si>
    <t>End date</t>
  </si>
  <si>
    <t>Status of Start</t>
  </si>
  <si>
    <t>Delay in Start</t>
  </si>
  <si>
    <t>Current Status</t>
  </si>
  <si>
    <t>Delay vs Planned</t>
  </si>
  <si>
    <t>Updated Status</t>
  </si>
  <si>
    <t>Delay vs Due Date</t>
  </si>
  <si>
    <t>Days in Progress</t>
  </si>
  <si>
    <t>Remaining Work Days</t>
  </si>
  <si>
    <t>QI 2024/Q3 C1</t>
  </si>
  <si>
    <t>QI 2024/Q2 C1</t>
  </si>
  <si>
    <t>CWS-10153</t>
  </si>
  <si>
    <t>Optimization and Centralization of Sentry for Enhanced Monitoring and Error Handling</t>
  </si>
  <si>
    <t>QI 2024/Q1 C1</t>
  </si>
  <si>
    <t>QI 2024/Q1 C2</t>
  </si>
  <si>
    <t>QI 2024/Q2 C2</t>
  </si>
  <si>
    <t>QI 2024/Q3 C2</t>
  </si>
  <si>
    <t>QI 2024/Q4 C1</t>
  </si>
  <si>
    <t>QI 2024/Q4 C2</t>
  </si>
  <si>
    <t>Executed</t>
  </si>
  <si>
    <t>Q1-C1</t>
  </si>
  <si>
    <t>Q1-C2</t>
  </si>
  <si>
    <t>Q2-C1</t>
  </si>
  <si>
    <t>Q2-C2</t>
  </si>
  <si>
    <t>Q3-C1</t>
  </si>
  <si>
    <t>Q3-C2</t>
  </si>
  <si>
    <t>Q4-C1</t>
  </si>
  <si>
    <t>Q4-C2</t>
  </si>
  <si>
    <t>Planned (Days)</t>
  </si>
  <si>
    <t>Executed (Days)</t>
  </si>
  <si>
    <t>R1 : Display Analysis Results</t>
  </si>
  <si>
    <t>Version 1</t>
  </si>
  <si>
    <t>CW Elements;CW Farm Settings</t>
  </si>
  <si>
    <t>CW Ag Operations;CW Catalogs;CW Custom Attributes;CW Notes;Weather Gateway</t>
  </si>
  <si>
    <t>Cross</t>
  </si>
  <si>
    <t>[BE] Enable ingestion of Agrian data from Tube into Cropwise Catalog</t>
  </si>
  <si>
    <t>CW Catalogs</t>
  </si>
  <si>
    <t>CW Data Panel</t>
  </si>
  <si>
    <t>CW Farm Settings</t>
  </si>
  <si>
    <t>[FE] Introduce custom growth scale management for organizational flexibility</t>
  </si>
  <si>
    <t>QI 2024/Q3 C1;QI 2024/Q2 C2</t>
  </si>
  <si>
    <t>[DESIGN] Hall of Orgs component</t>
  </si>
  <si>
    <t>11 Archived</t>
  </si>
  <si>
    <t>QI 2024/Q3 C1;QI 2024/Q3 C2</t>
  </si>
  <si>
    <t>CWS-10528</t>
  </si>
  <si>
    <t>[BE] Addressing Challenges in Seeds Catalog Migration</t>
  </si>
  <si>
    <t>[FE] Invite members - part 3</t>
  </si>
  <si>
    <t>CW Accounts;CW Elements</t>
  </si>
  <si>
    <t>QI 2024/Q2 C1;QI 2024/Q2 C2</t>
  </si>
  <si>
    <t>CW Ag Operations</t>
  </si>
  <si>
    <t>Ag Operation with zones (Interoperability Imagery x Protector Prescriptions)</t>
  </si>
  <si>
    <t>[BE] Data Panel Improvements</t>
  </si>
  <si>
    <t>Phrase/translation improvements</t>
  </si>
  <si>
    <t>CWS-9671</t>
  </si>
  <si>
    <t>[Backend] Crops Catalog - Small Adjustments</t>
  </si>
  <si>
    <t>CWS-9670</t>
  </si>
  <si>
    <t>[Backend] Fertilizer Catalog - Small Adjustments</t>
  </si>
  <si>
    <t>CWS-9669</t>
  </si>
  <si>
    <t>[Backend] Seed Varieties Catalog - Small Adjustments</t>
  </si>
  <si>
    <t>CWS-9643</t>
  </si>
  <si>
    <t>Diseases Risk Catalogs Preparation</t>
  </si>
  <si>
    <t>[Frontend] Change the invite member deep action to a MFE - Wave 1</t>
  </si>
  <si>
    <t>CWS-8268</t>
  </si>
  <si>
    <t>[Backend] CP Protection Catalog - Small Adjustments</t>
  </si>
  <si>
    <t>CWS-10474</t>
  </si>
  <si>
    <t xml:space="preserve">Change the CP products source to TUBE </t>
  </si>
  <si>
    <t>CWS-9979</t>
  </si>
  <si>
    <t xml:space="preserve">  [Backend] Seed Varieties Catalog</t>
  </si>
  <si>
    <t>CWS-9973</t>
  </si>
  <si>
    <t xml:space="preserve">[Backend] Crops Catalog </t>
  </si>
  <si>
    <t>[Backend] Growth Scale improvements for the FE delivery</t>
  </si>
  <si>
    <t>[Staff Console] Crop Canonical Catalog</t>
  </si>
  <si>
    <t xml:space="preserve">Update weather service to integrate with CE Hub APIs V2 </t>
  </si>
  <si>
    <t>Weather Gateway</t>
  </si>
  <si>
    <t>CWS-10615</t>
  </si>
  <si>
    <t>[BE] Link Connect operations with AgOperations to enhance data utilization and provide seamless management for growers</t>
  </si>
  <si>
    <t>[BE] Enhance the CP Catalog to integrate additional country, manage resale product, and support custom product</t>
  </si>
  <si>
    <t>[BE] Addressing challenges encountered during the migration of crops data from Demeter to the catalog v2</t>
  </si>
  <si>
    <t>[FE] Refine and modularize the Fertilizer Catalog UI and functionality, introducing detailed nitrogen breakdown options</t>
  </si>
  <si>
    <t>[FE] Optimize Cropwise Connect for managing integrations and new modules efficiently</t>
  </si>
  <si>
    <t>CWS-9871</t>
  </si>
  <si>
    <t>[BE] Develop and enhance the Fertilizer Catalog to support the new nitrogen breakdown feature</t>
  </si>
  <si>
    <t>[FE] Implement Tier 1 Amplitude events on essential Cropwise Platform modules to enhance strategic insights and decision-making</t>
  </si>
  <si>
    <t>CWS-11054</t>
  </si>
  <si>
    <t>Enhance CW Connect to Publish Data Availability Notifications via SNS for AgOperation Integration</t>
  </si>
  <si>
    <t>7 PI Started</t>
  </si>
  <si>
    <t>[FE] Deliver initial Hall of Entities microfrontend using current APIs, focusing on UI and design system</t>
  </si>
  <si>
    <t>[BE] Implement favorites and refine hide functionality for CP Products, Fertilizers, and Generic Items</t>
  </si>
  <si>
    <t>[FE] Unify all input catalogs into a single screen with shared tools and improved navigation</t>
  </si>
  <si>
    <t>[FE] Sentry-focused two-week task to prioritize and resolve low-impact issues to improve data quality</t>
  </si>
  <si>
    <t>CW Accounts;CW Elements;CW Farm Settings;Dev Console;Staff Console</t>
  </si>
  <si>
    <t>[BE] Ensure accurate and consistent member data, including roles, tags, and farm access, with added communication preferences</t>
  </si>
  <si>
    <t>[BE] Restore Demeter to its original scope as a methodology service for improved catalog operations</t>
  </si>
  <si>
    <t>[FE] Revamp the Settings Menu and Deck of Apps components to improve navigation and integrate new MFEs</t>
  </si>
  <si>
    <t>CWS-11378</t>
  </si>
  <si>
    <t>[INFRA] Setting up Opsgenie for the Catalog services listed to enhance incident management and alerting</t>
  </si>
  <si>
    <t>[INFRA] Improve monitoring, alerting, and incident response for Catalog services using DataDog and Opsgenie</t>
  </si>
  <si>
    <t>Tech Refinament</t>
  </si>
  <si>
    <t>AWS Infrastructure</t>
  </si>
  <si>
    <t>[BE] Transform Data Panel scripts into a production-ready system for reliable Platform data collection and storage</t>
  </si>
  <si>
    <t>[FE] Enhance FE performance by optimizing bundle size in two MFEs and removing legacy UI kit from two projects</t>
  </si>
  <si>
    <t>[BE] Transition cws-catalog and api-node-cropwise-crops-catalog from AWS Lambda to ECS/EKS for improved scalability and performance</t>
  </si>
  <si>
    <t>AWS Infrastructure;CW Catalogs</t>
  </si>
  <si>
    <t>[BE] Optimize Seeds catalog service with improved caching, database migration, and comprehensive testing</t>
  </si>
  <si>
    <t>[FE] Create a base microfrontend for Cropwise product top bars with core functionality</t>
  </si>
  <si>
    <t>[FE] Implement global search, basic screen features, and map functionality for Hall of Entities</t>
  </si>
  <si>
    <t>[BE] Develop AgOperation capabilities to facilitate sending work orders to machines through Connect</t>
  </si>
  <si>
    <t>01 New</t>
  </si>
  <si>
    <t>[BE] Process NORMALIZED soil and yield maps using Comp Agronomy's interpolation library</t>
  </si>
  <si>
    <t>[Inputs] Improve Seed Varieties Catalog UI/UX for integration into the unified Inputs screen</t>
  </si>
  <si>
    <t>Ready to Develop</t>
  </si>
  <si>
    <t>CWS-11980</t>
  </si>
  <si>
    <t>[FE] API for Phrase translations</t>
  </si>
  <si>
    <t>CWS-11915</t>
  </si>
  <si>
    <t>CW Elements - MFE documentation</t>
  </si>
  <si>
    <t>CWS-10575</t>
  </si>
  <si>
    <t>Micro-frontends documentation update - Phase 2</t>
  </si>
  <si>
    <t>CWS-9676</t>
  </si>
  <si>
    <t>Bug Hunt October 2023 Improvements</t>
  </si>
  <si>
    <t>N Devs</t>
  </si>
  <si>
    <t>!$J$6:$AS$25</t>
  </si>
  <si>
    <t>!$I$6:$AN$25</t>
  </si>
  <si>
    <t>Data</t>
  </si>
  <si>
    <t>!$I$4:$AN$25</t>
  </si>
  <si>
    <t>!$J$3:$AG$15</t>
  </si>
  <si>
    <t>First Fix Version</t>
  </si>
  <si>
    <t>Devs Planned</t>
  </si>
  <si>
    <t>Devs Used</t>
  </si>
  <si>
    <t>Coluna Inicial</t>
  </si>
  <si>
    <t>J</t>
  </si>
  <si>
    <t>Coluna</t>
  </si>
  <si>
    <t>AD</t>
  </si>
  <si>
    <t>AK</t>
  </si>
  <si>
    <t>AQ</t>
  </si>
  <si>
    <t>AG</t>
  </si>
  <si>
    <t>AA</t>
  </si>
  <si>
    <t>AH</t>
  </si>
  <si>
    <t>X</t>
  </si>
  <si>
    <t>AC</t>
  </si>
  <si>
    <t>Best</t>
  </si>
  <si>
    <t xml:space="preserve">Worst </t>
  </si>
  <si>
    <t>Average</t>
  </si>
  <si>
    <t>Z</t>
  </si>
  <si>
    <t>AS</t>
  </si>
  <si>
    <t>AE</t>
  </si>
  <si>
    <t>Estimativa</t>
  </si>
  <si>
    <t>Dias</t>
  </si>
  <si>
    <t>Ciclo</t>
  </si>
  <si>
    <t>Melhor</t>
  </si>
  <si>
    <t>Pior</t>
  </si>
  <si>
    <t>S</t>
  </si>
  <si>
    <t>T</t>
  </si>
  <si>
    <t>Worst Estimate</t>
  </si>
  <si>
    <t>Best Estimate</t>
  </si>
  <si>
    <t>E6</t>
  </si>
  <si>
    <t>[BE] Transition AgroOperations from DynamoDB to PostgreSQL for improved performance, maintainability, and querying capabilities</t>
  </si>
  <si>
    <t>6 Epic Backlog</t>
  </si>
  <si>
    <t>Version 2</t>
  </si>
  <si>
    <t>CWS-8248</t>
  </si>
  <si>
    <t>Improve Page Loading Time in Farm Settings</t>
  </si>
  <si>
    <t>QI 2023/Q4 C1;QI 2023/Q4 C2</t>
  </si>
  <si>
    <t>CWS-7761</t>
  </si>
  <si>
    <t>Implementation of a Dedicated Fertilizer Catalog in Cropwise</t>
  </si>
  <si>
    <t>QI 2023/Q4 C1</t>
  </si>
  <si>
    <t>CWS-7545</t>
  </si>
  <si>
    <t>[Front] Fertilizer management</t>
  </si>
  <si>
    <t>CWS-7416</t>
  </si>
  <si>
    <t>Modules and Integration in the Ecosystem</t>
  </si>
  <si>
    <t>CWS-8249</t>
  </si>
  <si>
    <t>Investigation and Implementation of Amplitude as APM for Frontend Apps</t>
  </si>
  <si>
    <t>QI 2023/Q4 C2</t>
  </si>
  <si>
    <t>CWS-11913</t>
  </si>
  <si>
    <t>[FE] Enhance platform top bar</t>
  </si>
  <si>
    <t>In Design</t>
  </si>
  <si>
    <t>CWS-11850</t>
  </si>
  <si>
    <t>[FE] Deck of apps as starting page</t>
  </si>
  <si>
    <t>Parked</t>
  </si>
  <si>
    <t>CWS-11831</t>
  </si>
  <si>
    <t>Complete Demeter handoff, monitor usage, remove resources, and transfer ownership</t>
  </si>
  <si>
    <t>CWS-11775</t>
  </si>
  <si>
    <t>[BE] Data panel: organization name</t>
  </si>
  <si>
    <t>CWS-11448</t>
  </si>
  <si>
    <t>[BE] Revise the Assignee module to align with current Cropwise platform models and improve performance</t>
  </si>
  <si>
    <t>CW Catalogs;Strix</t>
  </si>
  <si>
    <t>CWS-11436</t>
  </si>
  <si>
    <t>[FE] Invite improvements - Wave 2</t>
  </si>
  <si>
    <t>CWS-11386</t>
  </si>
  <si>
    <t>[Inputs] Hide/Picklist</t>
  </si>
  <si>
    <t>CWS-11343</t>
  </si>
  <si>
    <t>[FE] Develop a Micro Frontend for creating and editing organizations with enhanced functionality and performance</t>
  </si>
  <si>
    <t>CWS-11335</t>
  </si>
  <si>
    <t>[BE] Sync with Sales Force Seeds for EAME - Tech Discovery</t>
  </si>
  <si>
    <t>CWS-11333</t>
  </si>
  <si>
    <t>[FE] Enhance Contacts Page: New Fields, CSV Export, Multi-select, and Contact as a Member</t>
  </si>
  <si>
    <t>CW Accounts</t>
  </si>
  <si>
    <t>CWS-11312</t>
  </si>
  <si>
    <t>[FE] Enhance and document the translation process to improve clarity and efficiency in Cropwise products</t>
  </si>
  <si>
    <t>CWS-11279</t>
  </si>
  <si>
    <t>[FE] Complete migrating reusable components to the internal library and update remaining MFE imports</t>
  </si>
  <si>
    <t>CWS-11262</t>
  </si>
  <si>
    <t>[FE] Improvements on custom growth scale</t>
  </si>
  <si>
    <t>[Inputs] Deliver enhancements to Crop Protection MFE for consistency with new Inputs MFE</t>
  </si>
  <si>
    <t>[Inputs] Deliver enhancements to Fertilizer MFE for consistency with new Inputs MFE</t>
  </si>
  <si>
    <t>[Inputs] Improve Other Categories MFE UI/UX and backend for integration into unified Inputs screen</t>
  </si>
  <si>
    <t>CWS-10788</t>
  </si>
  <si>
    <t>People resources improvements</t>
  </si>
  <si>
    <t>CWS-10665</t>
  </si>
  <si>
    <t>Farm settings review: Deletion</t>
  </si>
  <si>
    <t>CWS-10327</t>
  </si>
  <si>
    <t>[BE] Migrate orgs to Tube-based CP catalog, ensuring data completeness and custom product creation</t>
  </si>
  <si>
    <t>[Frontend] Migration to a monorepo architecture</t>
  </si>
  <si>
    <t>[FE] Integrate Notes library into CW Elements as a micro-frontend for improved efficiency and maintainability</t>
  </si>
  <si>
    <t>CWS-9940</t>
  </si>
  <si>
    <t>Implementation of Crop-Specific Filtering in Cropwise CP Catalog</t>
  </si>
  <si>
    <t>CWS-9637</t>
  </si>
  <si>
    <t>Modules and Integration in the Ecosystem - Phase 2</t>
  </si>
  <si>
    <t>CWS-9393</t>
  </si>
  <si>
    <t>CW catalog frontend (old Resource screen)</t>
  </si>
  <si>
    <t>CWS-8975</t>
  </si>
  <si>
    <t>Hierarchy Management - Adding Org and users</t>
  </si>
  <si>
    <t>CWS-8739</t>
  </si>
  <si>
    <t>Frontend Adaptation for Strix Performance Optimization</t>
  </si>
  <si>
    <t>CWS-8738</t>
  </si>
  <si>
    <t>Notes Improvements - Phase 2</t>
  </si>
  <si>
    <t>CWS-8734</t>
  </si>
  <si>
    <t>Transitioning from Protector's Custom Fields and Area-Variables to Centralized Attribute Management</t>
  </si>
  <si>
    <t>CWS-8732</t>
  </si>
  <si>
    <t>Standardization and Enhancement of Season Management across Cropwise Applications</t>
  </si>
  <si>
    <t>CWS-8716</t>
  </si>
  <si>
    <t>Advanced Field Quota Management and Notifications</t>
  </si>
  <si>
    <t>CWS-8272</t>
  </si>
  <si>
    <t>Rebuild Cropwise Boilerplate App</t>
  </si>
  <si>
    <t>CWS-8263</t>
  </si>
  <si>
    <t>Enhanced Customization and Integration for Crop Protection Products</t>
  </si>
  <si>
    <t>CWS-8250</t>
  </si>
  <si>
    <t>Migration to React 18 and CI Refactor for Enhanced App Performance</t>
  </si>
  <si>
    <t>CWS-8247</t>
  </si>
  <si>
    <t>Comprehensive API Documentation Enhancement</t>
  </si>
  <si>
    <t>CWS-2397</t>
  </si>
  <si>
    <t>Creation of an app/module/integration on dev console</t>
  </si>
  <si>
    <t>Strix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</si>
</sst>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dd/mm"/>
    <numFmt numFmtId="166" formatCode="\+0%;\-0%;\-\ "/>
  </numFmts>
  <fonts count="3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0"/>
      <color theme="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C00000"/>
      <name val="Calibri (Body)"/>
    </font>
    <font>
      <sz val="12"/>
      <color theme="0" tint="-4.9989318521683403E-2"/>
      <name val="Calibri"/>
      <family val="2"/>
      <scheme val="minor"/>
    </font>
    <font>
      <sz val="12"/>
      <color rgb="FFF2F2F2"/>
      <name val="Calibri"/>
      <family val="2"/>
      <scheme val="minor"/>
    </font>
    <font>
      <sz val="12"/>
      <color rgb="FFA10000"/>
      <name val="Calibri"/>
      <family val="2"/>
      <scheme val="minor"/>
    </font>
    <font>
      <sz val="12"/>
      <color rgb="FF87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BA35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06E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193"/>
        <bgColor indexed="64"/>
      </patternFill>
    </fill>
    <fill>
      <patternFill patternType="solid">
        <fgColor rgb="FF9437FF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75623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E963D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00FB92"/>
        <bgColor indexed="64"/>
      </patternFill>
    </fill>
    <fill>
      <patternFill patternType="solid">
        <fgColor rgb="FF76B94B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8712E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33C06E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3" applyFont="1" applyFill="1" applyBorder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65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64" fontId="0" fillId="0" borderId="1" xfId="1" applyNumberFormat="1" applyFont="1" applyBorder="1" applyAlignment="1">
      <alignment horizontal="center" vertical="center"/>
    </xf>
    <xf numFmtId="43" fontId="0" fillId="9" borderId="2" xfId="2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0" fillId="0" borderId="14" xfId="0" applyBorder="1"/>
    <xf numFmtId="9" fontId="0" fillId="9" borderId="1" xfId="1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3" fontId="0" fillId="9" borderId="6" xfId="2" applyFont="1" applyFill="1" applyBorder="1" applyAlignment="1">
      <alignment horizontal="center" vertical="center"/>
    </xf>
    <xf numFmtId="9" fontId="0" fillId="9" borderId="5" xfId="1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43" fontId="0" fillId="9" borderId="16" xfId="2" applyFont="1" applyFill="1" applyBorder="1" applyAlignment="1">
      <alignment horizontal="center" vertical="center"/>
    </xf>
    <xf numFmtId="9" fontId="0" fillId="9" borderId="15" xfId="1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9" fontId="0" fillId="9" borderId="17" xfId="1" applyFont="1" applyFill="1" applyBorder="1" applyAlignment="1">
      <alignment horizontal="center" vertical="center"/>
    </xf>
    <xf numFmtId="2" fontId="0" fillId="9" borderId="2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2" fontId="0" fillId="9" borderId="19" xfId="0" applyNumberForma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0" fontId="14" fillId="11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5" fillId="14" borderId="1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2" fontId="18" fillId="9" borderId="1" xfId="0" applyNumberFormat="1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9" fontId="0" fillId="9" borderId="21" xfId="1" applyFont="1" applyFill="1" applyBorder="1" applyAlignment="1">
      <alignment horizontal="center" vertical="center"/>
    </xf>
    <xf numFmtId="9" fontId="0" fillId="9" borderId="26" xfId="1" applyFont="1" applyFill="1" applyBorder="1" applyAlignment="1">
      <alignment horizontal="center" vertical="center"/>
    </xf>
    <xf numFmtId="9" fontId="0" fillId="9" borderId="30" xfId="1" applyFont="1" applyFill="1" applyBorder="1" applyAlignment="1">
      <alignment horizontal="center" vertical="center"/>
    </xf>
    <xf numFmtId="0" fontId="0" fillId="9" borderId="2" xfId="2" applyNumberFormat="1" applyFont="1" applyFill="1" applyBorder="1" applyAlignment="1">
      <alignment horizontal="center" vertical="center"/>
    </xf>
    <xf numFmtId="2" fontId="0" fillId="9" borderId="1" xfId="1" applyNumberFormat="1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2" fontId="0" fillId="9" borderId="6" xfId="2" applyNumberFormat="1" applyFont="1" applyFill="1" applyBorder="1" applyAlignment="1">
      <alignment horizontal="center" vertical="center"/>
    </xf>
    <xf numFmtId="2" fontId="0" fillId="9" borderId="2" xfId="2" applyNumberFormat="1" applyFont="1" applyFill="1" applyBorder="1" applyAlignment="1">
      <alignment horizontal="center" vertical="center"/>
    </xf>
    <xf numFmtId="2" fontId="0" fillId="9" borderId="9" xfId="2" applyNumberFormat="1" applyFont="1" applyFill="1" applyBorder="1" applyAlignment="1">
      <alignment horizontal="center" vertical="center"/>
    </xf>
    <xf numFmtId="2" fontId="0" fillId="9" borderId="1" xfId="2" applyNumberFormat="1" applyFont="1" applyFill="1" applyBorder="1" applyAlignment="1">
      <alignment horizontal="center" vertical="center"/>
    </xf>
    <xf numFmtId="2" fontId="0" fillId="9" borderId="16" xfId="2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21" xfId="1" applyFont="1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0" fillId="9" borderId="36" xfId="0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/>
    </xf>
    <xf numFmtId="0" fontId="17" fillId="3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5" fillId="12" borderId="19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/>
    </xf>
    <xf numFmtId="0" fontId="7" fillId="0" borderId="15" xfId="3" applyFont="1" applyFill="1" applyBorder="1" applyAlignment="1">
      <alignment horizontal="center" vertical="center"/>
    </xf>
    <xf numFmtId="0" fontId="6" fillId="0" borderId="48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7" fillId="0" borderId="17" xfId="3" applyFont="1" applyFill="1" applyBorder="1" applyAlignment="1">
      <alignment horizontal="center" vertical="center"/>
    </xf>
    <xf numFmtId="9" fontId="0" fillId="9" borderId="6" xfId="1" applyFont="1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/>
    </xf>
    <xf numFmtId="2" fontId="18" fillId="9" borderId="21" xfId="0" applyNumberFormat="1" applyFont="1" applyFill="1" applyBorder="1" applyAlignment="1">
      <alignment horizontal="center" vertical="center"/>
    </xf>
    <xf numFmtId="0" fontId="18" fillId="9" borderId="36" xfId="0" applyFont="1" applyFill="1" applyBorder="1" applyAlignment="1">
      <alignment horizontal="center" vertical="center"/>
    </xf>
    <xf numFmtId="2" fontId="18" fillId="9" borderId="36" xfId="0" applyNumberFormat="1" applyFont="1" applyFill="1" applyBorder="1" applyAlignment="1">
      <alignment horizontal="center" vertical="center"/>
    </xf>
    <xf numFmtId="0" fontId="17" fillId="3" borderId="27" xfId="0" applyFont="1" applyFill="1" applyBorder="1" applyAlignment="1">
      <alignment horizontal="center" vertical="center"/>
    </xf>
    <xf numFmtId="2" fontId="18" fillId="9" borderId="15" xfId="0" applyNumberFormat="1" applyFont="1" applyFill="1" applyBorder="1" applyAlignment="1">
      <alignment horizontal="center" vertical="center"/>
    </xf>
    <xf numFmtId="2" fontId="18" fillId="9" borderId="16" xfId="0" applyNumberFormat="1" applyFont="1" applyFill="1" applyBorder="1" applyAlignment="1">
      <alignment horizontal="center" vertical="center"/>
    </xf>
    <xf numFmtId="2" fontId="18" fillId="9" borderId="37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19" borderId="19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0" fontId="0" fillId="20" borderId="19" xfId="0" applyFill="1" applyBorder="1" applyAlignment="1">
      <alignment horizontal="center"/>
    </xf>
    <xf numFmtId="0" fontId="6" fillId="20" borderId="1" xfId="0" applyFont="1" applyFill="1" applyBorder="1" applyAlignment="1">
      <alignment horizontal="center" vertical="center"/>
    </xf>
    <xf numFmtId="0" fontId="6" fillId="21" borderId="19" xfId="0" applyFont="1" applyFill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4" fillId="11" borderId="19" xfId="0" applyFont="1" applyFill="1" applyBorder="1" applyAlignment="1">
      <alignment horizontal="center" vertical="center"/>
    </xf>
    <xf numFmtId="0" fontId="19" fillId="22" borderId="19" xfId="0" applyFont="1" applyFill="1" applyBorder="1" applyAlignment="1">
      <alignment horizontal="center"/>
    </xf>
    <xf numFmtId="0" fontId="19" fillId="22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19" fillId="23" borderId="19" xfId="0" applyFont="1" applyFill="1" applyBorder="1" applyAlignment="1">
      <alignment horizontal="center"/>
    </xf>
    <xf numFmtId="0" fontId="6" fillId="23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3" fillId="0" borderId="0" xfId="3" applyAlignment="1">
      <alignment horizontal="center" vertical="center"/>
    </xf>
    <xf numFmtId="0" fontId="3" fillId="0" borderId="0" xfId="3" applyAlignment="1">
      <alignment horizontal="center"/>
    </xf>
    <xf numFmtId="0" fontId="3" fillId="0" borderId="1" xfId="3" applyBorder="1" applyAlignment="1">
      <alignment horizontal="center" vertical="center"/>
    </xf>
    <xf numFmtId="0" fontId="20" fillId="22" borderId="19" xfId="0" applyFont="1" applyFill="1" applyBorder="1" applyAlignment="1">
      <alignment horizontal="center"/>
    </xf>
    <xf numFmtId="164" fontId="0" fillId="0" borderId="38" xfId="1" applyNumberFormat="1" applyFont="1" applyBorder="1" applyAlignment="1">
      <alignment horizontal="center" vertical="center"/>
    </xf>
    <xf numFmtId="164" fontId="0" fillId="0" borderId="17" xfId="1" applyNumberFormat="1" applyFont="1" applyBorder="1" applyAlignment="1">
      <alignment horizontal="center" vertical="center"/>
    </xf>
    <xf numFmtId="0" fontId="10" fillId="24" borderId="19" xfId="0" applyFont="1" applyFill="1" applyBorder="1" applyAlignment="1">
      <alignment horizontal="center"/>
    </xf>
    <xf numFmtId="0" fontId="10" fillId="24" borderId="1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8" fillId="19" borderId="29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5" fillId="13" borderId="19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6" fillId="9" borderId="64" xfId="0" applyFont="1" applyFill="1" applyBorder="1" applyAlignment="1">
      <alignment horizontal="center" vertical="center"/>
    </xf>
    <xf numFmtId="0" fontId="6" fillId="9" borderId="36" xfId="0" applyFont="1" applyFill="1" applyBorder="1" applyAlignment="1">
      <alignment horizontal="center" vertical="center"/>
    </xf>
    <xf numFmtId="0" fontId="0" fillId="25" borderId="2" xfId="0" applyFill="1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23" fillId="17" borderId="1" xfId="0" applyFont="1" applyFill="1" applyBorder="1" applyAlignment="1">
      <alignment horizontal="center" vertical="center"/>
    </xf>
    <xf numFmtId="9" fontId="0" fillId="9" borderId="39" xfId="1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/>
    </xf>
    <xf numFmtId="0" fontId="23" fillId="27" borderId="19" xfId="0" applyFont="1" applyFill="1" applyBorder="1" applyAlignment="1">
      <alignment horizontal="center"/>
    </xf>
    <xf numFmtId="0" fontId="23" fillId="27" borderId="1" xfId="0" applyFont="1" applyFill="1" applyBorder="1" applyAlignment="1">
      <alignment horizontal="center"/>
    </xf>
    <xf numFmtId="0" fontId="0" fillId="0" borderId="64" xfId="0" applyBorder="1"/>
    <xf numFmtId="0" fontId="0" fillId="0" borderId="36" xfId="0" applyBorder="1"/>
    <xf numFmtId="0" fontId="0" fillId="0" borderId="37" xfId="0" applyBorder="1"/>
    <xf numFmtId="9" fontId="0" fillId="0" borderId="46" xfId="1" applyFont="1" applyBorder="1"/>
    <xf numFmtId="0" fontId="0" fillId="0" borderId="66" xfId="0" applyBorder="1"/>
    <xf numFmtId="9" fontId="0" fillId="0" borderId="56" xfId="1" applyFont="1" applyBorder="1"/>
    <xf numFmtId="0" fontId="0" fillId="0" borderId="42" xfId="0" applyBorder="1"/>
    <xf numFmtId="2" fontId="0" fillId="0" borderId="17" xfId="0" applyNumberFormat="1" applyBorder="1"/>
    <xf numFmtId="0" fontId="0" fillId="0" borderId="19" xfId="0" applyBorder="1"/>
    <xf numFmtId="2" fontId="0" fillId="0" borderId="1" xfId="0" applyNumberFormat="1" applyBorder="1"/>
    <xf numFmtId="0" fontId="0" fillId="0" borderId="27" xfId="0" applyBorder="1"/>
    <xf numFmtId="9" fontId="0" fillId="0" borderId="67" xfId="1" applyFont="1" applyBorder="1"/>
    <xf numFmtId="9" fontId="0" fillId="0" borderId="21" xfId="1" applyFont="1" applyBorder="1"/>
    <xf numFmtId="2" fontId="0" fillId="0" borderId="58" xfId="0" applyNumberFormat="1" applyBorder="1"/>
    <xf numFmtId="0" fontId="0" fillId="0" borderId="65" xfId="0" applyBorder="1"/>
    <xf numFmtId="0" fontId="24" fillId="17" borderId="1" xfId="0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25" fillId="28" borderId="19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5" fillId="25" borderId="1" xfId="0" applyFont="1" applyFill="1" applyBorder="1" applyAlignment="1">
      <alignment horizontal="center"/>
    </xf>
    <xf numFmtId="0" fontId="26" fillId="10" borderId="1" xfId="0" applyFont="1" applyFill="1" applyBorder="1" applyAlignment="1">
      <alignment horizontal="center" vertical="center"/>
    </xf>
    <xf numFmtId="0" fontId="26" fillId="27" borderId="1" xfId="0" applyFont="1" applyFill="1" applyBorder="1" applyAlignment="1">
      <alignment horizontal="center"/>
    </xf>
    <xf numFmtId="0" fontId="26" fillId="19" borderId="1" xfId="0" applyFont="1" applyFill="1" applyBorder="1" applyAlignment="1">
      <alignment horizontal="center" vertical="center"/>
    </xf>
    <xf numFmtId="9" fontId="0" fillId="29" borderId="33" xfId="1" applyFont="1" applyFill="1" applyBorder="1" applyAlignment="1">
      <alignment horizontal="center" vertical="center"/>
    </xf>
    <xf numFmtId="0" fontId="2" fillId="30" borderId="31" xfId="0" applyFont="1" applyFill="1" applyBorder="1" applyAlignment="1">
      <alignment horizontal="center" vertical="center"/>
    </xf>
    <xf numFmtId="0" fontId="25" fillId="27" borderId="1" xfId="0" applyFont="1" applyFill="1" applyBorder="1" applyAlignment="1">
      <alignment horizontal="center"/>
    </xf>
    <xf numFmtId="0" fontId="25" fillId="31" borderId="19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8" fillId="7" borderId="19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/>
    </xf>
    <xf numFmtId="0" fontId="8" fillId="32" borderId="19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/>
    </xf>
    <xf numFmtId="0" fontId="8" fillId="8" borderId="19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2" fillId="16" borderId="19" xfId="0" applyFont="1" applyFill="1" applyBorder="1" applyAlignment="1">
      <alignment horizontal="center"/>
    </xf>
    <xf numFmtId="0" fontId="2" fillId="16" borderId="1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5" fillId="17" borderId="2" xfId="0" applyFont="1" applyFill="1" applyBorder="1" applyAlignment="1">
      <alignment horizontal="center"/>
    </xf>
    <xf numFmtId="0" fontId="5" fillId="17" borderId="19" xfId="0" applyFont="1" applyFill="1" applyBorder="1" applyAlignment="1">
      <alignment horizontal="center"/>
    </xf>
    <xf numFmtId="0" fontId="5" fillId="33" borderId="1" xfId="0" applyFont="1" applyFill="1" applyBorder="1" applyAlignment="1">
      <alignment horizontal="center" vertical="center"/>
    </xf>
    <xf numFmtId="0" fontId="5" fillId="33" borderId="19" xfId="0" applyFont="1" applyFill="1" applyBorder="1" applyAlignment="1">
      <alignment horizontal="center" vertical="center"/>
    </xf>
    <xf numFmtId="2" fontId="0" fillId="0" borderId="0" xfId="0" applyNumberFormat="1"/>
    <xf numFmtId="0" fontId="8" fillId="34" borderId="1" xfId="0" applyFont="1" applyFill="1" applyBorder="1" applyAlignment="1">
      <alignment horizontal="center" vertical="center"/>
    </xf>
    <xf numFmtId="0" fontId="24" fillId="17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/>
    </xf>
    <xf numFmtId="0" fontId="25" fillId="18" borderId="19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/>
    </xf>
    <xf numFmtId="0" fontId="26" fillId="35" borderId="1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6" fillId="0" borderId="3" xfId="0" quotePrefix="1" applyFont="1" applyBorder="1" applyAlignment="1">
      <alignment horizontal="left" vertical="center"/>
    </xf>
    <xf numFmtId="0" fontId="0" fillId="9" borderId="1" xfId="2" applyNumberFormat="1" applyFont="1" applyFill="1" applyBorder="1" applyAlignment="1">
      <alignment horizontal="center" vertical="center"/>
    </xf>
    <xf numFmtId="0" fontId="25" fillId="9" borderId="36" xfId="0" applyFont="1" applyFill="1" applyBorder="1" applyAlignment="1">
      <alignment horizontal="center" vertical="center"/>
    </xf>
    <xf numFmtId="0" fontId="28" fillId="36" borderId="19" xfId="0" applyFont="1" applyFill="1" applyBorder="1" applyAlignment="1">
      <alignment horizontal="center" vertical="center"/>
    </xf>
    <xf numFmtId="0" fontId="28" fillId="36" borderId="1" xfId="0" applyFont="1" applyFill="1" applyBorder="1" applyAlignment="1">
      <alignment horizontal="center" vertical="center"/>
    </xf>
    <xf numFmtId="0" fontId="28" fillId="27" borderId="19" xfId="0" applyFont="1" applyFill="1" applyBorder="1" applyAlignment="1">
      <alignment horizontal="center" vertical="center"/>
    </xf>
    <xf numFmtId="0" fontId="29" fillId="37" borderId="1" xfId="0" applyFont="1" applyFill="1" applyBorder="1" applyAlignment="1">
      <alignment horizontal="center" vertical="center"/>
    </xf>
    <xf numFmtId="0" fontId="28" fillId="26" borderId="19" xfId="0" applyFont="1" applyFill="1" applyBorder="1" applyAlignment="1">
      <alignment horizontal="center" vertical="center"/>
    </xf>
    <xf numFmtId="0" fontId="23" fillId="17" borderId="1" xfId="0" applyFont="1" applyFill="1" applyBorder="1" applyAlignment="1">
      <alignment horizontal="center"/>
    </xf>
    <xf numFmtId="0" fontId="28" fillId="38" borderId="1" xfId="0" applyFon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6" fillId="24" borderId="19" xfId="0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23" fillId="17" borderId="2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 vertical="center"/>
    </xf>
    <xf numFmtId="0" fontId="23" fillId="39" borderId="19" xfId="0" applyFont="1" applyFill="1" applyBorder="1" applyAlignment="1">
      <alignment horizontal="center" vertical="center"/>
    </xf>
    <xf numFmtId="0" fontId="23" fillId="39" borderId="1" xfId="0" applyFont="1" applyFill="1" applyBorder="1" applyAlignment="1">
      <alignment horizontal="center" vertical="center"/>
    </xf>
    <xf numFmtId="0" fontId="6" fillId="40" borderId="29" xfId="0" applyFont="1" applyFill="1" applyBorder="1" applyAlignment="1">
      <alignment horizontal="center" vertical="center"/>
    </xf>
    <xf numFmtId="0" fontId="6" fillId="40" borderId="1" xfId="0" applyFont="1" applyFill="1" applyBorder="1" applyAlignment="1">
      <alignment horizontal="center" vertical="center"/>
    </xf>
    <xf numFmtId="0" fontId="0" fillId="41" borderId="19" xfId="0" applyFill="1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0" fillId="42" borderId="19" xfId="0" applyFill="1" applyBorder="1" applyAlignment="1">
      <alignment horizontal="center" vertical="center"/>
    </xf>
    <xf numFmtId="0" fontId="0" fillId="42" borderId="1" xfId="0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9" fillId="43" borderId="19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9" fontId="0" fillId="0" borderId="24" xfId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9" fontId="0" fillId="0" borderId="28" xfId="1" applyFont="1" applyBorder="1" applyAlignment="1">
      <alignment horizontal="center" vertical="center"/>
    </xf>
    <xf numFmtId="0" fontId="28" fillId="44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0" fillId="17" borderId="1" xfId="0" applyFont="1" applyFill="1" applyBorder="1" applyAlignment="1">
      <alignment horizontal="center"/>
    </xf>
    <xf numFmtId="0" fontId="25" fillId="8" borderId="1" xfId="0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/>
    </xf>
    <xf numFmtId="0" fontId="25" fillId="6" borderId="2" xfId="0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165" fontId="0" fillId="9" borderId="71" xfId="0" applyNumberFormat="1" applyFill="1" applyBorder="1" applyAlignment="1">
      <alignment horizontal="center" vertical="center"/>
    </xf>
    <xf numFmtId="0" fontId="26" fillId="12" borderId="71" xfId="0" applyFont="1" applyFill="1" applyBorder="1" applyAlignment="1">
      <alignment horizontal="center" vertical="center"/>
    </xf>
    <xf numFmtId="0" fontId="6" fillId="24" borderId="71" xfId="0" applyFont="1" applyFill="1" applyBorder="1" applyAlignment="1">
      <alignment horizontal="center" vertical="center"/>
    </xf>
    <xf numFmtId="0" fontId="8" fillId="10" borderId="71" xfId="0" applyFont="1" applyFill="1" applyBorder="1" applyAlignment="1">
      <alignment horizontal="center" vertical="center"/>
    </xf>
    <xf numFmtId="0" fontId="29" fillId="37" borderId="71" xfId="0" applyFont="1" applyFill="1" applyBorder="1" applyAlignment="1">
      <alignment horizontal="center" vertical="center"/>
    </xf>
    <xf numFmtId="0" fontId="23" fillId="17" borderId="71" xfId="0" applyFont="1" applyFill="1" applyBorder="1" applyAlignment="1">
      <alignment horizontal="center"/>
    </xf>
    <xf numFmtId="0" fontId="0" fillId="41" borderId="71" xfId="0" applyFill="1" applyBorder="1" applyAlignment="1">
      <alignment horizontal="center"/>
    </xf>
    <xf numFmtId="165" fontId="0" fillId="9" borderId="4" xfId="0" applyNumberFormat="1" applyFill="1" applyBorder="1" applyAlignment="1">
      <alignment horizontal="center" vertical="center"/>
    </xf>
    <xf numFmtId="0" fontId="26" fillId="12" borderId="4" xfId="0" applyFont="1" applyFill="1" applyBorder="1" applyAlignment="1">
      <alignment horizontal="center" vertical="center"/>
    </xf>
    <xf numFmtId="0" fontId="6" fillId="24" borderId="4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23" fillId="17" borderId="3" xfId="0" applyFont="1" applyFill="1" applyBorder="1" applyAlignment="1">
      <alignment horizontal="center"/>
    </xf>
    <xf numFmtId="0" fontId="0" fillId="42" borderId="4" xfId="0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/>
    </xf>
    <xf numFmtId="0" fontId="28" fillId="26" borderId="4" xfId="0" applyFont="1" applyFill="1" applyBorder="1" applyAlignment="1">
      <alignment horizontal="center" vertical="center"/>
    </xf>
    <xf numFmtId="0" fontId="0" fillId="41" borderId="4" xfId="0" applyFill="1" applyBorder="1" applyAlignment="1">
      <alignment horizontal="center"/>
    </xf>
    <xf numFmtId="0" fontId="28" fillId="38" borderId="71" xfId="0" applyFont="1" applyFill="1" applyBorder="1" applyAlignment="1">
      <alignment horizontal="center" vertical="center"/>
    </xf>
    <xf numFmtId="0" fontId="26" fillId="10" borderId="71" xfId="0" applyFont="1" applyFill="1" applyBorder="1" applyAlignment="1">
      <alignment horizontal="center" vertical="center"/>
    </xf>
    <xf numFmtId="0" fontId="0" fillId="42" borderId="71" xfId="0" applyFill="1" applyBorder="1" applyAlignment="1">
      <alignment horizontal="center" vertical="center"/>
    </xf>
    <xf numFmtId="0" fontId="30" fillId="17" borderId="71" xfId="0" applyFont="1" applyFill="1" applyBorder="1" applyAlignment="1">
      <alignment horizontal="center"/>
    </xf>
    <xf numFmtId="0" fontId="28" fillId="26" borderId="71" xfId="0" applyFont="1" applyFill="1" applyBorder="1" applyAlignment="1">
      <alignment horizontal="center" vertical="center"/>
    </xf>
    <xf numFmtId="0" fontId="28" fillId="38" borderId="4" xfId="0" applyFont="1" applyFill="1" applyBorder="1" applyAlignment="1">
      <alignment horizontal="center" vertical="center"/>
    </xf>
    <xf numFmtId="0" fontId="26" fillId="10" borderId="4" xfId="0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horizontal="center"/>
    </xf>
    <xf numFmtId="0" fontId="23" fillId="39" borderId="71" xfId="0" applyFont="1" applyFill="1" applyBorder="1" applyAlignment="1">
      <alignment horizontal="center" vertical="center"/>
    </xf>
    <xf numFmtId="0" fontId="6" fillId="14" borderId="71" xfId="0" applyFont="1" applyFill="1" applyBorder="1" applyAlignment="1">
      <alignment horizontal="center" vertical="center"/>
    </xf>
    <xf numFmtId="0" fontId="25" fillId="41" borderId="71" xfId="0" applyFont="1" applyFill="1" applyBorder="1" applyAlignment="1">
      <alignment horizontal="center"/>
    </xf>
    <xf numFmtId="0" fontId="23" fillId="39" borderId="4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25" fillId="41" borderId="4" xfId="0" applyFont="1" applyFill="1" applyBorder="1" applyAlignment="1">
      <alignment horizontal="center"/>
    </xf>
    <xf numFmtId="0" fontId="0" fillId="7" borderId="7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6" fillId="40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6" fillId="40" borderId="4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25" fillId="41" borderId="21" xfId="0" applyFont="1" applyFill="1" applyBorder="1" applyAlignment="1">
      <alignment horizontal="center"/>
    </xf>
    <xf numFmtId="0" fontId="25" fillId="7" borderId="4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center"/>
    </xf>
    <xf numFmtId="0" fontId="2" fillId="30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23" fillId="27" borderId="1" xfId="0" applyFont="1" applyFill="1" applyBorder="1" applyAlignment="1">
      <alignment horizontal="center" vertical="center"/>
    </xf>
    <xf numFmtId="0" fontId="23" fillId="45" borderId="1" xfId="0" applyFont="1" applyFill="1" applyBorder="1" applyAlignment="1">
      <alignment horizontal="center" vertical="center"/>
    </xf>
    <xf numFmtId="0" fontId="26" fillId="12" borderId="2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8" fillId="30" borderId="2" xfId="0" applyFont="1" applyFill="1" applyBorder="1" applyAlignment="1">
      <alignment horizontal="center" vertical="center"/>
    </xf>
    <xf numFmtId="0" fontId="21" fillId="46" borderId="1" xfId="0" applyFont="1" applyFill="1" applyBorder="1" applyAlignment="1">
      <alignment horizontal="center"/>
    </xf>
    <xf numFmtId="0" fontId="21" fillId="46" borderId="2" xfId="0" applyFont="1" applyFill="1" applyBorder="1" applyAlignment="1">
      <alignment horizontal="center"/>
    </xf>
    <xf numFmtId="0" fontId="23" fillId="39" borderId="1" xfId="0" applyFont="1" applyFill="1" applyBorder="1" applyAlignment="1">
      <alignment horizontal="center"/>
    </xf>
    <xf numFmtId="0" fontId="6" fillId="14" borderId="2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6" fillId="47" borderId="1" xfId="0" applyFont="1" applyFill="1" applyBorder="1" applyAlignment="1">
      <alignment horizontal="center" vertical="center"/>
    </xf>
    <xf numFmtId="0" fontId="6" fillId="41" borderId="1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3" fillId="27" borderId="4" xfId="0" applyFont="1" applyFill="1" applyBorder="1" applyAlignment="1">
      <alignment horizontal="center" vertical="center"/>
    </xf>
    <xf numFmtId="0" fontId="23" fillId="39" borderId="4" xfId="0" applyFont="1" applyFill="1" applyBorder="1" applyAlignment="1">
      <alignment horizontal="center"/>
    </xf>
    <xf numFmtId="0" fontId="6" fillId="47" borderId="4" xfId="0" applyFont="1" applyFill="1" applyBorder="1" applyAlignment="1">
      <alignment horizontal="center" vertical="center"/>
    </xf>
    <xf numFmtId="0" fontId="8" fillId="40" borderId="4" xfId="0" applyFont="1" applyFill="1" applyBorder="1" applyAlignment="1">
      <alignment horizontal="center" vertical="center"/>
    </xf>
    <xf numFmtId="0" fontId="6" fillId="7" borderId="71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23" fillId="27" borderId="71" xfId="0" applyFont="1" applyFill="1" applyBorder="1" applyAlignment="1">
      <alignment horizontal="center" vertical="center"/>
    </xf>
    <xf numFmtId="0" fontId="23" fillId="39" borderId="71" xfId="0" applyFont="1" applyFill="1" applyBorder="1" applyAlignment="1">
      <alignment horizontal="center"/>
    </xf>
    <xf numFmtId="0" fontId="6" fillId="41" borderId="71" xfId="0" applyFont="1" applyFill="1" applyBorder="1" applyAlignment="1">
      <alignment horizontal="center" vertical="center"/>
    </xf>
    <xf numFmtId="0" fontId="6" fillId="47" borderId="71" xfId="0" applyFont="1" applyFill="1" applyBorder="1" applyAlignment="1">
      <alignment horizontal="center" vertical="center"/>
    </xf>
    <xf numFmtId="0" fontId="8" fillId="40" borderId="71" xfId="0" applyFont="1" applyFill="1" applyBorder="1" applyAlignment="1">
      <alignment horizontal="center" vertical="center"/>
    </xf>
    <xf numFmtId="165" fontId="0" fillId="9" borderId="73" xfId="0" applyNumberFormat="1" applyFill="1" applyBorder="1" applyAlignment="1">
      <alignment horizontal="center" vertical="center"/>
    </xf>
    <xf numFmtId="0" fontId="6" fillId="7" borderId="73" xfId="0" applyFont="1" applyFill="1" applyBorder="1" applyAlignment="1">
      <alignment horizontal="center" vertical="center"/>
    </xf>
    <xf numFmtId="0" fontId="6" fillId="8" borderId="73" xfId="0" applyFont="1" applyFill="1" applyBorder="1" applyAlignment="1">
      <alignment horizontal="center" vertical="center"/>
    </xf>
    <xf numFmtId="0" fontId="23" fillId="27" borderId="73" xfId="0" applyFont="1" applyFill="1" applyBorder="1" applyAlignment="1">
      <alignment horizontal="center" vertical="center"/>
    </xf>
    <xf numFmtId="0" fontId="23" fillId="39" borderId="73" xfId="0" applyFont="1" applyFill="1" applyBorder="1" applyAlignment="1">
      <alignment horizontal="center"/>
    </xf>
    <xf numFmtId="0" fontId="6" fillId="41" borderId="73" xfId="0" applyFont="1" applyFill="1" applyBorder="1" applyAlignment="1">
      <alignment horizontal="center" vertical="center"/>
    </xf>
    <xf numFmtId="0" fontId="6" fillId="47" borderId="73" xfId="0" applyFont="1" applyFill="1" applyBorder="1" applyAlignment="1">
      <alignment horizontal="center" vertical="center"/>
    </xf>
    <xf numFmtId="0" fontId="8" fillId="40" borderId="73" xfId="0" applyFont="1" applyFill="1" applyBorder="1" applyAlignment="1">
      <alignment horizontal="center" vertical="center"/>
    </xf>
    <xf numFmtId="165" fontId="0" fillId="9" borderId="2" xfId="0" applyNumberForma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23" fillId="27" borderId="2" xfId="0" applyFont="1" applyFill="1" applyBorder="1" applyAlignment="1">
      <alignment horizontal="center" vertical="center"/>
    </xf>
    <xf numFmtId="0" fontId="6" fillId="41" borderId="2" xfId="0" applyFont="1" applyFill="1" applyBorder="1" applyAlignment="1">
      <alignment horizontal="center" vertical="center"/>
    </xf>
    <xf numFmtId="0" fontId="23" fillId="13" borderId="73" xfId="0" applyFont="1" applyFill="1" applyBorder="1" applyAlignment="1">
      <alignment horizontal="center" vertical="center"/>
    </xf>
    <xf numFmtId="0" fontId="21" fillId="46" borderId="73" xfId="0" applyFont="1" applyFill="1" applyBorder="1" applyAlignment="1">
      <alignment horizontal="center"/>
    </xf>
    <xf numFmtId="0" fontId="6" fillId="14" borderId="73" xfId="0" applyFont="1" applyFill="1" applyBorder="1" applyAlignment="1">
      <alignment horizontal="center" vertical="center"/>
    </xf>
    <xf numFmtId="0" fontId="0" fillId="25" borderId="73" xfId="0" applyFill="1" applyBorder="1" applyAlignment="1">
      <alignment horizontal="center"/>
    </xf>
    <xf numFmtId="0" fontId="21" fillId="46" borderId="71" xfId="0" applyFont="1" applyFill="1" applyBorder="1" applyAlignment="1">
      <alignment horizontal="center"/>
    </xf>
    <xf numFmtId="0" fontId="23" fillId="13" borderId="4" xfId="0" applyFont="1" applyFill="1" applyBorder="1" applyAlignment="1">
      <alignment horizontal="center" vertical="center"/>
    </xf>
    <xf numFmtId="0" fontId="23" fillId="45" borderId="4" xfId="0" applyFont="1" applyFill="1" applyBorder="1" applyAlignment="1">
      <alignment horizontal="center" vertical="center"/>
    </xf>
    <xf numFmtId="0" fontId="8" fillId="30" borderId="4" xfId="0" applyFont="1" applyFill="1" applyBorder="1" applyAlignment="1">
      <alignment horizontal="center" vertical="center"/>
    </xf>
    <xf numFmtId="0" fontId="6" fillId="41" borderId="4" xfId="0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23" fillId="13" borderId="71" xfId="0" applyFont="1" applyFill="1" applyBorder="1" applyAlignment="1">
      <alignment horizontal="center" vertical="center"/>
    </xf>
    <xf numFmtId="0" fontId="23" fillId="45" borderId="71" xfId="0" applyFont="1" applyFill="1" applyBorder="1" applyAlignment="1">
      <alignment horizontal="center" vertical="center"/>
    </xf>
    <xf numFmtId="0" fontId="8" fillId="30" borderId="71" xfId="0" applyFont="1" applyFill="1" applyBorder="1" applyAlignment="1">
      <alignment horizontal="center" vertical="center"/>
    </xf>
    <xf numFmtId="0" fontId="6" fillId="18" borderId="71" xfId="0" applyFont="1" applyFill="1" applyBorder="1" applyAlignment="1">
      <alignment horizontal="center" vertical="center"/>
    </xf>
    <xf numFmtId="0" fontId="0" fillId="25" borderId="71" xfId="0" applyFill="1" applyBorder="1" applyAlignment="1">
      <alignment horizontal="center"/>
    </xf>
    <xf numFmtId="0" fontId="23" fillId="45" borderId="73" xfId="0" applyFont="1" applyFill="1" applyBorder="1" applyAlignment="1">
      <alignment horizontal="center" vertical="center"/>
    </xf>
    <xf numFmtId="0" fontId="8" fillId="30" borderId="73" xfId="0" applyFont="1" applyFill="1" applyBorder="1" applyAlignment="1">
      <alignment horizontal="center" vertical="center"/>
    </xf>
    <xf numFmtId="0" fontId="6" fillId="18" borderId="73" xfId="0" applyFont="1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/>
    </xf>
    <xf numFmtId="0" fontId="25" fillId="47" borderId="1" xfId="0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25" fillId="47" borderId="2" xfId="0" applyFont="1" applyFill="1" applyBorder="1" applyAlignment="1">
      <alignment horizontal="center" vertical="center"/>
    </xf>
    <xf numFmtId="0" fontId="25" fillId="47" borderId="19" xfId="0" applyFont="1" applyFill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/>
    </xf>
    <xf numFmtId="0" fontId="25" fillId="46" borderId="2" xfId="0" applyFont="1" applyFill="1" applyBorder="1" applyAlignment="1">
      <alignment horizontal="center"/>
    </xf>
    <xf numFmtId="0" fontId="25" fillId="46" borderId="71" xfId="0" applyFont="1" applyFill="1" applyBorder="1" applyAlignment="1">
      <alignment horizontal="center"/>
    </xf>
    <xf numFmtId="0" fontId="25" fillId="39" borderId="71" xfId="0" applyFont="1" applyFill="1" applyBorder="1" applyAlignment="1">
      <alignment horizontal="center"/>
    </xf>
    <xf numFmtId="0" fontId="25" fillId="39" borderId="1" xfId="0" applyFont="1" applyFill="1" applyBorder="1" applyAlignment="1">
      <alignment horizontal="center"/>
    </xf>
    <xf numFmtId="0" fontId="25" fillId="18" borderId="73" xfId="0" applyFont="1" applyFill="1" applyBorder="1" applyAlignment="1">
      <alignment horizontal="center" vertical="center"/>
    </xf>
    <xf numFmtId="0" fontId="26" fillId="40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vertical="center"/>
    </xf>
    <xf numFmtId="0" fontId="26" fillId="30" borderId="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0" fillId="0" borderId="0" xfId="0" quotePrefix="1"/>
    <xf numFmtId="0" fontId="3" fillId="0" borderId="0" xfId="3"/>
    <xf numFmtId="14" fontId="0" fillId="0" borderId="0" xfId="0" quotePrefix="1" applyNumberFormat="1"/>
    <xf numFmtId="0" fontId="2" fillId="3" borderId="27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0" borderId="47" xfId="0" applyFont="1" applyBorder="1" applyAlignment="1">
      <alignment vertical="center"/>
    </xf>
    <xf numFmtId="14" fontId="0" fillId="9" borderId="23" xfId="0" applyNumberFormat="1" applyFill="1" applyBorder="1" applyAlignment="1">
      <alignment horizontal="center" vertical="center"/>
    </xf>
    <xf numFmtId="2" fontId="0" fillId="9" borderId="24" xfId="2" applyNumberFormat="1" applyFont="1" applyFill="1" applyBorder="1" applyAlignment="1">
      <alignment horizontal="center" vertical="center"/>
    </xf>
    <xf numFmtId="14" fontId="0" fillId="9" borderId="29" xfId="0" applyNumberFormat="1" applyFill="1" applyBorder="1" applyAlignment="1">
      <alignment horizontal="center" vertical="center"/>
    </xf>
    <xf numFmtId="14" fontId="0" fillId="9" borderId="53" xfId="0" applyNumberFormat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0" fontId="2" fillId="3" borderId="75" xfId="0" applyFont="1" applyFill="1" applyBorder="1" applyAlignment="1">
      <alignment horizontal="center" vertical="center" wrapText="1"/>
    </xf>
    <xf numFmtId="0" fontId="2" fillId="3" borderId="63" xfId="0" applyFont="1" applyFill="1" applyBorder="1" applyAlignment="1">
      <alignment horizontal="center" vertical="center" wrapText="1"/>
    </xf>
    <xf numFmtId="14" fontId="0" fillId="9" borderId="61" xfId="0" applyNumberFormat="1" applyFill="1" applyBorder="1" applyAlignment="1">
      <alignment horizontal="center" vertical="center"/>
    </xf>
    <xf numFmtId="14" fontId="0" fillId="9" borderId="41" xfId="0" applyNumberFormat="1" applyFill="1" applyBorder="1" applyAlignment="1">
      <alignment horizontal="center" vertical="center"/>
    </xf>
    <xf numFmtId="14" fontId="0" fillId="9" borderId="38" xfId="0" applyNumberFormat="1" applyFill="1" applyBorder="1" applyAlignment="1">
      <alignment horizontal="center" vertical="center"/>
    </xf>
    <xf numFmtId="14" fontId="0" fillId="9" borderId="56" xfId="0" applyNumberFormat="1" applyFill="1" applyBorder="1" applyAlignment="1">
      <alignment horizontal="center" vertical="center"/>
    </xf>
    <xf numFmtId="2" fontId="0" fillId="9" borderId="21" xfId="2" applyNumberFormat="1" applyFont="1" applyFill="1" applyBorder="1" applyAlignment="1">
      <alignment horizontal="center" vertical="center"/>
    </xf>
    <xf numFmtId="2" fontId="0" fillId="9" borderId="28" xfId="2" applyNumberFormat="1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14" fontId="0" fillId="9" borderId="19" xfId="0" applyNumberForma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14" fontId="0" fillId="9" borderId="27" xfId="0" applyNumberForma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14" fontId="0" fillId="9" borderId="17" xfId="0" applyNumberFormat="1" applyFill="1" applyBorder="1" applyAlignment="1">
      <alignment horizontal="center" vertical="center"/>
    </xf>
    <xf numFmtId="14" fontId="0" fillId="9" borderId="15" xfId="0" applyNumberFormat="1" applyFill="1" applyBorder="1" applyAlignment="1">
      <alignment horizontal="center" vertical="center"/>
    </xf>
    <xf numFmtId="2" fontId="0" fillId="9" borderId="17" xfId="2" applyNumberFormat="1" applyFont="1" applyFill="1" applyBorder="1" applyAlignment="1">
      <alignment horizontal="center" vertical="center"/>
    </xf>
    <xf numFmtId="166" fontId="0" fillId="9" borderId="24" xfId="1" applyNumberFormat="1" applyFont="1" applyFill="1" applyBorder="1" applyAlignment="1">
      <alignment horizontal="center" vertical="center"/>
    </xf>
    <xf numFmtId="166" fontId="0" fillId="9" borderId="21" xfId="1" applyNumberFormat="1" applyFont="1" applyFill="1" applyBorder="1" applyAlignment="1">
      <alignment horizontal="center" vertical="center"/>
    </xf>
    <xf numFmtId="2" fontId="0" fillId="9" borderId="15" xfId="2" applyNumberFormat="1" applyFont="1" applyFill="1" applyBorder="1" applyAlignment="1">
      <alignment horizontal="center" vertical="center"/>
    </xf>
    <xf numFmtId="166" fontId="0" fillId="9" borderId="28" xfId="1" applyNumberFormat="1" applyFont="1" applyFill="1" applyBorder="1" applyAlignment="1">
      <alignment horizontal="center" vertical="center"/>
    </xf>
    <xf numFmtId="2" fontId="0" fillId="3" borderId="22" xfId="1" applyNumberFormat="1" applyFont="1" applyFill="1" applyBorder="1" applyAlignment="1">
      <alignment horizontal="center" vertical="center"/>
    </xf>
    <xf numFmtId="0" fontId="6" fillId="9" borderId="24" xfId="0" applyFont="1" applyFill="1" applyBorder="1" applyAlignment="1">
      <alignment horizontal="center" vertical="center"/>
    </xf>
    <xf numFmtId="9" fontId="1" fillId="9" borderId="17" xfId="1" applyFont="1" applyFill="1" applyBorder="1" applyAlignment="1">
      <alignment horizontal="center" vertical="center"/>
    </xf>
    <xf numFmtId="9" fontId="1" fillId="9" borderId="1" xfId="1" applyFont="1" applyFill="1" applyBorder="1" applyAlignment="1">
      <alignment horizontal="center" vertical="center"/>
    </xf>
    <xf numFmtId="9" fontId="1" fillId="9" borderId="15" xfId="1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8" fillId="10" borderId="15" xfId="0" applyFont="1" applyFill="1" applyBorder="1" applyAlignment="1">
      <alignment horizontal="center" vertical="center"/>
    </xf>
    <xf numFmtId="0" fontId="23" fillId="27" borderId="5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0" borderId="6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2" fontId="0" fillId="0" borderId="0" xfId="1" applyNumberFormat="1" applyFont="1" applyFill="1" applyBorder="1" applyAlignment="1">
      <alignment horizontal="center" vertical="center"/>
    </xf>
    <xf numFmtId="0" fontId="32" fillId="9" borderId="23" xfId="0" applyFont="1" applyFill="1" applyBorder="1" applyAlignment="1">
      <alignment horizontal="center" vertical="center"/>
    </xf>
    <xf numFmtId="2" fontId="32" fillId="9" borderId="3" xfId="2" applyNumberFormat="1" applyFont="1" applyFill="1" applyBorder="1" applyAlignment="1">
      <alignment horizontal="center" vertical="center"/>
    </xf>
    <xf numFmtId="2" fontId="32" fillId="9" borderId="47" xfId="2" applyNumberFormat="1" applyFont="1" applyFill="1" applyBorder="1" applyAlignment="1">
      <alignment horizontal="center" vertical="center"/>
    </xf>
    <xf numFmtId="0" fontId="25" fillId="7" borderId="73" xfId="0" applyFont="1" applyFill="1" applyBorder="1" applyAlignment="1">
      <alignment horizontal="center" vertical="center"/>
    </xf>
    <xf numFmtId="0" fontId="25" fillId="7" borderId="71" xfId="0" applyFont="1" applyFill="1" applyBorder="1" applyAlignment="1">
      <alignment horizontal="center" vertical="center"/>
    </xf>
    <xf numFmtId="0" fontId="25" fillId="13" borderId="73" xfId="0" applyFont="1" applyFill="1" applyBorder="1" applyAlignment="1">
      <alignment horizontal="center" vertical="center"/>
    </xf>
    <xf numFmtId="0" fontId="25" fillId="27" borderId="1" xfId="0" applyFont="1" applyFill="1" applyBorder="1" applyAlignment="1">
      <alignment horizontal="center" vertical="center"/>
    </xf>
    <xf numFmtId="0" fontId="25" fillId="27" borderId="71" xfId="0" applyFont="1" applyFill="1" applyBorder="1" applyAlignment="1">
      <alignment horizontal="center" vertical="center"/>
    </xf>
    <xf numFmtId="0" fontId="25" fillId="27" borderId="4" xfId="0" applyFont="1" applyFill="1" applyBorder="1" applyAlignment="1">
      <alignment horizontal="center" vertical="center"/>
    </xf>
    <xf numFmtId="14" fontId="0" fillId="0" borderId="75" xfId="0" applyNumberFormat="1" applyBorder="1" applyAlignment="1">
      <alignment horizontal="center" vertical="center"/>
    </xf>
    <xf numFmtId="0" fontId="25" fillId="39" borderId="73" xfId="0" applyFont="1" applyFill="1" applyBorder="1" applyAlignment="1">
      <alignment horizontal="center"/>
    </xf>
    <xf numFmtId="0" fontId="25" fillId="46" borderId="1" xfId="0" applyFont="1" applyFill="1" applyBorder="1" applyAlignment="1">
      <alignment horizontal="center"/>
    </xf>
    <xf numFmtId="14" fontId="0" fillId="0" borderId="0" xfId="0" applyNumberFormat="1"/>
    <xf numFmtId="0" fontId="2" fillId="3" borderId="30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/>
    </xf>
    <xf numFmtId="0" fontId="8" fillId="0" borderId="73" xfId="0" applyFont="1" applyBorder="1" applyAlignment="1">
      <alignment horizontal="center" vertical="center"/>
    </xf>
    <xf numFmtId="0" fontId="8" fillId="0" borderId="7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0" fillId="0" borderId="73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1" fillId="0" borderId="73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7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3" fillId="0" borderId="73" xfId="0" applyFon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18" fillId="9" borderId="28" xfId="0" applyNumberFormat="1" applyFont="1" applyFill="1" applyBorder="1" applyAlignment="1">
      <alignment horizontal="center" vertical="center"/>
    </xf>
    <xf numFmtId="165" fontId="0" fillId="9" borderId="21" xfId="0" applyNumberForma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23" fillId="45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8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165" fontId="0" fillId="9" borderId="7" xfId="0" applyNumberFormat="1" applyFill="1" applyBorder="1" applyAlignment="1">
      <alignment horizontal="center" vertical="center"/>
    </xf>
    <xf numFmtId="165" fontId="0" fillId="9" borderId="77" xfId="0" applyNumberFormat="1" applyFill="1" applyBorder="1" applyAlignment="1">
      <alignment horizontal="center" vertical="center"/>
    </xf>
    <xf numFmtId="165" fontId="0" fillId="9" borderId="10" xfId="0" applyNumberFormat="1" applyFill="1" applyBorder="1" applyAlignment="1">
      <alignment horizontal="center" vertical="center"/>
    </xf>
    <xf numFmtId="165" fontId="0" fillId="9" borderId="75" xfId="0" applyNumberFormat="1" applyFill="1" applyBorder="1" applyAlignment="1">
      <alignment horizontal="center" vertical="center"/>
    </xf>
    <xf numFmtId="0" fontId="23" fillId="11" borderId="4" xfId="0" applyFont="1" applyFill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23" fillId="27" borderId="21" xfId="0" applyFont="1" applyFill="1" applyBorder="1" applyAlignment="1">
      <alignment horizontal="center" vertical="center"/>
    </xf>
    <xf numFmtId="0" fontId="23" fillId="45" borderId="21" xfId="0" applyFont="1" applyFill="1" applyBorder="1" applyAlignment="1">
      <alignment horizontal="center" vertical="center"/>
    </xf>
    <xf numFmtId="0" fontId="23" fillId="11" borderId="21" xfId="0" applyFont="1" applyFill="1" applyBorder="1" applyAlignment="1">
      <alignment horizontal="center" vertical="center"/>
    </xf>
    <xf numFmtId="0" fontId="0" fillId="19" borderId="21" xfId="0" applyFill="1" applyBorder="1" applyAlignment="1">
      <alignment horizontal="center"/>
    </xf>
    <xf numFmtId="0" fontId="6" fillId="48" borderId="4" xfId="0" applyFont="1" applyFill="1" applyBorder="1" applyAlignment="1">
      <alignment horizontal="center" vertical="center"/>
    </xf>
    <xf numFmtId="0" fontId="6" fillId="48" borderId="21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/>
    </xf>
    <xf numFmtId="0" fontId="6" fillId="18" borderId="4" xfId="0" applyFont="1" applyFill="1" applyBorder="1" applyAlignment="1">
      <alignment horizontal="center" vertical="center"/>
    </xf>
    <xf numFmtId="0" fontId="13" fillId="5" borderId="21" xfId="0" applyFont="1" applyFill="1" applyBorder="1" applyAlignment="1">
      <alignment horizontal="center" vertical="center"/>
    </xf>
    <xf numFmtId="0" fontId="6" fillId="18" borderId="2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14" fillId="39" borderId="1" xfId="0" applyFont="1" applyFill="1" applyBorder="1" applyAlignment="1">
      <alignment horizontal="center" vertical="center"/>
    </xf>
    <xf numFmtId="0" fontId="0" fillId="19" borderId="5" xfId="0" applyFill="1" applyBorder="1" applyAlignment="1">
      <alignment horizontal="center"/>
    </xf>
    <xf numFmtId="0" fontId="6" fillId="49" borderId="1" xfId="0" applyFont="1" applyFill="1" applyBorder="1" applyAlignment="1">
      <alignment horizontal="center"/>
    </xf>
    <xf numFmtId="0" fontId="21" fillId="0" borderId="2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43" xfId="0" applyFont="1" applyBorder="1" applyAlignment="1">
      <alignment vertical="center"/>
    </xf>
    <xf numFmtId="0" fontId="6" fillId="0" borderId="44" xfId="0" applyFont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6" fillId="0" borderId="41" xfId="0" applyFont="1" applyBorder="1" applyAlignment="1">
      <alignment vertical="center"/>
    </xf>
    <xf numFmtId="0" fontId="21" fillId="0" borderId="1" xfId="0" applyFont="1" applyBorder="1"/>
    <xf numFmtId="0" fontId="6" fillId="0" borderId="61" xfId="0" applyFont="1" applyBorder="1" applyAlignment="1">
      <alignment vertical="center"/>
    </xf>
    <xf numFmtId="0" fontId="28" fillId="0" borderId="19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3" borderId="9" xfId="0" applyFont="1" applyFill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2" fillId="3" borderId="48" xfId="0" applyFont="1" applyFill="1" applyBorder="1" applyAlignment="1">
      <alignment horizontal="center" vertical="center"/>
    </xf>
    <xf numFmtId="0" fontId="6" fillId="0" borderId="38" xfId="0" applyFont="1" applyBorder="1" applyAlignment="1">
      <alignment horizontal="left" vertical="center"/>
    </xf>
    <xf numFmtId="0" fontId="6" fillId="0" borderId="61" xfId="0" applyFont="1" applyBorder="1" applyAlignment="1">
      <alignment horizontal="center" vertical="center"/>
    </xf>
    <xf numFmtId="0" fontId="2" fillId="18" borderId="32" xfId="0" applyFont="1" applyFill="1" applyBorder="1" applyAlignment="1">
      <alignment vertical="center"/>
    </xf>
    <xf numFmtId="0" fontId="2" fillId="18" borderId="33" xfId="0" applyFont="1" applyFill="1" applyBorder="1" applyAlignment="1">
      <alignment vertical="center"/>
    </xf>
    <xf numFmtId="0" fontId="6" fillId="0" borderId="46" xfId="0" applyFont="1" applyBorder="1" applyAlignment="1">
      <alignment horizontal="center" vertical="center"/>
    </xf>
    <xf numFmtId="14" fontId="0" fillId="9" borderId="24" xfId="0" applyNumberFormat="1" applyFill="1" applyBorder="1" applyAlignment="1">
      <alignment horizontal="center" vertical="center"/>
    </xf>
    <xf numFmtId="14" fontId="0" fillId="9" borderId="30" xfId="0" applyNumberFormat="1" applyFill="1" applyBorder="1" applyAlignment="1">
      <alignment horizontal="center" vertical="center"/>
    </xf>
    <xf numFmtId="14" fontId="0" fillId="9" borderId="21" xfId="0" applyNumberFormat="1" applyFill="1" applyBorder="1" applyAlignment="1">
      <alignment horizontal="center" vertical="center"/>
    </xf>
    <xf numFmtId="14" fontId="0" fillId="9" borderId="60" xfId="0" applyNumberFormat="1" applyFill="1" applyBorder="1" applyAlignment="1">
      <alignment horizontal="center" vertical="center"/>
    </xf>
    <xf numFmtId="1" fontId="0" fillId="9" borderId="43" xfId="2" applyNumberFormat="1" applyFont="1" applyFill="1" applyBorder="1" applyAlignment="1">
      <alignment horizontal="center" vertical="center"/>
    </xf>
    <xf numFmtId="1" fontId="0" fillId="9" borderId="36" xfId="2" applyNumberFormat="1" applyFont="1" applyFill="1" applyBorder="1" applyAlignment="1">
      <alignment horizontal="center" vertical="center"/>
    </xf>
    <xf numFmtId="1" fontId="0" fillId="9" borderId="37" xfId="2" applyNumberFormat="1" applyFont="1" applyFill="1" applyBorder="1" applyAlignment="1">
      <alignment horizontal="center" vertical="center"/>
    </xf>
    <xf numFmtId="1" fontId="0" fillId="9" borderId="64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0" fontId="2" fillId="18" borderId="68" xfId="0" applyFont="1" applyFill="1" applyBorder="1" applyAlignment="1">
      <alignment vertical="center"/>
    </xf>
    <xf numFmtId="0" fontId="2" fillId="18" borderId="45" xfId="0" applyFont="1" applyFill="1" applyBorder="1" applyAlignment="1">
      <alignment vertical="center"/>
    </xf>
    <xf numFmtId="0" fontId="2" fillId="18" borderId="46" xfId="0" applyFont="1" applyFill="1" applyBorder="1" applyAlignment="1">
      <alignment vertical="center"/>
    </xf>
    <xf numFmtId="1" fontId="1" fillId="9" borderId="64" xfId="2" applyNumberFormat="1" applyFont="1" applyFill="1" applyBorder="1" applyAlignment="1">
      <alignment horizontal="center" vertical="center"/>
    </xf>
    <xf numFmtId="1" fontId="1" fillId="9" borderId="36" xfId="2" applyNumberFormat="1" applyFont="1" applyFill="1" applyBorder="1" applyAlignment="1">
      <alignment horizontal="center" vertical="center"/>
    </xf>
    <xf numFmtId="1" fontId="1" fillId="9" borderId="37" xfId="2" applyNumberFormat="1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vertical="center"/>
    </xf>
    <xf numFmtId="0" fontId="19" fillId="0" borderId="19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4" fontId="6" fillId="17" borderId="2" xfId="0" applyNumberFormat="1" applyFont="1" applyFill="1" applyBorder="1" applyAlignment="1">
      <alignment horizontal="center" vertical="center"/>
    </xf>
    <xf numFmtId="14" fontId="6" fillId="17" borderId="4" xfId="0" applyNumberFormat="1" applyFont="1" applyFill="1" applyBorder="1" applyAlignment="1">
      <alignment horizontal="center" vertical="center"/>
    </xf>
    <xf numFmtId="14" fontId="6" fillId="16" borderId="2" xfId="0" applyNumberFormat="1" applyFont="1" applyFill="1" applyBorder="1" applyAlignment="1">
      <alignment horizontal="center" vertical="center"/>
    </xf>
    <xf numFmtId="14" fontId="6" fillId="16" borderId="4" xfId="0" applyNumberFormat="1" applyFont="1" applyFill="1" applyBorder="1" applyAlignment="1">
      <alignment horizontal="center" vertical="center"/>
    </xf>
    <xf numFmtId="0" fontId="2" fillId="18" borderId="69" xfId="0" applyFont="1" applyFill="1" applyBorder="1" applyAlignment="1">
      <alignment horizontal="center" vertical="center"/>
    </xf>
    <xf numFmtId="0" fontId="2" fillId="18" borderId="55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74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5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 wrapText="1"/>
    </xf>
    <xf numFmtId="0" fontId="2" fillId="3" borderId="5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57" xfId="0" applyFont="1" applyFill="1" applyBorder="1" applyAlignment="1">
      <alignment horizontal="center" vertical="center"/>
    </xf>
    <xf numFmtId="0" fontId="2" fillId="3" borderId="55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horizontal="center" vertical="center"/>
    </xf>
    <xf numFmtId="0" fontId="2" fillId="3" borderId="59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/>
    </xf>
    <xf numFmtId="0" fontId="6" fillId="0" borderId="38" xfId="0" applyFont="1" applyBorder="1" applyAlignment="1">
      <alignment horizontal="left" vertical="center"/>
    </xf>
    <xf numFmtId="0" fontId="0" fillId="0" borderId="5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right"/>
    </xf>
    <xf numFmtId="0" fontId="2" fillId="3" borderId="34" xfId="0" applyFont="1" applyFill="1" applyBorder="1" applyAlignment="1">
      <alignment horizontal="right"/>
    </xf>
    <xf numFmtId="0" fontId="2" fillId="3" borderId="27" xfId="0" applyFont="1" applyFill="1" applyBorder="1" applyAlignment="1">
      <alignment horizontal="right"/>
    </xf>
    <xf numFmtId="0" fontId="2" fillId="3" borderId="15" xfId="0" applyFont="1" applyFill="1" applyBorder="1" applyAlignment="1">
      <alignment horizontal="right"/>
    </xf>
    <xf numFmtId="0" fontId="2" fillId="18" borderId="2" xfId="0" applyFont="1" applyFill="1" applyBorder="1" applyAlignment="1">
      <alignment horizontal="center" vertical="center"/>
    </xf>
    <xf numFmtId="0" fontId="2" fillId="18" borderId="3" xfId="0" applyFont="1" applyFill="1" applyBorder="1" applyAlignment="1">
      <alignment horizontal="center" vertical="center"/>
    </xf>
    <xf numFmtId="0" fontId="2" fillId="18" borderId="4" xfId="0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horizontal="center"/>
    </xf>
    <xf numFmtId="0" fontId="2" fillId="18" borderId="32" xfId="0" applyFont="1" applyFill="1" applyBorder="1" applyAlignment="1">
      <alignment horizontal="center"/>
    </xf>
    <xf numFmtId="0" fontId="2" fillId="18" borderId="33" xfId="0" applyFont="1" applyFill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2" fillId="3" borderId="34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63" xfId="0" applyFont="1" applyFill="1" applyBorder="1" applyAlignment="1">
      <alignment horizontal="left"/>
    </xf>
    <xf numFmtId="0" fontId="2" fillId="3" borderId="47" xfId="0" applyFont="1" applyFill="1" applyBorder="1" applyAlignment="1">
      <alignment horizontal="left"/>
    </xf>
    <xf numFmtId="0" fontId="2" fillId="3" borderId="48" xfId="0" applyFont="1" applyFill="1" applyBorder="1" applyAlignment="1">
      <alignment horizontal="left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2" fillId="3" borderId="42" xfId="0" applyFont="1" applyFill="1" applyBorder="1" applyAlignment="1">
      <alignment horizontal="left"/>
    </xf>
    <xf numFmtId="0" fontId="2" fillId="3" borderId="43" xfId="0" applyFont="1" applyFill="1" applyBorder="1" applyAlignment="1">
      <alignment horizontal="left"/>
    </xf>
    <xf numFmtId="0" fontId="2" fillId="3" borderId="64" xfId="0" applyFont="1" applyFill="1" applyBorder="1" applyAlignment="1">
      <alignment horizontal="center" vertical="center"/>
    </xf>
    <xf numFmtId="0" fontId="2" fillId="3" borderId="65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3" borderId="76" xfId="0" applyFont="1" applyFill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2" fillId="3" borderId="76" xfId="0" applyFont="1" applyFill="1" applyBorder="1" applyAlignment="1">
      <alignment horizontal="center" vertical="center" wrapText="1"/>
    </xf>
    <xf numFmtId="0" fontId="2" fillId="3" borderId="62" xfId="0" applyFont="1" applyFill="1" applyBorder="1" applyAlignment="1">
      <alignment horizontal="center" vertical="center" wrapText="1"/>
    </xf>
    <xf numFmtId="0" fontId="2" fillId="3" borderId="74" xfId="0" applyFont="1" applyFill="1" applyBorder="1" applyAlignment="1">
      <alignment horizontal="center" vertical="center" wrapText="1"/>
    </xf>
    <xf numFmtId="0" fontId="2" fillId="3" borderId="52" xfId="0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55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18" borderId="9" xfId="0" applyFont="1" applyFill="1" applyBorder="1" applyAlignment="1">
      <alignment horizontal="center" vertical="center"/>
    </xf>
    <xf numFmtId="0" fontId="2" fillId="18" borderId="8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3" borderId="68" xfId="0" applyFont="1" applyFill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 wrapText="1"/>
    </xf>
    <xf numFmtId="0" fontId="2" fillId="3" borderId="78" xfId="0" applyFont="1" applyFill="1" applyBorder="1" applyAlignment="1">
      <alignment horizontal="center" vertical="center" wrapText="1"/>
    </xf>
    <xf numFmtId="0" fontId="2" fillId="3" borderId="79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18" borderId="38" xfId="0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horizontal="center" vertical="center"/>
    </xf>
    <xf numFmtId="0" fontId="2" fillId="18" borderId="3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22">
    <dxf>
      <font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auto="1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auto="1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auto="1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5E963D"/>
      <color rgb="FF33C06E"/>
      <color rgb="FF76B94B"/>
      <color rgb="FF00FB92"/>
      <color rgb="FFD5FC79"/>
      <color rgb="FF48712E"/>
      <color rgb="FF9437FF"/>
      <color rgb="FFFF40FF"/>
      <color rgb="FFB5092C"/>
      <color rgb="FF941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BE-E846-B1C2-E8FF435673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BE-E846-B1C2-E8FF435673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BE-E846-B1C2-E8FF435673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BE-E846-B1C2-E8FF435673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BE-E846-B1C2-E8FF435673D3}"/>
              </c:ext>
            </c:extLst>
          </c:dPt>
          <c:cat>
            <c:strRef>
              <c:f>'Q2-C1'!$J$53:$J$57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'Q2-C1'!$L$53:$L$57</c:f>
              <c:numCache>
                <c:formatCode>0%</c:formatCode>
                <c:ptCount val="5"/>
                <c:pt idx="0">
                  <c:v>0.26250000000000001</c:v>
                </c:pt>
                <c:pt idx="1">
                  <c:v>0.51249999999999996</c:v>
                </c:pt>
                <c:pt idx="2">
                  <c:v>4.1666666666666664E-2</c:v>
                </c:pt>
                <c:pt idx="3">
                  <c:v>5.4166666666666669E-2</c:v>
                </c:pt>
                <c:pt idx="4">
                  <c:v>0.12916666666666668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E-7341-AAC1-9EFA4C265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E3-9847-B8FC-FE97BD900A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E3-9847-B8FC-FE97BD900A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E3-9847-B8FC-FE97BD900A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E3-9847-B8FC-FE97BD900AB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E3-9847-B8FC-FE97BD900AB3}"/>
              </c:ext>
            </c:extLst>
          </c:dPt>
          <c:cat>
            <c:strRef>
              <c:f>'Q2-C2'!$J$53:$J$57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'Q2-C2'!$L$53:$L$57</c:f>
              <c:numCache>
                <c:formatCode>0%</c:formatCode>
                <c:ptCount val="5"/>
                <c:pt idx="0">
                  <c:v>0.21249999999999999</c:v>
                </c:pt>
                <c:pt idx="1">
                  <c:v>0.53749999999999998</c:v>
                </c:pt>
                <c:pt idx="2">
                  <c:v>0</c:v>
                </c:pt>
                <c:pt idx="3">
                  <c:v>0.125</c:v>
                </c:pt>
                <c:pt idx="4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9E3-9847-B8FC-FE97BD900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97-7E43-A427-DC07671D6A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97-7E43-A427-DC07671D6A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97-7E43-A427-DC07671D6A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97-7E43-A427-DC07671D6A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097-7E43-A427-DC07671D6A46}"/>
              </c:ext>
            </c:extLst>
          </c:dPt>
          <c:cat>
            <c:strRef>
              <c:f>'Q3-C1'!$J$53:$J$57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'Q3-C1'!$L$53:$L$57</c:f>
              <c:numCache>
                <c:formatCode>0%</c:formatCode>
                <c:ptCount val="5"/>
                <c:pt idx="0">
                  <c:v>0.22907125359463198</c:v>
                </c:pt>
                <c:pt idx="1">
                  <c:v>0.41452763872616893</c:v>
                </c:pt>
                <c:pt idx="2">
                  <c:v>0</c:v>
                </c:pt>
                <c:pt idx="3">
                  <c:v>0.27159441900095854</c:v>
                </c:pt>
                <c:pt idx="4">
                  <c:v>8.4806688678240483E-2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97-7E43-A427-DC07671D6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A6-A844-B6AD-040655731B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A6-A844-B6AD-040655731B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A6-A844-B6AD-040655731B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A6-A844-B6AD-040655731B5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A6-A844-B6AD-040655731B50}"/>
              </c:ext>
            </c:extLst>
          </c:dPt>
          <c:cat>
            <c:strRef>
              <c:f>'Q3-C2'!$K$51:$K$55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'Q3-C2'!$M$51:$M$55</c:f>
              <c:numCache>
                <c:formatCode>0%</c:formatCode>
                <c:ptCount val="5"/>
                <c:pt idx="0">
                  <c:v>0.19183673469387755</c:v>
                </c:pt>
                <c:pt idx="1">
                  <c:v>0.58775510204081627</c:v>
                </c:pt>
                <c:pt idx="2">
                  <c:v>0</c:v>
                </c:pt>
                <c:pt idx="3">
                  <c:v>0.10612244897959186</c:v>
                </c:pt>
                <c:pt idx="4">
                  <c:v>0.11428571428571428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A6-A844-B6AD-040655731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C5-1046-871C-3D4D6543B3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C5-1046-871C-3D4D6543B3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C5-1046-871C-3D4D6543B3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C5-1046-871C-3D4D6543B39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C5-1046-871C-3D4D6543B39C}"/>
              </c:ext>
            </c:extLst>
          </c:dPt>
          <c:cat>
            <c:strRef>
              <c:f>'Q4-C1'!$K$51:$K$55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'Q4-C1'!$M$51:$M$55</c:f>
              <c:numCache>
                <c:formatCode>0%</c:formatCode>
                <c:ptCount val="5"/>
                <c:pt idx="0">
                  <c:v>0.49047619047619051</c:v>
                </c:pt>
                <c:pt idx="1">
                  <c:v>0.34285714285714286</c:v>
                </c:pt>
                <c:pt idx="2">
                  <c:v>0</c:v>
                </c:pt>
                <c:pt idx="3">
                  <c:v>5.2380952380952389E-2</c:v>
                </c:pt>
                <c:pt idx="4">
                  <c:v>0.11428571428571428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C5-1046-871C-3D4D6543B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C-3544-BEC6-6AB00666A5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C-3544-BEC6-6AB00666A5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54C-3544-BEC6-6AB00666A5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54C-3544-BEC6-6AB00666A5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54C-3544-BEC6-6AB00666A554}"/>
              </c:ext>
            </c:extLst>
          </c:dPt>
          <c:cat>
            <c:strRef>
              <c:f>Template!$K$51:$K$55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Template!$M$51:$M$55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4C-3544-BEC6-6AB00666A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722923</xdr:colOff>
      <xdr:row>24</xdr:row>
      <xdr:rowOff>195384</xdr:rowOff>
    </xdr:from>
    <xdr:to>
      <xdr:col>31</xdr:col>
      <xdr:colOff>152400</xdr:colOff>
      <xdr:row>25</xdr:row>
      <xdr:rowOff>152399</xdr:rowOff>
    </xdr:to>
    <xdr:pic>
      <xdr:nvPicPr>
        <xdr:cNvPr id="5" name="Graphic 4" descr="Star with solid fill">
          <a:extLst>
            <a:ext uri="{FF2B5EF4-FFF2-40B4-BE49-F238E27FC236}">
              <a16:creationId xmlns:a16="http://schemas.microsoft.com/office/drawing/2014/main" id="{1D848A22-13AC-8669-F253-84552D6A7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53231" y="5539153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30</xdr:col>
      <xdr:colOff>740833</xdr:colOff>
      <xdr:row>26</xdr:row>
      <xdr:rowOff>179917</xdr:rowOff>
    </xdr:from>
    <xdr:to>
      <xdr:col>31</xdr:col>
      <xdr:colOff>162168</xdr:colOff>
      <xdr:row>27</xdr:row>
      <xdr:rowOff>141003</xdr:rowOff>
    </xdr:to>
    <xdr:pic>
      <xdr:nvPicPr>
        <xdr:cNvPr id="6" name="Graphic 5" descr="Star with solid fill">
          <a:extLst>
            <a:ext uri="{FF2B5EF4-FFF2-40B4-BE49-F238E27FC236}">
              <a16:creationId xmlns:a16="http://schemas.microsoft.com/office/drawing/2014/main" id="{AF80522C-2FF5-1D42-BFB3-EBB0B3958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42916" y="5418667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30</xdr:col>
      <xdr:colOff>739203</xdr:colOff>
      <xdr:row>25</xdr:row>
      <xdr:rowOff>194571</xdr:rowOff>
    </xdr:from>
    <xdr:to>
      <xdr:col>31</xdr:col>
      <xdr:colOff>160538</xdr:colOff>
      <xdr:row>26</xdr:row>
      <xdr:rowOff>151587</xdr:rowOff>
    </xdr:to>
    <xdr:pic>
      <xdr:nvPicPr>
        <xdr:cNvPr id="7" name="Graphic 6" descr="Star with solid fill">
          <a:extLst>
            <a:ext uri="{FF2B5EF4-FFF2-40B4-BE49-F238E27FC236}">
              <a16:creationId xmlns:a16="http://schemas.microsoft.com/office/drawing/2014/main" id="{EC05B99B-21F0-AD4E-95BE-0A567AE3A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41286" y="5232238"/>
          <a:ext cx="162169" cy="158098"/>
        </a:xfrm>
        <a:prstGeom prst="rect">
          <a:avLst/>
        </a:prstGeom>
      </xdr:spPr>
    </xdr:pic>
    <xdr:clientData/>
  </xdr:twoCellAnchor>
  <xdr:twoCellAnchor editAs="oneCell">
    <xdr:from>
      <xdr:col>39</xdr:col>
      <xdr:colOff>9769</xdr:colOff>
      <xdr:row>25</xdr:row>
      <xdr:rowOff>195384</xdr:rowOff>
    </xdr:from>
    <xdr:to>
      <xdr:col>39</xdr:col>
      <xdr:colOff>171938</xdr:colOff>
      <xdr:row>26</xdr:row>
      <xdr:rowOff>152400</xdr:rowOff>
    </xdr:to>
    <xdr:pic>
      <xdr:nvPicPr>
        <xdr:cNvPr id="8" name="Graphic 7" descr="Star with solid fill">
          <a:extLst>
            <a:ext uri="{FF2B5EF4-FFF2-40B4-BE49-F238E27FC236}">
              <a16:creationId xmlns:a16="http://schemas.microsoft.com/office/drawing/2014/main" id="{D1776D3F-B3A3-4945-A713-37BE79B13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56692" y="5744307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37</xdr:col>
      <xdr:colOff>830386</xdr:colOff>
      <xdr:row>27</xdr:row>
      <xdr:rowOff>9769</xdr:rowOff>
    </xdr:from>
    <xdr:to>
      <xdr:col>38</xdr:col>
      <xdr:colOff>152401</xdr:colOff>
      <xdr:row>27</xdr:row>
      <xdr:rowOff>171938</xdr:rowOff>
    </xdr:to>
    <xdr:pic>
      <xdr:nvPicPr>
        <xdr:cNvPr id="9" name="Graphic 8" descr="Star with solid fill">
          <a:extLst>
            <a:ext uri="{FF2B5EF4-FFF2-40B4-BE49-F238E27FC236}">
              <a16:creationId xmlns:a16="http://schemas.microsoft.com/office/drawing/2014/main" id="{8D68E021-370E-964A-BD8E-4D908096E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797001" y="5969000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9</xdr:col>
      <xdr:colOff>488462</xdr:colOff>
      <xdr:row>31</xdr:row>
      <xdr:rowOff>29308</xdr:rowOff>
    </xdr:from>
    <xdr:to>
      <xdr:col>9</xdr:col>
      <xdr:colOff>650631</xdr:colOff>
      <xdr:row>31</xdr:row>
      <xdr:rowOff>191477</xdr:rowOff>
    </xdr:to>
    <xdr:pic>
      <xdr:nvPicPr>
        <xdr:cNvPr id="11" name="Graphic 10" descr="Star with solid fill">
          <a:extLst>
            <a:ext uri="{FF2B5EF4-FFF2-40B4-BE49-F238E27FC236}">
              <a16:creationId xmlns:a16="http://schemas.microsoft.com/office/drawing/2014/main" id="{7D181A75-8F9A-4A42-8215-BC1C3944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32231" y="6809154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24</xdr:col>
      <xdr:colOff>722922</xdr:colOff>
      <xdr:row>23</xdr:row>
      <xdr:rowOff>205152</xdr:rowOff>
    </xdr:from>
    <xdr:to>
      <xdr:col>25</xdr:col>
      <xdr:colOff>152399</xdr:colOff>
      <xdr:row>24</xdr:row>
      <xdr:rowOff>162167</xdr:rowOff>
    </xdr:to>
    <xdr:pic>
      <xdr:nvPicPr>
        <xdr:cNvPr id="12" name="Graphic 11" descr="Star with solid fill">
          <a:extLst>
            <a:ext uri="{FF2B5EF4-FFF2-40B4-BE49-F238E27FC236}">
              <a16:creationId xmlns:a16="http://schemas.microsoft.com/office/drawing/2014/main" id="{9C36638F-FCCC-3648-ACE8-C4ECCF642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057076" y="4728306"/>
          <a:ext cx="162169" cy="162169"/>
        </a:xfrm>
        <a:prstGeom prst="rect">
          <a:avLst/>
        </a:prstGeom>
      </xdr:spPr>
    </xdr:pic>
    <xdr:clientData/>
  </xdr:twoCellAnchor>
  <xdr:oneCellAnchor>
    <xdr:from>
      <xdr:col>30</xdr:col>
      <xdr:colOff>722922</xdr:colOff>
      <xdr:row>23</xdr:row>
      <xdr:rowOff>205152</xdr:rowOff>
    </xdr:from>
    <xdr:ext cx="166077" cy="160215"/>
    <xdr:pic>
      <xdr:nvPicPr>
        <xdr:cNvPr id="13" name="Graphic 12" descr="Star with solid fill">
          <a:extLst>
            <a:ext uri="{FF2B5EF4-FFF2-40B4-BE49-F238E27FC236}">
              <a16:creationId xmlns:a16="http://schemas.microsoft.com/office/drawing/2014/main" id="{DAB6E91C-420C-6E47-B292-3BA61720C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39789" y="4895685"/>
          <a:ext cx="166077" cy="160215"/>
        </a:xfrm>
        <a:prstGeom prst="rect">
          <a:avLst/>
        </a:prstGeom>
      </xdr:spPr>
    </xdr:pic>
    <xdr:clientData/>
  </xdr:oneCellAnchor>
  <xdr:oneCellAnchor>
    <xdr:from>
      <xdr:col>30</xdr:col>
      <xdr:colOff>722923</xdr:colOff>
      <xdr:row>39</xdr:row>
      <xdr:rowOff>195384</xdr:rowOff>
    </xdr:from>
    <xdr:ext cx="170311" cy="158100"/>
    <xdr:pic>
      <xdr:nvPicPr>
        <xdr:cNvPr id="2" name="Graphic 1" descr="Star with solid fill">
          <a:extLst>
            <a:ext uri="{FF2B5EF4-FFF2-40B4-BE49-F238E27FC236}">
              <a16:creationId xmlns:a16="http://schemas.microsoft.com/office/drawing/2014/main" id="{C9FDB316-6A1B-C74B-B69F-A8CE49B69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25006" y="5031967"/>
          <a:ext cx="170311" cy="1581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42</xdr:row>
      <xdr:rowOff>0</xdr:rowOff>
    </xdr:from>
    <xdr:ext cx="162169" cy="162169"/>
    <xdr:pic>
      <xdr:nvPicPr>
        <xdr:cNvPr id="3" name="Graphic 2" descr="Star with solid fill">
          <a:extLst>
            <a:ext uri="{FF2B5EF4-FFF2-40B4-BE49-F238E27FC236}">
              <a16:creationId xmlns:a16="http://schemas.microsoft.com/office/drawing/2014/main" id="{D5CA5D79-25B3-FC4E-9C39-6F19A1C47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902083" y="5439833"/>
          <a:ext cx="162169" cy="162169"/>
        </a:xfrm>
        <a:prstGeom prst="rect">
          <a:avLst/>
        </a:prstGeom>
      </xdr:spPr>
    </xdr:pic>
    <xdr:clientData/>
  </xdr:oneCellAnchor>
  <xdr:oneCellAnchor>
    <xdr:from>
      <xdr:col>25</xdr:col>
      <xdr:colOff>19538</xdr:colOff>
      <xdr:row>40</xdr:row>
      <xdr:rowOff>205153</xdr:rowOff>
    </xdr:from>
    <xdr:ext cx="162169" cy="158098"/>
    <xdr:pic>
      <xdr:nvPicPr>
        <xdr:cNvPr id="4" name="Graphic 3" descr="Star with solid fill">
          <a:extLst>
            <a:ext uri="{FF2B5EF4-FFF2-40B4-BE49-F238E27FC236}">
              <a16:creationId xmlns:a16="http://schemas.microsoft.com/office/drawing/2014/main" id="{CA8C7968-F8F8-8B4F-8E78-2214D886E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17455" y="5242820"/>
          <a:ext cx="162169" cy="158098"/>
        </a:xfrm>
        <a:prstGeom prst="rect">
          <a:avLst/>
        </a:prstGeom>
      </xdr:spPr>
    </xdr:pic>
    <xdr:clientData/>
  </xdr:oneCellAnchor>
  <xdr:oneCellAnchor>
    <xdr:from>
      <xdr:col>39</xdr:col>
      <xdr:colOff>9769</xdr:colOff>
      <xdr:row>40</xdr:row>
      <xdr:rowOff>195384</xdr:rowOff>
    </xdr:from>
    <xdr:ext cx="162169" cy="158098"/>
    <xdr:pic>
      <xdr:nvPicPr>
        <xdr:cNvPr id="14" name="Graphic 13" descr="Star with solid fill">
          <a:extLst>
            <a:ext uri="{FF2B5EF4-FFF2-40B4-BE49-F238E27FC236}">
              <a16:creationId xmlns:a16="http://schemas.microsoft.com/office/drawing/2014/main" id="{50E0DB58-4A24-6944-9676-885ECEFEA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865102" y="5233051"/>
          <a:ext cx="162169" cy="158098"/>
        </a:xfrm>
        <a:prstGeom prst="rect">
          <a:avLst/>
        </a:prstGeom>
      </xdr:spPr>
    </xdr:pic>
    <xdr:clientData/>
  </xdr:oneCellAnchor>
  <xdr:oneCellAnchor>
    <xdr:from>
      <xdr:col>37</xdr:col>
      <xdr:colOff>830386</xdr:colOff>
      <xdr:row>42</xdr:row>
      <xdr:rowOff>9769</xdr:rowOff>
    </xdr:from>
    <xdr:ext cx="158098" cy="162169"/>
    <xdr:pic>
      <xdr:nvPicPr>
        <xdr:cNvPr id="15" name="Graphic 14" descr="Star with solid fill">
          <a:extLst>
            <a:ext uri="{FF2B5EF4-FFF2-40B4-BE49-F238E27FC236}">
              <a16:creationId xmlns:a16="http://schemas.microsoft.com/office/drawing/2014/main" id="{BB7375EA-C18C-CC4E-8EF4-89003822F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013553" y="5449602"/>
          <a:ext cx="158098" cy="162169"/>
        </a:xfrm>
        <a:prstGeom prst="rect">
          <a:avLst/>
        </a:prstGeom>
      </xdr:spPr>
    </xdr:pic>
    <xdr:clientData/>
  </xdr:oneCellAnchor>
  <xdr:oneCellAnchor>
    <xdr:from>
      <xdr:col>20</xdr:col>
      <xdr:colOff>728785</xdr:colOff>
      <xdr:row>42</xdr:row>
      <xdr:rowOff>191477</xdr:rowOff>
    </xdr:from>
    <xdr:ext cx="170310" cy="158099"/>
    <xdr:pic>
      <xdr:nvPicPr>
        <xdr:cNvPr id="16" name="Graphic 15" descr="Star with solid fill">
          <a:extLst>
            <a:ext uri="{FF2B5EF4-FFF2-40B4-BE49-F238E27FC236}">
              <a16:creationId xmlns:a16="http://schemas.microsoft.com/office/drawing/2014/main" id="{3BE98629-1F9A-2142-BA7F-BC0E8555D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22535" y="5631310"/>
          <a:ext cx="170310" cy="158099"/>
        </a:xfrm>
        <a:prstGeom prst="rect">
          <a:avLst/>
        </a:prstGeom>
      </xdr:spPr>
    </xdr:pic>
    <xdr:clientData/>
  </xdr:oneCellAnchor>
  <xdr:oneCellAnchor>
    <xdr:from>
      <xdr:col>9</xdr:col>
      <xdr:colOff>488462</xdr:colOff>
      <xdr:row>46</xdr:row>
      <xdr:rowOff>29308</xdr:rowOff>
    </xdr:from>
    <xdr:ext cx="162169" cy="162169"/>
    <xdr:pic>
      <xdr:nvPicPr>
        <xdr:cNvPr id="17" name="Graphic 16" descr="Star with solid fill">
          <a:extLst>
            <a:ext uri="{FF2B5EF4-FFF2-40B4-BE49-F238E27FC236}">
              <a16:creationId xmlns:a16="http://schemas.microsoft.com/office/drawing/2014/main" id="{3D7D7B9B-54CB-3042-B6C2-73849BA5C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33045" y="6273475"/>
          <a:ext cx="162169" cy="162169"/>
        </a:xfrm>
        <a:prstGeom prst="rect">
          <a:avLst/>
        </a:prstGeom>
      </xdr:spPr>
    </xdr:pic>
    <xdr:clientData/>
  </xdr:oneCellAnchor>
  <xdr:oneCellAnchor>
    <xdr:from>
      <xdr:col>24</xdr:col>
      <xdr:colOff>722922</xdr:colOff>
      <xdr:row>38</xdr:row>
      <xdr:rowOff>205152</xdr:rowOff>
    </xdr:from>
    <xdr:ext cx="170311" cy="158098"/>
    <xdr:pic>
      <xdr:nvPicPr>
        <xdr:cNvPr id="18" name="Graphic 17" descr="Star with solid fill">
          <a:extLst>
            <a:ext uri="{FF2B5EF4-FFF2-40B4-BE49-F238E27FC236}">
              <a16:creationId xmlns:a16="http://schemas.microsoft.com/office/drawing/2014/main" id="{14F94255-EC3A-0F49-BB8E-7280F393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80005" y="4840652"/>
          <a:ext cx="170311" cy="158098"/>
        </a:xfrm>
        <a:prstGeom prst="rect">
          <a:avLst/>
        </a:prstGeom>
      </xdr:spPr>
    </xdr:pic>
    <xdr:clientData/>
  </xdr:oneCellAnchor>
  <xdr:oneCellAnchor>
    <xdr:from>
      <xdr:col>30</xdr:col>
      <xdr:colOff>722922</xdr:colOff>
      <xdr:row>38</xdr:row>
      <xdr:rowOff>205152</xdr:rowOff>
    </xdr:from>
    <xdr:ext cx="166077" cy="160215"/>
    <xdr:pic>
      <xdr:nvPicPr>
        <xdr:cNvPr id="19" name="Graphic 18" descr="Star with solid fill">
          <a:extLst>
            <a:ext uri="{FF2B5EF4-FFF2-40B4-BE49-F238E27FC236}">
              <a16:creationId xmlns:a16="http://schemas.microsoft.com/office/drawing/2014/main" id="{D3C0758F-C11F-E541-814A-4C3868EDC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25005" y="4840652"/>
          <a:ext cx="166077" cy="160215"/>
        </a:xfrm>
        <a:prstGeom prst="rect">
          <a:avLst/>
        </a:prstGeom>
      </xdr:spPr>
    </xdr:pic>
    <xdr:clientData/>
  </xdr:oneCellAnchor>
  <xdr:oneCellAnchor>
    <xdr:from>
      <xdr:col>24</xdr:col>
      <xdr:colOff>728785</xdr:colOff>
      <xdr:row>27</xdr:row>
      <xdr:rowOff>191477</xdr:rowOff>
    </xdr:from>
    <xdr:ext cx="170310" cy="158099"/>
    <xdr:pic>
      <xdr:nvPicPr>
        <xdr:cNvPr id="21" name="Graphic 20" descr="Star with solid fill">
          <a:extLst>
            <a:ext uri="{FF2B5EF4-FFF2-40B4-BE49-F238E27FC236}">
              <a16:creationId xmlns:a16="http://schemas.microsoft.com/office/drawing/2014/main" id="{042846E9-C59A-4A47-A070-DF6D49D2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963368" y="5631310"/>
          <a:ext cx="170310" cy="158099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26</xdr:row>
      <xdr:rowOff>0</xdr:rowOff>
    </xdr:from>
    <xdr:to>
      <xdr:col>26</xdr:col>
      <xdr:colOff>162169</xdr:colOff>
      <xdr:row>26</xdr:row>
      <xdr:rowOff>158098</xdr:rowOff>
    </xdr:to>
    <xdr:pic>
      <xdr:nvPicPr>
        <xdr:cNvPr id="22" name="Graphic 21" descr="Star with solid fill">
          <a:extLst>
            <a:ext uri="{FF2B5EF4-FFF2-40B4-BE49-F238E27FC236}">
              <a16:creationId xmlns:a16="http://schemas.microsoft.com/office/drawing/2014/main" id="{CACB9DBC-3127-DA4C-97AA-530590BDE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8750" y="5238750"/>
          <a:ext cx="162169" cy="1580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78621</xdr:colOff>
      <xdr:row>51</xdr:row>
      <xdr:rowOff>205620</xdr:rowOff>
    </xdr:from>
    <xdr:to>
      <xdr:col>18</xdr:col>
      <xdr:colOff>701526</xdr:colOff>
      <xdr:row>70</xdr:row>
      <xdr:rowOff>157238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BD1BBC-E8DD-1F47-5A11-FA70BE89CF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78621</xdr:colOff>
      <xdr:row>51</xdr:row>
      <xdr:rowOff>205620</xdr:rowOff>
    </xdr:from>
    <xdr:to>
      <xdr:col>18</xdr:col>
      <xdr:colOff>701526</xdr:colOff>
      <xdr:row>70</xdr:row>
      <xdr:rowOff>157238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8723C6-5C78-7842-B96A-527A50511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110371</xdr:colOff>
      <xdr:row>51</xdr:row>
      <xdr:rowOff>184454</xdr:rowOff>
    </xdr:from>
    <xdr:to>
      <xdr:col>22</xdr:col>
      <xdr:colOff>733276</xdr:colOff>
      <xdr:row>70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3F4DA6-A325-E442-8357-222D56E3F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4538</xdr:colOff>
      <xdr:row>49</xdr:row>
      <xdr:rowOff>184453</xdr:rowOff>
    </xdr:from>
    <xdr:to>
      <xdr:col>23</xdr:col>
      <xdr:colOff>627443</xdr:colOff>
      <xdr:row>68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768170-598A-8145-B4EA-BBEA3ABAE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4538</xdr:colOff>
      <xdr:row>49</xdr:row>
      <xdr:rowOff>184453</xdr:rowOff>
    </xdr:from>
    <xdr:to>
      <xdr:col>23</xdr:col>
      <xdr:colOff>627443</xdr:colOff>
      <xdr:row>68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0BCCC0-CE5B-0244-88AD-4480C92A0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4538</xdr:colOff>
      <xdr:row>49</xdr:row>
      <xdr:rowOff>184453</xdr:rowOff>
    </xdr:from>
    <xdr:to>
      <xdr:col>23</xdr:col>
      <xdr:colOff>627443</xdr:colOff>
      <xdr:row>68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2DA74F-7920-1847-BB11-3B0373B7A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endonça Vitor BRBH" id="{973D45E4-8611-5B43-9391-B2D2CD7A58EB}" userId="S::Vitor.Mendonca@syngenta.com::d2b42daa-6f88-489c-9f23-6d14e8c464b7" providerId="AD"/>
  <person displayName="Mendonça Vitor BRBH" id="{2EA81350-B116-1042-AB79-5146AA17E808}" userId="S::vitor.mendonca@syngenta.com::d2b42daa-6f88-489c-9f23-6d14e8c464b7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592B6708-D794-9C46-A700-A3A6FBD3B810}">
    <text>Is the engineer a FTE (D) or Internship (I)?</text>
  </threadedComment>
  <threadedComment ref="C3" dT="2023-01-31T18:10:27.37" personId="{2EA81350-B116-1042-AB79-5146AA17E808}" id="{B134C970-1C7D-AA4A-B0A7-05E452168F8B}">
    <text>Will the engineer be part of discovery tasks/meetings? 
Y (yes) or N (no)</text>
  </threadedComment>
  <threadedComment ref="F3" dT="2023-01-31T18:09:40.12" personId="{2EA81350-B116-1042-AB79-5146AA17E808}" id="{E16126B9-7B59-8148-9122-20B92A18EC6B}">
    <text>Number of holidays in the cycle</text>
  </threadedComment>
  <threadedComment ref="B11" dT="2023-01-31T18:12:32.67" personId="{2EA81350-B116-1042-AB79-5146AA17E808}" id="{44F0888D-ABC1-DB40-BBC4-E9D27A2C2A43}">
    <text>Number of weeks on the cycle</text>
  </threadedComment>
  <threadedComment ref="B12" dT="2023-01-31T18:13:55.46" personId="{2EA81350-B116-1042-AB79-5146AA17E808}" id="{B6AB3F6F-C9AF-5C44-8C42-A24C07CFF0E7}">
    <text>how effective is the engineer during a working day?</text>
  </threadedComment>
  <threadedComment ref="B29" dT="2022-09-20T00:19:40.98" personId="{2EA81350-B116-1042-AB79-5146AA17E808}" id="{7F615707-978F-5C47-A4DF-62A8C571C350}">
    <text>- Diárias
- Planning
- Demo
- Retro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BFE271ED-0E1B-1C4B-969F-0243266D6BAC}">
    <text>Is the engineer a FTE (D) or Internship (I)?</text>
  </threadedComment>
  <threadedComment ref="C3" dT="2023-01-31T18:10:27.37" personId="{2EA81350-B116-1042-AB79-5146AA17E808}" id="{524DDDBC-1583-3541-AD3F-0B188F440142}">
    <text>Will the engineer be part of discovery tasks/meetings? 
Y (yes) or N (no)</text>
  </threadedComment>
  <threadedComment ref="AN4" dT="2024-04-30T13:46:38.94" personId="{973D45E4-8611-5B43-9391-B2D2CD7A58EB}" id="{28DA77D6-81D1-BD44-B16D-CA6F32610160}">
    <text>Absolute Percentage Error</text>
  </threadedComment>
  <threadedComment ref="B13" dT="2023-01-31T18:12:32.67" personId="{2EA81350-B116-1042-AB79-5146AA17E808}" id="{49AE6594-B674-3548-88E1-A480177444C7}">
    <text>Number of weeks on the cycle</text>
  </threadedComment>
  <threadedComment ref="B14" dT="2023-01-31T18:13:55.46" personId="{2EA81350-B116-1042-AB79-5146AA17E808}" id="{72330E16-12B1-1441-B5DF-5341BD1C8E8C}">
    <text>how effective is the engineer during a working day?</text>
  </threadedComment>
  <threadedComment ref="AM26" dT="2024-04-30T13:48:05.19" personId="{973D45E4-8611-5B43-9391-B2D2CD7A58EB}" id="{419ADE27-0153-6A40-9DEA-4787758F2166}">
    <text>Mean Absolute Percentage Error</text>
  </threadedComment>
  <threadedComment ref="B30" dT="2022-09-20T00:19:40.98" personId="{2EA81350-B116-1042-AB79-5146AA17E808}" id="{06EDB49E-9288-CF44-9B63-EE9D204C9B20}">
    <text>- Diárias
- Planning
- Demo
- Retro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E44DE6CD-65B1-7040-A372-21E023F32D11}">
    <text>Is the engineer a FTE (D) or Internship (I)?</text>
  </threadedComment>
  <threadedComment ref="C3" dT="2023-01-31T18:10:27.37" personId="{2EA81350-B116-1042-AB79-5146AA17E808}" id="{6A377055-98CE-A840-AEC0-B4E9479BFD7D}">
    <text>Will the engineer be part of discovery tasks/meetings? 
Y (yes) or N (no)</text>
  </threadedComment>
  <threadedComment ref="AN4" dT="2024-04-30T13:46:38.94" personId="{973D45E4-8611-5B43-9391-B2D2CD7A58EB}" id="{A46AAE5C-989F-DA4B-BA87-F1C38E71FD80}">
    <text>Absolute Percentage Error</text>
  </threadedComment>
  <threadedComment ref="B14" dT="2023-01-31T18:12:32.67" personId="{2EA81350-B116-1042-AB79-5146AA17E808}" id="{CD27513B-1361-9B4C-A663-1CEEE2DBBE64}">
    <text>Number of weeks on the cycle</text>
  </threadedComment>
  <threadedComment ref="B15" dT="2023-01-31T18:13:55.46" personId="{2EA81350-B116-1042-AB79-5146AA17E808}" id="{BEFC715B-F5D9-0E4A-AFBE-2C52BB53B170}">
    <text>how effective is the engineer during a working day?</text>
  </threadedComment>
  <threadedComment ref="AM26" dT="2024-04-30T13:48:05.19" personId="{973D45E4-8611-5B43-9391-B2D2CD7A58EB}" id="{6A4043E1-BB0D-7A47-87B3-48734E4370C5}">
    <text>Mean Absolute Percentage Error</text>
  </threadedComment>
  <threadedComment ref="B33" dT="2022-09-20T00:19:40.98" personId="{2EA81350-B116-1042-AB79-5146AA17E808}" id="{1F9EF5C3-A3BC-4E4D-97EE-9688B1CD9744}">
    <text>- Diárias (15 min/day/dev)
- Planning (60 min/week/dev)
- Retro (60 min/cycle/dev)</text>
  </threadedComment>
  <threadedComment ref="B34" dT="2024-04-01T17:12:58.68" personId="{973D45E4-8611-5B43-9391-B2D2CD7A58EB}" id="{AFEB080B-7B9B-E242-A497-EC4411330BA6}">
    <text>Cooldown: 
1. Fields &amp; Cheers (1 hour/biweekly/dev)
2. Growth Friday’s (2 hour/week/dev)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8B8F1EA0-9611-B24F-9508-B04BC3204FFE}">
    <text>Is the engineer a FTE (D) or Internship (I)?</text>
  </threadedComment>
  <threadedComment ref="C3" dT="2023-01-31T18:10:27.37" personId="{2EA81350-B116-1042-AB79-5146AA17E808}" id="{12E03AEA-5A67-504B-86DE-58F5A4E911F8}">
    <text>Will the engineer be part of discovery tasks/meetings? 
Y (yes) or N (no)</text>
  </threadedComment>
  <threadedComment ref="AN4" dT="2024-04-30T13:46:38.94" personId="{973D45E4-8611-5B43-9391-B2D2CD7A58EB}" id="{CA608989-979D-9F45-85D4-E76C99BB65A2}">
    <text>Absolute Percentage Error</text>
  </threadedComment>
  <threadedComment ref="B14" dT="2023-01-31T18:12:32.67" personId="{2EA81350-B116-1042-AB79-5146AA17E808}" id="{C8DD63E1-629F-CC4E-A327-7E5011A90DBD}">
    <text>Number of weeks on the cycle</text>
  </threadedComment>
  <threadedComment ref="B15" dT="2023-01-31T18:13:55.46" personId="{2EA81350-B116-1042-AB79-5146AA17E808}" id="{C659D028-D168-E640-BA29-B984508E01B1}">
    <text>how effective is the engineer during a working day?</text>
  </threadedComment>
  <threadedComment ref="AM26" dT="2024-04-30T13:48:05.19" personId="{973D45E4-8611-5B43-9391-B2D2CD7A58EB}" id="{A90F86BF-7907-AC40-8B94-EAC566976C28}">
    <text>Mean Absolute Percentage Error</text>
  </threadedComment>
  <threadedComment ref="B33" dT="2022-09-20T00:19:40.98" personId="{2EA81350-B116-1042-AB79-5146AA17E808}" id="{B01B31DD-0C69-1942-BFF4-8ACEFE82CB52}">
    <text>- Diárias (15 min/day/dev)
- Planning (60 min/week/dev)
- Retro (60 min/cycle/dev)</text>
  </threadedComment>
  <threadedComment ref="B34" dT="2024-04-01T17:12:58.68" personId="{973D45E4-8611-5B43-9391-B2D2CD7A58EB}" id="{FCC4C65C-373A-5B4A-86E9-FD02024CD3A2}">
    <text>Cooldown: 
1. Fields &amp; Cheers (1 hour/biweekly/dev)
2. Growth Friday’s (2 hour/week/dev)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2AC2B876-C36D-A34E-9C8F-6112851ADE4D}">
    <text>Is the engineer a FTE (D) or Internship (I)?</text>
  </threadedComment>
  <threadedComment ref="C3" dT="2023-01-31T18:10:27.37" personId="{2EA81350-B116-1042-AB79-5146AA17E808}" id="{92073362-5B41-AE45-9201-A8D20729F8E3}">
    <text>Will the engineer be part of discovery tasks/meetings? 
Y (yes) or N (no)</text>
  </threadedComment>
  <threadedComment ref="AN4" dT="2024-04-30T13:46:38.94" personId="{973D45E4-8611-5B43-9391-B2D2CD7A58EB}" id="{4F679C00-8504-8940-BA67-DB9573ED5EEB}">
    <text>Absolute Percentage Error</text>
  </threadedComment>
  <threadedComment ref="B14" dT="2023-01-31T18:12:32.67" personId="{2EA81350-B116-1042-AB79-5146AA17E808}" id="{B323EA98-AF8A-FF4C-B4EC-379E375BE6E3}">
    <text>Number of weeks on the cycle</text>
  </threadedComment>
  <threadedComment ref="B15" dT="2023-01-31T18:13:55.46" personId="{2EA81350-B116-1042-AB79-5146AA17E808}" id="{CCB7081C-4502-6A46-9D64-4D18FEC231F7}">
    <text>how effective is the engineer during a working day?</text>
  </threadedComment>
  <threadedComment ref="AM26" dT="2024-04-30T13:48:05.19" personId="{973D45E4-8611-5B43-9391-B2D2CD7A58EB}" id="{0F6B16E8-E7D0-DF40-A350-6C121EDD0526}">
    <text>Mean Absolute Percentage Error</text>
  </threadedComment>
  <threadedComment ref="B33" dT="2022-09-20T00:19:40.98" personId="{2EA81350-B116-1042-AB79-5146AA17E808}" id="{851A3727-EC74-AB4E-BF82-F304C0A7B63D}">
    <text>- Diárias (15 min/day/dev)
- Planning (60 min/week/dev)
- Retro (60 min/cycle/dev)</text>
  </threadedComment>
  <threadedComment ref="B34" dT="2024-04-01T17:12:58.68" personId="{973D45E4-8611-5B43-9391-B2D2CD7A58EB}" id="{BB6B5D0C-3DE7-6940-8E03-81397D3F71BB}">
    <text>Cooldown: 
1. Fields &amp; Cheers (1 hour/biweekly/dev)
2. Growth Friday’s (2 hour/week/dev)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D0902783-7A4C-7D49-8247-F3EE619BBD04}">
    <text>Is the engineer a FTE (D) or Internship (I)?</text>
  </threadedComment>
  <threadedComment ref="C3" dT="2023-01-31T18:10:27.37" personId="{2EA81350-B116-1042-AB79-5146AA17E808}" id="{CD4A0211-B607-2A49-8B57-97B67ED5D545}">
    <text>Will the engineer be part of discovery tasks/meetings? 
Y (yes) or N (no)</text>
  </threadedComment>
  <threadedComment ref="B14" dT="2023-01-31T18:12:32.67" personId="{2EA81350-B116-1042-AB79-5146AA17E808}" id="{B28D94DE-08DF-1342-BF47-48C64F610769}">
    <text>Number of weeks on the cycle</text>
  </threadedComment>
  <threadedComment ref="B15" dT="2023-01-31T18:13:55.46" personId="{2EA81350-B116-1042-AB79-5146AA17E808}" id="{F0FE6BBE-F2F0-8444-8982-38176B79D97A}">
    <text>how effective is the engineer during a working day?</text>
  </threadedComment>
  <threadedComment ref="B34" dT="2022-09-20T00:19:40.98" personId="{2EA81350-B116-1042-AB79-5146AA17E808}" id="{8A4E6FA8-F8A8-B549-9ED3-DAEF89F700AF}">
    <text>- Diárias (15 min/day/dev)
- Planning (60 min/week/dev)
- Retro (60 min/cycle/dev)</text>
  </threadedComment>
  <threadedComment ref="B35" dT="2024-04-01T17:12:58.68" personId="{973D45E4-8611-5B43-9391-B2D2CD7A58EB}" id="{EA146A20-7350-E24D-8285-5B5D7DF0F0E0}">
    <text>Cooldown: 
1. Fields &amp; Cheers (1 hour/biweekly/dev)
2. Growth Friday’s (2 hour/week/dev)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14D4CB0F-694E-BC48-8693-A170204252EF}">
    <text>Is the engineer a FTE (D) or Internship (I)?</text>
  </threadedComment>
  <threadedComment ref="C3" dT="2023-01-31T18:10:27.37" personId="{2EA81350-B116-1042-AB79-5146AA17E808}" id="{6FB70C58-17A6-0B47-A8E5-DEDFAC296725}">
    <text>Will the engineer be part of discovery tasks/meetings? 
Y (yes) or N (no)</text>
  </threadedComment>
  <threadedComment ref="B14" dT="2023-01-31T18:12:32.67" personId="{2EA81350-B116-1042-AB79-5146AA17E808}" id="{9F414BD8-9C91-8644-B251-D10BD171A10B}">
    <text>Number of weeks on the cycle</text>
  </threadedComment>
  <threadedComment ref="B15" dT="2023-01-31T18:13:55.46" personId="{2EA81350-B116-1042-AB79-5146AA17E808}" id="{A30CCED3-5481-E749-84D8-F80AA5A62138}">
    <text>how effective is the engineer during a working day?</text>
  </threadedComment>
  <threadedComment ref="B34" dT="2022-09-20T00:19:40.98" personId="{2EA81350-B116-1042-AB79-5146AA17E808}" id="{8A41205F-3F0B-0245-8D63-E381A1AFD895}">
    <text>- Diárias (15 min/day/dev)
- Planning (60 min/cycle/dev)
- Retro (60 min/cycle/dev)</text>
  </threadedComment>
  <threadedComment ref="B35" dT="2024-04-01T17:12:58.68" personId="{973D45E4-8611-5B43-9391-B2D2CD7A58EB}" id="{126FC2F7-FB6B-D345-96C9-15AD7CE7E960}">
    <text>Cooldown: 
1. Fields &amp; Cheers (1 hour/dev x 2)
2. Growth Friday’s (2 hour/week/dev - last week)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99BCB4AD-0435-904E-A31A-72B193CB29D6}">
    <text>Is the engineer a FTE (D) or Internship (I)?</text>
  </threadedComment>
  <threadedComment ref="C3" dT="2023-01-31T18:10:27.37" personId="{2EA81350-B116-1042-AB79-5146AA17E808}" id="{75D72176-667A-9C47-AC48-4B4753072ADC}">
    <text>Will the engineer be part of discovery tasks/meetings? 
Y (yes) or N (no)</text>
  </threadedComment>
  <threadedComment ref="B14" dT="2023-01-31T18:12:32.67" personId="{2EA81350-B116-1042-AB79-5146AA17E808}" id="{94943F4D-066A-C346-9CA5-0640A5A8D289}">
    <text>Number of weeks on the cycle</text>
  </threadedComment>
  <threadedComment ref="B15" dT="2023-01-31T18:13:55.46" personId="{2EA81350-B116-1042-AB79-5146AA17E808}" id="{9E194BC8-95F2-7C43-9293-A896CBE5413E}">
    <text>how effective is the engineer during a working day?</text>
  </threadedComment>
  <threadedComment ref="B34" dT="2022-09-20T00:19:40.98" personId="{2EA81350-B116-1042-AB79-5146AA17E808}" id="{9288B34B-DD86-F74A-B2A9-A84C4EDAA27F}">
    <text>- Diárias (15 min/day/dev)
- Planning (60 min/week/dev)
- Retro (60 min/cycle/dev)</text>
  </threadedComment>
  <threadedComment ref="B35" dT="2024-04-01T17:12:58.68" personId="{973D45E4-8611-5B43-9391-B2D2CD7A58EB}" id="{03F336E7-13F4-4049-A143-D120F6498D40}">
    <text>Cooldown: 
1. Fields &amp; Cheers (1 hour/biweekly/dev)
2. Growth Friday’s (2 hour/week/dev)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2B7799-6DC9-F247-BAA6-74A97271432B}">
  <we:reference id="wa200000556" version="1.1.0.0" store="en-SG" storeType="OMEX"/>
  <we:alternateReferences>
    <we:reference id="wa200000556" version="1.1.0.0" store="en-SG" storeType="OMEX"/>
  </we:alternateReferences>
  <we:properties>
    <we:property name="Office.AutoShowTaskpaneWithDocument" value="true"/>
    <we:property name="documentId" value="&quot;32a64999-b5af-4207-8ef0-e84f70972e45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hyperlink" Target="https://digitial-product-engineering.atlassian.net/browse/CWS-9279" TargetMode="External"/><Relationship Id="rId7" Type="http://schemas.openxmlformats.org/officeDocument/2006/relationships/comments" Target="../comments2.xml"/><Relationship Id="rId2" Type="http://schemas.openxmlformats.org/officeDocument/2006/relationships/hyperlink" Target="https://digitial-product-engineering.atlassian.net/browse/CWS-6526" TargetMode="External"/><Relationship Id="rId1" Type="http://schemas.openxmlformats.org/officeDocument/2006/relationships/hyperlink" Target="https://digitial-product-engineering.atlassian.net/browse/CWS-6529" TargetMode="External"/><Relationship Id="rId6" Type="http://schemas.openxmlformats.org/officeDocument/2006/relationships/vmlDrawing" Target="../drawings/vmlDrawing2.vml"/><Relationship Id="rId5" Type="http://schemas.openxmlformats.org/officeDocument/2006/relationships/hyperlink" Target="https://digitial-product-engineering.atlassian.net/browse/CWS-9906" TargetMode="External"/><Relationship Id="rId4" Type="http://schemas.openxmlformats.org/officeDocument/2006/relationships/hyperlink" Target="https://digitial-product-engineering.atlassian.net/browse/CWS-9500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hyperlink" Target="https://digitial-product-engineering.atlassian.net/browse/CWS-10153?atlOrigin=eyJpIjoiMjBhNWIzMmFjMjdiNGE1YzhhZTE4YmM0ZjA0MDM4ZWYiLCJwIjoiZXhjZWwtamlyYSJ9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hyperlink" Target="https://digitial-product-engineering.atlassian.net/browse/CWS-10898" TargetMode="Externa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5782-1721-A543-9517-3037C3C00885}">
  <sheetPr codeName="Sheet2"/>
  <dimension ref="A2:AN83"/>
  <sheetViews>
    <sheetView showGridLines="0" topLeftCell="J1" zoomScale="120" zoomScaleNormal="120" workbookViewId="0">
      <selection activeCell="AC5" sqref="AC5"/>
    </sheetView>
  </sheetViews>
  <sheetFormatPr baseColWidth="10" defaultColWidth="11" defaultRowHeight="16" x14ac:dyDescent="0.2"/>
  <cols>
    <col min="1" max="1" width="4.83203125" style="1" customWidth="1"/>
    <col min="2" max="2" width="10.83203125" customWidth="1"/>
    <col min="3" max="4" width="10.6640625" customWidth="1"/>
    <col min="5" max="6" width="10.6640625" style="1" customWidth="1"/>
    <col min="7" max="8" width="1.1640625" style="7" customWidth="1"/>
    <col min="9" max="9" width="9.5" style="1" bestFit="1" customWidth="1"/>
    <col min="10" max="33" width="9.6640625" style="1" customWidth="1"/>
    <col min="34" max="36" width="9.6640625" customWidth="1"/>
  </cols>
  <sheetData>
    <row r="2" spans="2:37" x14ac:dyDescent="0.2">
      <c r="G2" s="29"/>
      <c r="H2" s="30"/>
    </row>
    <row r="3" spans="2:37" x14ac:dyDescent="0.2">
      <c r="B3" s="6" t="s">
        <v>0</v>
      </c>
      <c r="C3" s="6" t="s">
        <v>1</v>
      </c>
      <c r="D3" s="603" t="s">
        <v>2</v>
      </c>
      <c r="E3" s="603"/>
      <c r="F3" s="6" t="s">
        <v>3</v>
      </c>
      <c r="G3" s="29"/>
      <c r="H3" s="30"/>
      <c r="I3" s="604" t="s">
        <v>4</v>
      </c>
      <c r="J3" s="605"/>
      <c r="K3" s="605"/>
      <c r="L3" s="605"/>
      <c r="M3" s="605"/>
      <c r="N3" s="605"/>
      <c r="O3" s="605"/>
      <c r="P3" s="605"/>
      <c r="Q3" s="605"/>
      <c r="R3" s="605"/>
      <c r="S3" s="606"/>
      <c r="T3" s="607" t="s">
        <v>6</v>
      </c>
      <c r="U3" s="613"/>
      <c r="V3" s="613"/>
      <c r="W3" s="613"/>
      <c r="X3" s="608"/>
      <c r="Y3" s="607" t="s">
        <v>56</v>
      </c>
      <c r="Z3" s="608"/>
      <c r="AA3" s="603" t="s">
        <v>7</v>
      </c>
      <c r="AB3" s="603" t="s">
        <v>8</v>
      </c>
      <c r="AC3" s="603" t="s">
        <v>9</v>
      </c>
      <c r="AD3" s="590" t="s">
        <v>10</v>
      </c>
      <c r="AE3" s="603" t="s">
        <v>11</v>
      </c>
      <c r="AF3" s="603" t="s">
        <v>12</v>
      </c>
      <c r="AG3" s="590" t="s">
        <v>470</v>
      </c>
      <c r="AH3" s="1"/>
      <c r="AI3" s="1"/>
      <c r="AJ3" s="1"/>
      <c r="AK3" s="1"/>
    </row>
    <row r="4" spans="2:37" x14ac:dyDescent="0.2">
      <c r="B4" s="4" t="s">
        <v>13</v>
      </c>
      <c r="C4" s="4" t="s">
        <v>57</v>
      </c>
      <c r="D4" s="598" t="s">
        <v>15</v>
      </c>
      <c r="E4" s="599"/>
      <c r="F4" s="3">
        <v>18</v>
      </c>
      <c r="G4" s="29"/>
      <c r="H4" s="30"/>
      <c r="I4" s="6" t="s">
        <v>16</v>
      </c>
      <c r="J4" s="6" t="s">
        <v>17</v>
      </c>
      <c r="K4" s="604" t="s">
        <v>18</v>
      </c>
      <c r="L4" s="605"/>
      <c r="M4" s="605"/>
      <c r="N4" s="605"/>
      <c r="O4" s="605"/>
      <c r="P4" s="605"/>
      <c r="Q4" s="605"/>
      <c r="R4" s="605"/>
      <c r="S4" s="606"/>
      <c r="T4" s="609"/>
      <c r="U4" s="614"/>
      <c r="V4" s="614"/>
      <c r="W4" s="614"/>
      <c r="X4" s="610"/>
      <c r="Y4" s="609"/>
      <c r="Z4" s="610"/>
      <c r="AA4" s="603"/>
      <c r="AB4" s="603"/>
      <c r="AC4" s="603"/>
      <c r="AD4" s="590"/>
      <c r="AE4" s="603"/>
      <c r="AF4" s="603"/>
      <c r="AG4" s="590"/>
      <c r="AH4" s="1"/>
      <c r="AI4" s="1"/>
      <c r="AJ4" s="1"/>
      <c r="AK4" s="1"/>
    </row>
    <row r="5" spans="2:37" ht="16" customHeight="1" x14ac:dyDescent="0.2">
      <c r="B5" s="4" t="s">
        <v>19</v>
      </c>
      <c r="C5" s="4" t="s">
        <v>14</v>
      </c>
      <c r="D5" s="598" t="s">
        <v>58</v>
      </c>
      <c r="E5" s="599"/>
      <c r="F5" s="3">
        <v>11</v>
      </c>
      <c r="G5" s="29"/>
      <c r="H5" s="30"/>
      <c r="I5" s="63" t="s">
        <v>59</v>
      </c>
      <c r="J5" s="11" t="s">
        <v>60</v>
      </c>
      <c r="K5" s="23" t="s">
        <v>61</v>
      </c>
      <c r="L5" s="400"/>
      <c r="M5" s="400"/>
      <c r="N5" s="400"/>
      <c r="O5" s="400"/>
      <c r="P5" s="400"/>
      <c r="Q5" s="400"/>
      <c r="R5" s="400"/>
      <c r="S5" s="544"/>
      <c r="T5" s="408" t="s">
        <v>62</v>
      </c>
      <c r="U5" s="400"/>
      <c r="V5" s="400"/>
      <c r="W5" s="400"/>
      <c r="X5" s="544"/>
      <c r="Y5" s="618">
        <v>45314</v>
      </c>
      <c r="Z5" s="619"/>
      <c r="AA5" s="10"/>
      <c r="AB5" s="16">
        <f t="shared" ref="AB5:AB15" si="0">COUNTIF($K$25:$AN$29,I5)</f>
        <v>10</v>
      </c>
      <c r="AC5" s="16">
        <f t="shared" ref="AC5:AC15" si="1">COUNTIF($K$24:$AN$24,I5)</f>
        <v>0</v>
      </c>
      <c r="AD5" s="16">
        <f t="shared" ref="AD5" si="2">AB5+AC5</f>
        <v>10</v>
      </c>
      <c r="AE5" s="27">
        <f t="shared" ref="AE5" si="3">AB5*$C$31+AC5*$D$31</f>
        <v>36.5</v>
      </c>
      <c r="AF5" s="35">
        <f t="shared" ref="AF5:AF18" si="4">IF($AD$19=0,0,AE5/$AD$19)</f>
        <v>5.470213563132259E-2</v>
      </c>
      <c r="AG5" s="16" cm="1">
        <f t="array" ref="AG5">CountUniquePeopleByTask($I5,$K$24:$AN$29,$I$24:$J$29)</f>
        <v>2</v>
      </c>
      <c r="AH5" s="1"/>
      <c r="AI5" s="1"/>
      <c r="AJ5" s="1"/>
      <c r="AK5" s="1"/>
    </row>
    <row r="6" spans="2:37" x14ac:dyDescent="0.2">
      <c r="B6" s="4" t="s">
        <v>19</v>
      </c>
      <c r="C6" s="4" t="s">
        <v>14</v>
      </c>
      <c r="D6" s="598" t="s">
        <v>63</v>
      </c>
      <c r="E6" s="599"/>
      <c r="F6" s="3">
        <v>5</v>
      </c>
      <c r="G6" s="29"/>
      <c r="H6" s="30"/>
      <c r="I6" s="59" t="s">
        <v>64</v>
      </c>
      <c r="J6" s="11" t="s">
        <v>65</v>
      </c>
      <c r="K6" s="23" t="s">
        <v>66</v>
      </c>
      <c r="L6" s="400"/>
      <c r="M6" s="400"/>
      <c r="N6" s="400"/>
      <c r="O6" s="400"/>
      <c r="P6" s="400"/>
      <c r="Q6" s="400"/>
      <c r="R6" s="400"/>
      <c r="S6" s="544"/>
      <c r="T6" s="615" t="s">
        <v>62</v>
      </c>
      <c r="U6" s="616"/>
      <c r="V6" s="616"/>
      <c r="W6" s="616"/>
      <c r="X6" s="617"/>
      <c r="Y6" s="620">
        <v>45303</v>
      </c>
      <c r="Z6" s="621"/>
      <c r="AA6" s="10"/>
      <c r="AB6" s="16">
        <f t="shared" si="0"/>
        <v>4</v>
      </c>
      <c r="AC6" s="16">
        <f t="shared" si="1"/>
        <v>0</v>
      </c>
      <c r="AD6" s="16">
        <f t="shared" ref="AD6:AD15" si="5">AB6+AC6</f>
        <v>4</v>
      </c>
      <c r="AE6" s="27">
        <f t="shared" ref="AE6:AE15" si="6">AB6*$C$31+AC6*$D$31</f>
        <v>14.6</v>
      </c>
      <c r="AF6" s="35">
        <f t="shared" si="4"/>
        <v>2.1880854252529038E-2</v>
      </c>
      <c r="AG6" s="16" cm="1">
        <f t="array" ref="AG6">CountUniquePeopleByTask($I6,$K$24:$AN$29,$I$24:$J$29)</f>
        <v>2</v>
      </c>
      <c r="AH6" s="1"/>
      <c r="AI6" s="1"/>
      <c r="AJ6" s="1"/>
      <c r="AK6" s="1"/>
    </row>
    <row r="7" spans="2:37" x14ac:dyDescent="0.2">
      <c r="B7" s="4" t="s">
        <v>19</v>
      </c>
      <c r="C7" s="4" t="s">
        <v>14</v>
      </c>
      <c r="D7" s="598" t="s">
        <v>67</v>
      </c>
      <c r="E7" s="599"/>
      <c r="F7" s="3">
        <v>3</v>
      </c>
      <c r="G7" s="29"/>
      <c r="H7" s="30"/>
      <c r="I7" s="60" t="s">
        <v>68</v>
      </c>
      <c r="J7" s="11" t="s">
        <v>69</v>
      </c>
      <c r="K7" s="23" t="s">
        <v>70</v>
      </c>
      <c r="L7" s="400"/>
      <c r="M7" s="400"/>
      <c r="N7" s="400"/>
      <c r="O7" s="400"/>
      <c r="P7" s="400"/>
      <c r="Q7" s="400"/>
      <c r="R7" s="400"/>
      <c r="S7" s="544"/>
      <c r="T7" s="615"/>
      <c r="U7" s="616"/>
      <c r="V7" s="616"/>
      <c r="W7" s="616"/>
      <c r="X7" s="617"/>
      <c r="Y7" s="611">
        <v>45328</v>
      </c>
      <c r="Z7" s="612"/>
      <c r="AA7" s="10"/>
      <c r="AB7" s="16">
        <f t="shared" si="0"/>
        <v>9</v>
      </c>
      <c r="AC7" s="16">
        <f t="shared" si="1"/>
        <v>0</v>
      </c>
      <c r="AD7" s="16">
        <f t="shared" si="5"/>
        <v>9</v>
      </c>
      <c r="AE7" s="27">
        <f t="shared" si="6"/>
        <v>32.85</v>
      </c>
      <c r="AF7" s="35">
        <f t="shared" si="4"/>
        <v>4.9231922068190333E-2</v>
      </c>
      <c r="AG7" s="16" cm="1">
        <f t="array" ref="AG7">CountUniquePeopleByTask($I7,$K$24:$AN$29,$I$24:$J$29)</f>
        <v>1</v>
      </c>
      <c r="AH7" s="1"/>
      <c r="AI7" s="1"/>
      <c r="AJ7" s="1"/>
      <c r="AK7" s="1"/>
    </row>
    <row r="8" spans="2:37" x14ac:dyDescent="0.2">
      <c r="B8" s="4" t="s">
        <v>19</v>
      </c>
      <c r="C8" s="4" t="s">
        <v>14</v>
      </c>
      <c r="D8" s="598" t="s">
        <v>71</v>
      </c>
      <c r="E8" s="599"/>
      <c r="F8" s="3">
        <v>3</v>
      </c>
      <c r="G8" s="29"/>
      <c r="H8" s="30"/>
      <c r="I8" s="60" t="s">
        <v>72</v>
      </c>
      <c r="J8" s="11"/>
      <c r="K8" s="23"/>
      <c r="L8" s="24"/>
      <c r="M8" s="24"/>
      <c r="N8" s="24"/>
      <c r="O8" s="24"/>
      <c r="P8" s="24"/>
      <c r="Q8" s="24"/>
      <c r="R8" s="24"/>
      <c r="S8" s="25"/>
      <c r="T8" s="23"/>
      <c r="U8" s="24"/>
      <c r="V8" s="24"/>
      <c r="W8" s="24"/>
      <c r="X8" s="25"/>
      <c r="Y8" s="611">
        <v>45320</v>
      </c>
      <c r="Z8" s="612"/>
      <c r="AA8" s="10"/>
      <c r="AB8" s="16">
        <f t="shared" si="0"/>
        <v>3</v>
      </c>
      <c r="AC8" s="16">
        <f t="shared" si="1"/>
        <v>0</v>
      </c>
      <c r="AD8" s="16">
        <f t="shared" ref="AD8" si="7">AB8+AC8</f>
        <v>3</v>
      </c>
      <c r="AE8" s="27">
        <f t="shared" ref="AE8" si="8">AB8*$C$31+AC8*$D$31</f>
        <v>10.95</v>
      </c>
      <c r="AF8" s="35">
        <f t="shared" si="4"/>
        <v>1.6410640689396776E-2</v>
      </c>
      <c r="AG8" s="16" cm="1">
        <f t="array" ref="AG8">CountUniquePeopleByTask($I8,$K$24:$AN$29,$I$24:$J$29)</f>
        <v>1</v>
      </c>
      <c r="AH8" s="1"/>
      <c r="AI8" s="1"/>
      <c r="AJ8" s="1"/>
      <c r="AK8" s="1"/>
    </row>
    <row r="9" spans="2:37" ht="16" customHeight="1" x14ac:dyDescent="0.2">
      <c r="B9" s="4" t="s">
        <v>19</v>
      </c>
      <c r="C9" s="4" t="s">
        <v>14</v>
      </c>
      <c r="D9" s="598" t="s">
        <v>20</v>
      </c>
      <c r="E9" s="599"/>
      <c r="F9" s="3">
        <v>3</v>
      </c>
      <c r="G9" s="29"/>
      <c r="H9" s="30"/>
      <c r="I9" s="64" t="s">
        <v>73</v>
      </c>
      <c r="J9" s="11" t="s">
        <v>74</v>
      </c>
      <c r="K9" s="23" t="s">
        <v>75</v>
      </c>
      <c r="L9" s="400"/>
      <c r="M9" s="400"/>
      <c r="N9" s="400"/>
      <c r="O9" s="400"/>
      <c r="P9" s="400"/>
      <c r="Q9" s="400"/>
      <c r="R9" s="400"/>
      <c r="S9" s="544"/>
      <c r="T9" s="615"/>
      <c r="U9" s="616"/>
      <c r="V9" s="616"/>
      <c r="W9" s="616"/>
      <c r="X9" s="617"/>
      <c r="Y9" s="611" t="s">
        <v>76</v>
      </c>
      <c r="Z9" s="612"/>
      <c r="AA9" s="10"/>
      <c r="AB9" s="16">
        <f t="shared" si="0"/>
        <v>15</v>
      </c>
      <c r="AC9" s="16">
        <f t="shared" si="1"/>
        <v>0</v>
      </c>
      <c r="AD9" s="16">
        <f t="shared" si="5"/>
        <v>15</v>
      </c>
      <c r="AE9" s="27">
        <f t="shared" si="6"/>
        <v>54.75</v>
      </c>
      <c r="AF9" s="35">
        <f t="shared" si="4"/>
        <v>8.2053203446983886E-2</v>
      </c>
      <c r="AG9" s="16" cm="1">
        <f t="array" ref="AG9">CountUniquePeopleByTask($I9,$K$24:$AN$29,$I$24:$J$29)</f>
        <v>1</v>
      </c>
      <c r="AH9" s="1"/>
      <c r="AI9" s="1"/>
      <c r="AJ9" s="1"/>
      <c r="AK9" s="1"/>
    </row>
    <row r="10" spans="2:37" x14ac:dyDescent="0.2">
      <c r="C10" s="2"/>
      <c r="D10" s="2"/>
      <c r="E10" s="2"/>
      <c r="F10" s="2"/>
      <c r="G10" s="29"/>
      <c r="H10" s="30"/>
      <c r="I10" s="65" t="s">
        <v>77</v>
      </c>
      <c r="J10" s="11" t="s">
        <v>78</v>
      </c>
      <c r="K10" s="23" t="s">
        <v>79</v>
      </c>
      <c r="L10" s="24"/>
      <c r="M10" s="24"/>
      <c r="N10" s="24"/>
      <c r="O10" s="24"/>
      <c r="P10" s="24"/>
      <c r="Q10" s="24"/>
      <c r="R10" s="24"/>
      <c r="S10" s="25"/>
      <c r="T10" s="615"/>
      <c r="U10" s="616"/>
      <c r="V10" s="616"/>
      <c r="W10" s="616"/>
      <c r="X10" s="617"/>
      <c r="Y10" s="611" t="s">
        <v>80</v>
      </c>
      <c r="Z10" s="612"/>
      <c r="AA10" s="10"/>
      <c r="AB10" s="16">
        <f t="shared" si="0"/>
        <v>19</v>
      </c>
      <c r="AC10" s="16">
        <f t="shared" si="1"/>
        <v>0</v>
      </c>
      <c r="AD10" s="16">
        <f t="shared" si="5"/>
        <v>19</v>
      </c>
      <c r="AE10" s="27">
        <f t="shared" si="6"/>
        <v>69.349999999999994</v>
      </c>
      <c r="AF10" s="35">
        <f t="shared" si="4"/>
        <v>0.10393405769951292</v>
      </c>
      <c r="AG10" s="16" cm="1">
        <f t="array" ref="AG10">CountUniquePeopleByTask($I10,$K$24:$AN$29,$I$24:$J$29)</f>
        <v>2</v>
      </c>
      <c r="AH10" s="1"/>
      <c r="AI10" s="1"/>
      <c r="AJ10" s="1"/>
      <c r="AK10" s="1"/>
    </row>
    <row r="11" spans="2:37" x14ac:dyDescent="0.2">
      <c r="B11" s="591" t="s">
        <v>21</v>
      </c>
      <c r="C11" s="591"/>
      <c r="D11" s="591"/>
      <c r="E11" s="3">
        <v>6</v>
      </c>
      <c r="F11" s="2"/>
      <c r="G11" s="29"/>
      <c r="H11" s="30"/>
      <c r="I11" s="61" t="s">
        <v>81</v>
      </c>
      <c r="J11" s="11"/>
      <c r="K11" s="23"/>
      <c r="L11" s="24"/>
      <c r="M11" s="24"/>
      <c r="N11" s="24"/>
      <c r="O11" s="24"/>
      <c r="P11" s="24"/>
      <c r="Q11" s="24"/>
      <c r="R11" s="24"/>
      <c r="S11" s="25"/>
      <c r="T11" s="615"/>
      <c r="U11" s="616"/>
      <c r="V11" s="616"/>
      <c r="W11" s="616"/>
      <c r="X11" s="617"/>
      <c r="Y11" s="611" t="s">
        <v>82</v>
      </c>
      <c r="Z11" s="612"/>
      <c r="AA11" s="10"/>
      <c r="AB11" s="16">
        <f t="shared" si="0"/>
        <v>3</v>
      </c>
      <c r="AC11" s="16">
        <f t="shared" si="1"/>
        <v>0</v>
      </c>
      <c r="AD11" s="16">
        <f t="shared" si="5"/>
        <v>3</v>
      </c>
      <c r="AE11" s="27">
        <f t="shared" si="6"/>
        <v>10.95</v>
      </c>
      <c r="AF11" s="35">
        <f t="shared" si="4"/>
        <v>1.6410640689396776E-2</v>
      </c>
      <c r="AG11" s="16" cm="1">
        <f t="array" ref="AG11">CountUniquePeopleByTask($I11,$K$24:$AN$29,$I$24:$J$29)</f>
        <v>1</v>
      </c>
      <c r="AH11" s="1"/>
      <c r="AI11" s="1"/>
      <c r="AJ11" s="1"/>
      <c r="AK11" s="1"/>
    </row>
    <row r="12" spans="2:37" ht="16" customHeight="1" x14ac:dyDescent="0.2">
      <c r="B12" s="595" t="s">
        <v>22</v>
      </c>
      <c r="C12" s="596"/>
      <c r="D12" s="597"/>
      <c r="E12" s="5">
        <v>0.85</v>
      </c>
      <c r="G12" s="29"/>
      <c r="H12" s="30"/>
      <c r="I12" s="62" t="s">
        <v>23</v>
      </c>
      <c r="J12" s="11"/>
      <c r="K12" s="23" t="s">
        <v>24</v>
      </c>
      <c r="L12" s="400"/>
      <c r="M12" s="400"/>
      <c r="N12" s="400"/>
      <c r="O12" s="400"/>
      <c r="P12" s="400"/>
      <c r="Q12" s="400"/>
      <c r="R12" s="400"/>
      <c r="S12" s="544"/>
      <c r="T12" s="615"/>
      <c r="U12" s="616"/>
      <c r="V12" s="616"/>
      <c r="W12" s="616"/>
      <c r="X12" s="617"/>
      <c r="Y12" s="611"/>
      <c r="Z12" s="612"/>
      <c r="AA12" s="10"/>
      <c r="AB12" s="16">
        <f t="shared" si="0"/>
        <v>36</v>
      </c>
      <c r="AC12" s="16">
        <f t="shared" si="1"/>
        <v>12</v>
      </c>
      <c r="AD12" s="16">
        <f t="shared" si="5"/>
        <v>48</v>
      </c>
      <c r="AE12" s="27">
        <f t="shared" si="6"/>
        <v>96.300000000000011</v>
      </c>
      <c r="AF12" s="35">
        <f t="shared" si="4"/>
        <v>0.14432371674784567</v>
      </c>
      <c r="AG12" s="16" cm="1">
        <f t="array" ref="AG12">CountUniquePeopleByTask($I12,$K$24:$AN$29,$I$24:$J$29)</f>
        <v>6</v>
      </c>
      <c r="AH12" s="1"/>
      <c r="AI12" s="1"/>
      <c r="AJ12" s="1"/>
      <c r="AK12" s="1"/>
    </row>
    <row r="13" spans="2:37" x14ac:dyDescent="0.2">
      <c r="B13" s="595" t="s">
        <v>25</v>
      </c>
      <c r="C13" s="596"/>
      <c r="D13" s="597"/>
      <c r="E13" s="26">
        <v>0.125</v>
      </c>
      <c r="G13" s="29"/>
      <c r="H13" s="30"/>
      <c r="I13" s="70" t="s">
        <v>51</v>
      </c>
      <c r="J13" s="11"/>
      <c r="K13" s="23"/>
      <c r="L13" s="24"/>
      <c r="M13" s="24"/>
      <c r="N13" s="24"/>
      <c r="O13" s="24"/>
      <c r="P13" s="24"/>
      <c r="Q13" s="24"/>
      <c r="R13" s="24"/>
      <c r="S13" s="25"/>
      <c r="T13" s="23"/>
      <c r="U13" s="24"/>
      <c r="V13" s="24"/>
      <c r="W13" s="24"/>
      <c r="X13" s="25"/>
      <c r="Y13" s="68"/>
      <c r="Z13" s="69"/>
      <c r="AA13" s="10"/>
      <c r="AB13" s="16">
        <f t="shared" si="0"/>
        <v>6</v>
      </c>
      <c r="AC13" s="16">
        <f t="shared" si="1"/>
        <v>0</v>
      </c>
      <c r="AD13" s="16">
        <f t="shared" ref="AD13" si="9">AB13+AC13</f>
        <v>6</v>
      </c>
      <c r="AE13" s="27">
        <f t="shared" ref="AE13" si="10">AB13*$C$31+AC13*$D$31</f>
        <v>21.9</v>
      </c>
      <c r="AF13" s="35">
        <f t="shared" si="4"/>
        <v>3.2821281378793553E-2</v>
      </c>
      <c r="AG13" s="16" cm="1">
        <f t="array" ref="AG13">CountUniquePeopleByTask($I13,$K$24:$AN$29,$I$24:$J$29)</f>
        <v>2</v>
      </c>
      <c r="AH13" s="1"/>
      <c r="AI13" s="1"/>
      <c r="AJ13" s="1"/>
      <c r="AK13" s="1"/>
    </row>
    <row r="14" spans="2:37" ht="16" customHeight="1" x14ac:dyDescent="0.2">
      <c r="B14" s="595" t="s">
        <v>24</v>
      </c>
      <c r="C14" s="596"/>
      <c r="D14" s="597"/>
      <c r="E14" s="26">
        <v>0.125</v>
      </c>
      <c r="G14" s="29"/>
      <c r="H14" s="30"/>
      <c r="I14" s="66" t="s">
        <v>26</v>
      </c>
      <c r="J14" s="11"/>
      <c r="K14" s="23" t="s">
        <v>27</v>
      </c>
      <c r="L14" s="400"/>
      <c r="M14" s="400"/>
      <c r="N14" s="400"/>
      <c r="O14" s="400"/>
      <c r="P14" s="400"/>
      <c r="Q14" s="400"/>
      <c r="R14" s="400"/>
      <c r="S14" s="544"/>
      <c r="T14" s="615"/>
      <c r="U14" s="616"/>
      <c r="V14" s="616"/>
      <c r="W14" s="616"/>
      <c r="X14" s="617"/>
      <c r="Y14" s="611"/>
      <c r="Z14" s="612"/>
      <c r="AA14" s="10"/>
      <c r="AB14" s="16">
        <f t="shared" si="0"/>
        <v>0</v>
      </c>
      <c r="AC14" s="16">
        <f t="shared" si="1"/>
        <v>0</v>
      </c>
      <c r="AD14" s="16">
        <f t="shared" si="5"/>
        <v>0</v>
      </c>
      <c r="AE14" s="27">
        <f t="shared" si="6"/>
        <v>0</v>
      </c>
      <c r="AF14" s="35">
        <f t="shared" si="4"/>
        <v>0</v>
      </c>
      <c r="AG14" s="16" cm="1">
        <f t="array" ref="AG14">CountUniquePeopleByTask($I14,$K$24:$AN$29,$I$24:$J$29)</f>
        <v>0</v>
      </c>
      <c r="AH14" s="1"/>
      <c r="AI14" s="1"/>
      <c r="AJ14" s="1"/>
      <c r="AK14" s="1"/>
    </row>
    <row r="15" spans="2:37" ht="17" thickBot="1" x14ac:dyDescent="0.25">
      <c r="B15" s="591" t="s">
        <v>28</v>
      </c>
      <c r="C15" s="591"/>
      <c r="D15" s="591"/>
      <c r="E15" s="3">
        <v>2</v>
      </c>
      <c r="G15" s="29"/>
      <c r="H15" s="30"/>
      <c r="I15" s="67" t="s">
        <v>29</v>
      </c>
      <c r="J15" s="11"/>
      <c r="K15" s="23" t="s">
        <v>30</v>
      </c>
      <c r="L15" s="400"/>
      <c r="M15" s="400"/>
      <c r="N15" s="400"/>
      <c r="O15" s="400"/>
      <c r="P15" s="400"/>
      <c r="Q15" s="400"/>
      <c r="R15" s="400"/>
      <c r="S15" s="544"/>
      <c r="T15" s="615"/>
      <c r="U15" s="616"/>
      <c r="V15" s="616"/>
      <c r="W15" s="616"/>
      <c r="X15" s="617"/>
      <c r="Y15" s="611"/>
      <c r="Z15" s="612"/>
      <c r="AA15" s="10"/>
      <c r="AB15" s="41">
        <f t="shared" si="0"/>
        <v>30</v>
      </c>
      <c r="AC15" s="41">
        <f t="shared" si="1"/>
        <v>18</v>
      </c>
      <c r="AD15" s="41">
        <f t="shared" si="5"/>
        <v>48</v>
      </c>
      <c r="AE15" s="42">
        <f t="shared" si="6"/>
        <v>56.849999999999994</v>
      </c>
      <c r="AF15" s="43">
        <f t="shared" si="4"/>
        <v>8.5200449606594217E-2</v>
      </c>
      <c r="AG15" s="41" cm="1">
        <f t="array" ref="AG15">CountUniquePeopleByTask($I15,$K$24:$AN$29,$I$24:$J$29)</f>
        <v>6</v>
      </c>
      <c r="AH15" s="1"/>
      <c r="AI15" s="1"/>
      <c r="AJ15" s="1"/>
      <c r="AK15" s="1"/>
    </row>
    <row r="16" spans="2:37" x14ac:dyDescent="0.2">
      <c r="B16" s="591" t="s">
        <v>32</v>
      </c>
      <c r="C16" s="591"/>
      <c r="D16" s="591"/>
      <c r="E16" s="3">
        <v>2</v>
      </c>
      <c r="G16" s="29"/>
      <c r="H16" s="30"/>
      <c r="I16" s="12"/>
      <c r="J16" s="12"/>
      <c r="K16" s="13"/>
      <c r="L16" s="13"/>
      <c r="M16" s="13"/>
      <c r="N16" s="13"/>
      <c r="O16" s="13"/>
      <c r="P16" s="13"/>
      <c r="Q16" s="13"/>
      <c r="R16" s="13"/>
      <c r="S16" s="13"/>
      <c r="T16" s="14"/>
      <c r="U16" s="51"/>
      <c r="V16" s="51"/>
      <c r="W16" s="51"/>
      <c r="X16" s="51"/>
      <c r="Y16" s="51"/>
      <c r="Z16" s="51"/>
      <c r="AA16" s="37" t="s">
        <v>33</v>
      </c>
      <c r="AB16" s="38" t="s">
        <v>31</v>
      </c>
      <c r="AC16" s="38" t="s">
        <v>31</v>
      </c>
      <c r="AD16" s="38" t="s">
        <v>31</v>
      </c>
      <c r="AE16" s="39">
        <f>E27</f>
        <v>72</v>
      </c>
      <c r="AF16" s="40">
        <f t="shared" si="4"/>
        <v>0.10790558261521169</v>
      </c>
      <c r="AH16" s="1"/>
      <c r="AI16" s="1"/>
      <c r="AJ16" s="1"/>
      <c r="AK16" s="1"/>
    </row>
    <row r="17" spans="2:40" x14ac:dyDescent="0.2">
      <c r="B17" s="591" t="s">
        <v>34</v>
      </c>
      <c r="C17" s="591"/>
      <c r="D17" s="591"/>
      <c r="E17" s="17">
        <v>45299</v>
      </c>
      <c r="G17" s="29"/>
      <c r="H17" s="30"/>
      <c r="I17" s="12"/>
      <c r="J17" s="12"/>
      <c r="K17" s="13"/>
      <c r="L17" s="13"/>
      <c r="M17" s="13"/>
      <c r="N17" s="13"/>
      <c r="O17" s="13"/>
      <c r="P17" s="13"/>
      <c r="Q17" s="13"/>
      <c r="R17" s="13"/>
      <c r="S17" s="13"/>
      <c r="T17" s="14"/>
      <c r="U17" s="51"/>
      <c r="V17" s="51"/>
      <c r="W17" s="51"/>
      <c r="X17" s="51"/>
      <c r="Y17" s="51"/>
      <c r="AA17" s="20" t="s">
        <v>35</v>
      </c>
      <c r="AB17" s="16" t="s">
        <v>31</v>
      </c>
      <c r="AC17" s="16" t="s">
        <v>31</v>
      </c>
      <c r="AD17" s="16" t="s">
        <v>31</v>
      </c>
      <c r="AE17" s="27">
        <f>E28</f>
        <v>120</v>
      </c>
      <c r="AF17" s="35">
        <f t="shared" si="4"/>
        <v>0.17984263769201947</v>
      </c>
      <c r="AH17" s="1"/>
      <c r="AI17" s="1"/>
      <c r="AJ17" s="1"/>
      <c r="AK17" s="1"/>
    </row>
    <row r="18" spans="2:40" x14ac:dyDescent="0.2">
      <c r="E18"/>
      <c r="G18" s="29"/>
      <c r="H18" s="30"/>
      <c r="I18" s="12"/>
      <c r="J18" s="12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51"/>
      <c r="V18" s="51"/>
      <c r="W18" s="51"/>
      <c r="X18" s="51"/>
      <c r="Y18" s="51"/>
      <c r="AA18" s="20" t="s">
        <v>36</v>
      </c>
      <c r="AB18" s="16" t="s">
        <v>31</v>
      </c>
      <c r="AC18" s="16" t="s">
        <v>31</v>
      </c>
      <c r="AD18" s="16" t="s">
        <v>31</v>
      </c>
      <c r="AE18" s="27">
        <f>E29</f>
        <v>70.25</v>
      </c>
      <c r="AF18" s="35">
        <f t="shared" si="4"/>
        <v>0.10528287748220307</v>
      </c>
      <c r="AH18" s="1"/>
      <c r="AI18" s="1"/>
      <c r="AJ18" s="1"/>
      <c r="AK18" s="1"/>
    </row>
    <row r="19" spans="2:40" x14ac:dyDescent="0.2">
      <c r="C19" s="6" t="s">
        <v>37</v>
      </c>
      <c r="D19" s="9" t="s">
        <v>38</v>
      </c>
      <c r="E19" s="48" t="s">
        <v>39</v>
      </c>
      <c r="F19"/>
      <c r="G19" s="29"/>
      <c r="H19" s="30"/>
      <c r="I19" s="12"/>
      <c r="J19" s="12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51"/>
      <c r="V19" s="51"/>
      <c r="W19" s="51"/>
      <c r="X19" s="51"/>
      <c r="Y19" s="51"/>
      <c r="Z19" s="14"/>
      <c r="AA19"/>
      <c r="AB19"/>
      <c r="AC19"/>
      <c r="AD19" s="27">
        <f>SUM(AE5:AE18)</f>
        <v>667.25</v>
      </c>
      <c r="AE19" s="35">
        <f>SUM(AF5:AF18)</f>
        <v>1</v>
      </c>
      <c r="AH19" s="1"/>
      <c r="AI19" s="1"/>
      <c r="AJ19" s="1"/>
    </row>
    <row r="20" spans="2:40" x14ac:dyDescent="0.2">
      <c r="B20" s="21" t="s">
        <v>40</v>
      </c>
      <c r="C20" s="16">
        <f>COUNTIF($B$4:$B$9,"=D")</f>
        <v>5</v>
      </c>
      <c r="D20" s="36">
        <f>COUNTIF($B$4:$B$9,"=I")</f>
        <v>1</v>
      </c>
      <c r="E20" s="49">
        <f>C20+D20</f>
        <v>6</v>
      </c>
      <c r="G20" s="29"/>
      <c r="H20" s="30"/>
    </row>
    <row r="21" spans="2:40" x14ac:dyDescent="0.2">
      <c r="B21" s="21" t="s">
        <v>3</v>
      </c>
      <c r="C21" s="16">
        <f>SUMIF($B$4:$B$9,"=D",$F$4:$F$9)</f>
        <v>25</v>
      </c>
      <c r="D21" s="36">
        <f>SUMIF($B$4:$B$9,"=I",$F$4:$F$9)</f>
        <v>18</v>
      </c>
      <c r="E21" s="49">
        <f t="shared" ref="E21:E30" si="11">C21+D21</f>
        <v>43</v>
      </c>
      <c r="G21" s="29"/>
      <c r="H21" s="30"/>
      <c r="K21" s="592" t="s">
        <v>41</v>
      </c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2"/>
      <c r="Y21" s="592"/>
      <c r="Z21" s="592"/>
      <c r="AA21" s="592"/>
      <c r="AB21" s="592"/>
      <c r="AC21" s="592"/>
      <c r="AD21" s="592"/>
      <c r="AE21" s="592"/>
      <c r="AF21" s="592"/>
      <c r="AG21" s="592"/>
      <c r="AH21" s="592"/>
      <c r="AI21" s="592"/>
      <c r="AJ21" s="592"/>
      <c r="AK21" s="592"/>
      <c r="AL21" s="592"/>
      <c r="AM21" s="592"/>
      <c r="AN21" s="592"/>
    </row>
    <row r="22" spans="2:40" x14ac:dyDescent="0.2">
      <c r="B22" s="22" t="s">
        <v>42</v>
      </c>
      <c r="C22" s="16">
        <f>($E$11*5*C20)-C21</f>
        <v>125</v>
      </c>
      <c r="D22" s="36">
        <f>($E$11*5*D20)-D21</f>
        <v>12</v>
      </c>
      <c r="E22" s="49">
        <f t="shared" si="11"/>
        <v>137</v>
      </c>
      <c r="G22" s="29"/>
      <c r="H22" s="30"/>
      <c r="I22"/>
      <c r="J22" s="7"/>
      <c r="K22" s="600" t="s">
        <v>43</v>
      </c>
      <c r="L22" s="601"/>
      <c r="M22" s="601"/>
      <c r="N22" s="601"/>
      <c r="O22" s="602"/>
      <c r="P22" s="600" t="s">
        <v>44</v>
      </c>
      <c r="Q22" s="601"/>
      <c r="R22" s="601"/>
      <c r="S22" s="601"/>
      <c r="T22" s="602"/>
      <c r="U22" s="600" t="s">
        <v>45</v>
      </c>
      <c r="V22" s="601"/>
      <c r="W22" s="601"/>
      <c r="X22" s="601"/>
      <c r="Y22" s="602"/>
      <c r="Z22" s="600" t="s">
        <v>46</v>
      </c>
      <c r="AA22" s="601"/>
      <c r="AB22" s="601"/>
      <c r="AC22" s="601"/>
      <c r="AD22" s="602"/>
      <c r="AE22" s="600" t="s">
        <v>47</v>
      </c>
      <c r="AF22" s="601"/>
      <c r="AG22" s="601"/>
      <c r="AH22" s="601"/>
      <c r="AI22" s="602"/>
      <c r="AJ22" s="600" t="s">
        <v>83</v>
      </c>
      <c r="AK22" s="601"/>
      <c r="AL22" s="601"/>
      <c r="AM22" s="601"/>
      <c r="AN22" s="602"/>
    </row>
    <row r="23" spans="2:40" x14ac:dyDescent="0.2">
      <c r="B23" s="21" t="s">
        <v>48</v>
      </c>
      <c r="C23" s="16">
        <f>8*$E$12</f>
        <v>6.8</v>
      </c>
      <c r="D23" s="36">
        <f>6*$E$12</f>
        <v>5.0999999999999996</v>
      </c>
      <c r="E23" s="49">
        <f t="shared" si="11"/>
        <v>11.899999999999999</v>
      </c>
      <c r="G23" s="29"/>
      <c r="H23" s="30"/>
      <c r="I23" s="600" t="s">
        <v>49</v>
      </c>
      <c r="J23" s="602"/>
      <c r="K23" s="15">
        <f t="shared" ref="K23:AN23" si="12">$E$17+(7*ROUNDDOWN((COLUMN(K$23)-COLUMN($K$23))/5,0))+MOD(COLUMN(K$23)-COLUMN($K$23),5)</f>
        <v>45299</v>
      </c>
      <c r="L23" s="15">
        <f t="shared" si="12"/>
        <v>45300</v>
      </c>
      <c r="M23" s="15">
        <f t="shared" si="12"/>
        <v>45301</v>
      </c>
      <c r="N23" s="15">
        <f t="shared" si="12"/>
        <v>45302</v>
      </c>
      <c r="O23" s="15">
        <f t="shared" si="12"/>
        <v>45303</v>
      </c>
      <c r="P23" s="15">
        <f t="shared" si="12"/>
        <v>45306</v>
      </c>
      <c r="Q23" s="15">
        <f t="shared" si="12"/>
        <v>45307</v>
      </c>
      <c r="R23" s="15">
        <f t="shared" si="12"/>
        <v>45308</v>
      </c>
      <c r="S23" s="15">
        <f t="shared" si="12"/>
        <v>45309</v>
      </c>
      <c r="T23" s="15">
        <f t="shared" si="12"/>
        <v>45310</v>
      </c>
      <c r="U23" s="15">
        <f t="shared" si="12"/>
        <v>45313</v>
      </c>
      <c r="V23" s="15">
        <f t="shared" si="12"/>
        <v>45314</v>
      </c>
      <c r="W23" s="15">
        <f t="shared" si="12"/>
        <v>45315</v>
      </c>
      <c r="X23" s="15">
        <f t="shared" si="12"/>
        <v>45316</v>
      </c>
      <c r="Y23" s="15">
        <f t="shared" si="12"/>
        <v>45317</v>
      </c>
      <c r="Z23" s="15">
        <f t="shared" si="12"/>
        <v>45320</v>
      </c>
      <c r="AA23" s="15">
        <f t="shared" si="12"/>
        <v>45321</v>
      </c>
      <c r="AB23" s="15">
        <f t="shared" si="12"/>
        <v>45322</v>
      </c>
      <c r="AC23" s="15">
        <f t="shared" si="12"/>
        <v>45323</v>
      </c>
      <c r="AD23" s="15">
        <f t="shared" si="12"/>
        <v>45324</v>
      </c>
      <c r="AE23" s="15">
        <f t="shared" si="12"/>
        <v>45327</v>
      </c>
      <c r="AF23" s="15">
        <f t="shared" si="12"/>
        <v>45328</v>
      </c>
      <c r="AG23" s="15">
        <f t="shared" si="12"/>
        <v>45329</v>
      </c>
      <c r="AH23" s="15">
        <f t="shared" si="12"/>
        <v>45330</v>
      </c>
      <c r="AI23" s="15">
        <f t="shared" si="12"/>
        <v>45331</v>
      </c>
      <c r="AJ23" s="15">
        <f t="shared" si="12"/>
        <v>45334</v>
      </c>
      <c r="AK23" s="15">
        <f t="shared" si="12"/>
        <v>45335</v>
      </c>
      <c r="AL23" s="15">
        <f t="shared" si="12"/>
        <v>45336</v>
      </c>
      <c r="AM23" s="15">
        <f t="shared" si="12"/>
        <v>45337</v>
      </c>
      <c r="AN23" s="15">
        <f t="shared" si="12"/>
        <v>45338</v>
      </c>
    </row>
    <row r="24" spans="2:40" x14ac:dyDescent="0.2">
      <c r="B24" s="21" t="s">
        <v>50</v>
      </c>
      <c r="C24" s="16">
        <f>C22*C23</f>
        <v>850</v>
      </c>
      <c r="D24" s="36">
        <f>D22*D23</f>
        <v>61.199999999999996</v>
      </c>
      <c r="E24" s="49">
        <f t="shared" si="11"/>
        <v>911.2</v>
      </c>
      <c r="G24" s="29"/>
      <c r="H24" s="30"/>
      <c r="I24" s="593" t="str">
        <f t="shared" ref="I24:I29" si="13">D4</f>
        <v>Arthur Mota</v>
      </c>
      <c r="J24" s="594"/>
      <c r="K24" s="67" t="s">
        <v>29</v>
      </c>
      <c r="L24" s="67" t="s">
        <v>29</v>
      </c>
      <c r="M24" s="67" t="s">
        <v>29</v>
      </c>
      <c r="N24" s="67" t="s">
        <v>29</v>
      </c>
      <c r="O24" s="67" t="s">
        <v>29</v>
      </c>
      <c r="P24" s="67" t="s">
        <v>29</v>
      </c>
      <c r="Q24" s="67" t="s">
        <v>29</v>
      </c>
      <c r="R24" s="67" t="s">
        <v>29</v>
      </c>
      <c r="S24" s="67" t="s">
        <v>29</v>
      </c>
      <c r="T24" s="67" t="s">
        <v>29</v>
      </c>
      <c r="U24" s="67" t="s">
        <v>29</v>
      </c>
      <c r="V24" s="67" t="s">
        <v>29</v>
      </c>
      <c r="W24" s="67" t="s">
        <v>29</v>
      </c>
      <c r="X24" s="67" t="s">
        <v>29</v>
      </c>
      <c r="Y24" s="67" t="s">
        <v>29</v>
      </c>
      <c r="Z24" s="62" t="s">
        <v>23</v>
      </c>
      <c r="AA24" s="62" t="s">
        <v>23</v>
      </c>
      <c r="AB24" s="62" t="s">
        <v>23</v>
      </c>
      <c r="AC24" s="62" t="s">
        <v>23</v>
      </c>
      <c r="AD24" s="62" t="s">
        <v>23</v>
      </c>
      <c r="AE24" s="62" t="s">
        <v>23</v>
      </c>
      <c r="AF24" s="62" t="s">
        <v>23</v>
      </c>
      <c r="AG24" s="62" t="s">
        <v>23</v>
      </c>
      <c r="AH24" s="62" t="s">
        <v>23</v>
      </c>
      <c r="AI24" s="62" t="s">
        <v>23</v>
      </c>
      <c r="AJ24" s="67" t="s">
        <v>29</v>
      </c>
      <c r="AK24" s="67" t="s">
        <v>29</v>
      </c>
      <c r="AL24" s="67" t="s">
        <v>29</v>
      </c>
      <c r="AM24" s="62" t="s">
        <v>23</v>
      </c>
      <c r="AN24" s="62" t="s">
        <v>23</v>
      </c>
    </row>
    <row r="25" spans="2:40" x14ac:dyDescent="0.2">
      <c r="B25" s="21" t="s">
        <v>26</v>
      </c>
      <c r="C25" s="16">
        <f>C24*$E$13</f>
        <v>106.25</v>
      </c>
      <c r="D25" s="36">
        <f>D24*$E$13</f>
        <v>7.6499999999999995</v>
      </c>
      <c r="E25" s="49">
        <f t="shared" si="11"/>
        <v>113.9</v>
      </c>
      <c r="G25" s="29"/>
      <c r="H25" s="30"/>
      <c r="I25" s="593" t="str">
        <f t="shared" si="13"/>
        <v>Fernando</v>
      </c>
      <c r="J25" s="594"/>
      <c r="K25" s="67" t="s">
        <v>84</v>
      </c>
      <c r="L25" s="67" t="s">
        <v>84</v>
      </c>
      <c r="M25" s="59" t="s">
        <v>64</v>
      </c>
      <c r="N25" s="58" t="s">
        <v>85</v>
      </c>
      <c r="O25" s="59" t="s">
        <v>64</v>
      </c>
      <c r="P25" s="67" t="s">
        <v>29</v>
      </c>
      <c r="Q25" s="67" t="s">
        <v>29</v>
      </c>
      <c r="R25" s="67" t="s">
        <v>29</v>
      </c>
      <c r="S25" s="67" t="s">
        <v>29</v>
      </c>
      <c r="T25" s="67" t="s">
        <v>29</v>
      </c>
      <c r="U25" s="67" t="s">
        <v>29</v>
      </c>
      <c r="V25" s="67" t="s">
        <v>29</v>
      </c>
      <c r="W25" s="67" t="s">
        <v>29</v>
      </c>
      <c r="X25" s="62" t="s">
        <v>23</v>
      </c>
      <c r="Y25" s="60" t="s">
        <v>72</v>
      </c>
      <c r="Z25" s="60" t="s">
        <v>72</v>
      </c>
      <c r="AA25" s="62" t="s">
        <v>23</v>
      </c>
      <c r="AB25" s="62" t="s">
        <v>23</v>
      </c>
      <c r="AC25" s="62" t="s">
        <v>23</v>
      </c>
      <c r="AD25" s="62" t="s">
        <v>23</v>
      </c>
      <c r="AE25" s="62" t="s">
        <v>23</v>
      </c>
      <c r="AF25" s="60" t="s">
        <v>72</v>
      </c>
      <c r="AG25" s="61" t="s">
        <v>81</v>
      </c>
      <c r="AH25" s="61" t="s">
        <v>81</v>
      </c>
      <c r="AI25" s="61" t="s">
        <v>81</v>
      </c>
      <c r="AJ25" s="67" t="s">
        <v>29</v>
      </c>
      <c r="AK25" s="67" t="s">
        <v>29</v>
      </c>
      <c r="AL25" s="67" t="s">
        <v>29</v>
      </c>
      <c r="AM25" s="62" t="s">
        <v>23</v>
      </c>
      <c r="AN25" s="62" t="s">
        <v>23</v>
      </c>
    </row>
    <row r="26" spans="2:40" x14ac:dyDescent="0.2">
      <c r="B26" s="21" t="s">
        <v>23</v>
      </c>
      <c r="C26" s="16">
        <f>C24*$E$14</f>
        <v>106.25</v>
      </c>
      <c r="D26" s="36">
        <f>D24*$E$14</f>
        <v>7.6499999999999995</v>
      </c>
      <c r="E26" s="49">
        <f t="shared" si="11"/>
        <v>113.9</v>
      </c>
      <c r="G26" s="29"/>
      <c r="H26" s="30"/>
      <c r="I26" s="593" t="str">
        <f t="shared" si="13"/>
        <v>Josiel</v>
      </c>
      <c r="J26" s="594"/>
      <c r="K26" s="67" t="s">
        <v>84</v>
      </c>
      <c r="L26" s="67" t="s">
        <v>84</v>
      </c>
      <c r="M26" s="59" t="s">
        <v>64</v>
      </c>
      <c r="N26" s="58" t="s">
        <v>85</v>
      </c>
      <c r="O26" s="59" t="s">
        <v>64</v>
      </c>
      <c r="P26" s="62" t="s">
        <v>23</v>
      </c>
      <c r="Q26" s="62" t="s">
        <v>23</v>
      </c>
      <c r="R26" s="62" t="s">
        <v>23</v>
      </c>
      <c r="S26" s="62" t="s">
        <v>23</v>
      </c>
      <c r="T26" s="62" t="s">
        <v>23</v>
      </c>
      <c r="U26" s="62" t="s">
        <v>23</v>
      </c>
      <c r="V26" s="62" t="s">
        <v>23</v>
      </c>
      <c r="W26" s="62" t="s">
        <v>23</v>
      </c>
      <c r="X26" s="60" t="s">
        <v>68</v>
      </c>
      <c r="Y26" s="60" t="s">
        <v>68</v>
      </c>
      <c r="Z26" s="60" t="s">
        <v>68</v>
      </c>
      <c r="AA26" s="60" t="s">
        <v>68</v>
      </c>
      <c r="AB26" s="60" t="s">
        <v>68</v>
      </c>
      <c r="AC26" s="60" t="s">
        <v>68</v>
      </c>
      <c r="AD26" s="60" t="s">
        <v>68</v>
      </c>
      <c r="AE26" s="60" t="s">
        <v>68</v>
      </c>
      <c r="AF26" s="60" t="s">
        <v>68</v>
      </c>
      <c r="AG26" s="62" t="s">
        <v>23</v>
      </c>
      <c r="AH26" s="62" t="s">
        <v>23</v>
      </c>
      <c r="AI26" s="62" t="s">
        <v>23</v>
      </c>
      <c r="AJ26" s="67" t="s">
        <v>29</v>
      </c>
      <c r="AK26" s="67" t="s">
        <v>29</v>
      </c>
      <c r="AL26" s="67" t="s">
        <v>29</v>
      </c>
      <c r="AM26" s="67" t="s">
        <v>29</v>
      </c>
      <c r="AN26" s="67" t="s">
        <v>29</v>
      </c>
    </row>
    <row r="27" spans="2:40" x14ac:dyDescent="0.2">
      <c r="B27" s="21" t="s">
        <v>51</v>
      </c>
      <c r="C27" s="16">
        <f>$E$11*$E$15*C20</f>
        <v>60</v>
      </c>
      <c r="D27" s="36">
        <f>$E$11*$E$15*D20</f>
        <v>12</v>
      </c>
      <c r="E27" s="49">
        <f t="shared" si="11"/>
        <v>72</v>
      </c>
      <c r="G27" s="29"/>
      <c r="H27" s="30"/>
      <c r="I27" s="593" t="str">
        <f t="shared" si="13"/>
        <v>Andréa</v>
      </c>
      <c r="J27" s="594"/>
      <c r="K27" s="63" t="s">
        <v>59</v>
      </c>
      <c r="L27" s="63" t="s">
        <v>59</v>
      </c>
      <c r="M27" s="62" t="s">
        <v>23</v>
      </c>
      <c r="N27" s="70" t="s">
        <v>51</v>
      </c>
      <c r="O27" s="70" t="s">
        <v>51</v>
      </c>
      <c r="P27" s="62" t="s">
        <v>23</v>
      </c>
      <c r="Q27" s="62" t="s">
        <v>23</v>
      </c>
      <c r="R27" s="62" t="s">
        <v>23</v>
      </c>
      <c r="S27" s="62" t="s">
        <v>23</v>
      </c>
      <c r="T27" s="62" t="s">
        <v>23</v>
      </c>
      <c r="U27" s="64" t="s">
        <v>73</v>
      </c>
      <c r="V27" s="64" t="s">
        <v>73</v>
      </c>
      <c r="W27" s="64" t="s">
        <v>73</v>
      </c>
      <c r="X27" s="64" t="s">
        <v>73</v>
      </c>
      <c r="Y27" s="64" t="s">
        <v>73</v>
      </c>
      <c r="Z27" s="64" t="s">
        <v>73</v>
      </c>
      <c r="AA27" s="73" t="s">
        <v>86</v>
      </c>
      <c r="AB27" s="64" t="s">
        <v>73</v>
      </c>
      <c r="AC27" s="64" t="s">
        <v>73</v>
      </c>
      <c r="AD27" s="64" t="s">
        <v>73</v>
      </c>
      <c r="AE27" s="64" t="s">
        <v>73</v>
      </c>
      <c r="AF27" s="73" t="s">
        <v>87</v>
      </c>
      <c r="AG27" s="64" t="s">
        <v>73</v>
      </c>
      <c r="AH27" s="64" t="s">
        <v>73</v>
      </c>
      <c r="AI27" s="64" t="s">
        <v>73</v>
      </c>
      <c r="AJ27" s="67" t="s">
        <v>29</v>
      </c>
      <c r="AK27" s="67" t="s">
        <v>29</v>
      </c>
      <c r="AL27" s="67" t="s">
        <v>29</v>
      </c>
      <c r="AM27" s="64" t="s">
        <v>73</v>
      </c>
      <c r="AN27" s="64" t="s">
        <v>73</v>
      </c>
    </row>
    <row r="28" spans="2:40" x14ac:dyDescent="0.2">
      <c r="B28" s="21" t="s">
        <v>1</v>
      </c>
      <c r="C28" s="16">
        <f>$E$11*$E$16*COUNTIF($C$4:$C$9,"=Y")</f>
        <v>60</v>
      </c>
      <c r="D28" s="36">
        <f>$E$11*$E$16*COUNTIF($C$4:$C$9,"=Y")</f>
        <v>60</v>
      </c>
      <c r="E28" s="49">
        <f t="shared" si="11"/>
        <v>120</v>
      </c>
      <c r="G28" s="29"/>
      <c r="H28" s="30"/>
      <c r="I28" s="593" t="str">
        <f t="shared" si="13"/>
        <v>André</v>
      </c>
      <c r="J28" s="594"/>
      <c r="K28" s="67" t="s">
        <v>29</v>
      </c>
      <c r="L28" s="67" t="s">
        <v>29</v>
      </c>
      <c r="M28" s="67" t="s">
        <v>29</v>
      </c>
      <c r="N28" s="67" t="s">
        <v>29</v>
      </c>
      <c r="O28" s="67" t="s">
        <v>29</v>
      </c>
      <c r="P28" s="58" t="s">
        <v>85</v>
      </c>
      <c r="Q28" s="58" t="s">
        <v>85</v>
      </c>
      <c r="R28" s="58" t="s">
        <v>85</v>
      </c>
      <c r="S28" s="58" t="s">
        <v>85</v>
      </c>
      <c r="T28" s="58" t="s">
        <v>85</v>
      </c>
      <c r="U28" s="62" t="s">
        <v>23</v>
      </c>
      <c r="V28" s="62" t="s">
        <v>23</v>
      </c>
      <c r="W28" s="72" t="s">
        <v>23</v>
      </c>
      <c r="X28" s="72" t="s">
        <v>23</v>
      </c>
      <c r="Y28" s="72" t="s">
        <v>23</v>
      </c>
      <c r="Z28" s="65" t="s">
        <v>77</v>
      </c>
      <c r="AA28" s="65" t="s">
        <v>77</v>
      </c>
      <c r="AB28" s="65" t="s">
        <v>77</v>
      </c>
      <c r="AC28" s="65" t="s">
        <v>77</v>
      </c>
      <c r="AD28" s="65" t="s">
        <v>77</v>
      </c>
      <c r="AE28" s="65" t="s">
        <v>77</v>
      </c>
      <c r="AF28" s="74" t="s">
        <v>88</v>
      </c>
      <c r="AG28" s="65" t="s">
        <v>77</v>
      </c>
      <c r="AH28" s="65" t="s">
        <v>77</v>
      </c>
      <c r="AI28" s="65" t="s">
        <v>77</v>
      </c>
      <c r="AJ28" s="67" t="s">
        <v>29</v>
      </c>
      <c r="AK28" s="67" t="s">
        <v>29</v>
      </c>
      <c r="AL28" s="67" t="s">
        <v>29</v>
      </c>
      <c r="AM28" s="65" t="s">
        <v>77</v>
      </c>
      <c r="AN28" s="62" t="s">
        <v>23</v>
      </c>
    </row>
    <row r="29" spans="2:40" x14ac:dyDescent="0.2">
      <c r="B29" s="21" t="s">
        <v>52</v>
      </c>
      <c r="C29" s="16">
        <f>(0.25*C22)+(1*C20)+(4*C20)+(1*C20)</f>
        <v>61.25</v>
      </c>
      <c r="D29" s="36">
        <f>(0.25*D22)+(1*D20)+(4*D20)+(1*D20)</f>
        <v>9</v>
      </c>
      <c r="E29" s="49">
        <f t="shared" si="11"/>
        <v>70.25</v>
      </c>
      <c r="G29" s="29"/>
      <c r="H29" s="30"/>
      <c r="I29" s="593" t="str">
        <f t="shared" si="13"/>
        <v>Marcela</v>
      </c>
      <c r="J29" s="594"/>
      <c r="K29" s="63" t="s">
        <v>59</v>
      </c>
      <c r="L29" s="63" t="s">
        <v>59</v>
      </c>
      <c r="M29" s="62" t="s">
        <v>23</v>
      </c>
      <c r="N29" s="70" t="s">
        <v>51</v>
      </c>
      <c r="O29" s="70" t="s">
        <v>51</v>
      </c>
      <c r="P29" s="70" t="s">
        <v>51</v>
      </c>
      <c r="Q29" s="70" t="s">
        <v>51</v>
      </c>
      <c r="R29" s="63" t="s">
        <v>59</v>
      </c>
      <c r="S29" s="63" t="s">
        <v>59</v>
      </c>
      <c r="T29" s="63" t="s">
        <v>59</v>
      </c>
      <c r="U29" s="63" t="s">
        <v>59</v>
      </c>
      <c r="V29" s="63" t="s">
        <v>59</v>
      </c>
      <c r="W29" s="71" t="s">
        <v>59</v>
      </c>
      <c r="X29" s="62" t="s">
        <v>23</v>
      </c>
      <c r="Y29" s="62" t="s">
        <v>23</v>
      </c>
      <c r="Z29" s="71" t="s">
        <v>89</v>
      </c>
      <c r="AA29" s="65" t="s">
        <v>77</v>
      </c>
      <c r="AB29" s="65" t="s">
        <v>77</v>
      </c>
      <c r="AC29" s="65" t="s">
        <v>77</v>
      </c>
      <c r="AD29" s="65" t="s">
        <v>77</v>
      </c>
      <c r="AE29" s="65" t="s">
        <v>77</v>
      </c>
      <c r="AF29" s="65" t="s">
        <v>77</v>
      </c>
      <c r="AG29" s="65" t="s">
        <v>77</v>
      </c>
      <c r="AH29" s="65" t="s">
        <v>77</v>
      </c>
      <c r="AI29" s="65" t="s">
        <v>77</v>
      </c>
      <c r="AJ29" s="67" t="s">
        <v>29</v>
      </c>
      <c r="AK29" s="67" t="s">
        <v>29</v>
      </c>
      <c r="AL29" s="67" t="s">
        <v>29</v>
      </c>
      <c r="AM29" s="62" t="s">
        <v>23</v>
      </c>
      <c r="AN29" s="62" t="s">
        <v>23</v>
      </c>
    </row>
    <row r="30" spans="2:40" x14ac:dyDescent="0.2">
      <c r="B30" s="21" t="s">
        <v>53</v>
      </c>
      <c r="C30" s="16">
        <f>C24-C25-C26-C27-C28-C29</f>
        <v>456.25</v>
      </c>
      <c r="D30" s="36">
        <f>D24-D25-D26-D27-D28-D29</f>
        <v>-35.1</v>
      </c>
      <c r="E30" s="49">
        <f t="shared" si="11"/>
        <v>421.15</v>
      </c>
      <c r="G30" s="29"/>
      <c r="H30" s="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t="s">
        <v>90</v>
      </c>
      <c r="AB30"/>
      <c r="AC30"/>
      <c r="AD30"/>
      <c r="AE30" t="s">
        <v>91</v>
      </c>
      <c r="AF30"/>
      <c r="AG30"/>
    </row>
    <row r="31" spans="2:40" x14ac:dyDescent="0.2">
      <c r="B31" s="21" t="s">
        <v>54</v>
      </c>
      <c r="C31" s="18">
        <f>IF(C22=0,0,C30/C22)</f>
        <v>3.65</v>
      </c>
      <c r="D31" s="47">
        <f>IF(D22=0,0,D30/D22)</f>
        <v>-2.9250000000000003</v>
      </c>
      <c r="E31" s="50" t="s">
        <v>31</v>
      </c>
      <c r="G31" s="29"/>
      <c r="H31" s="30"/>
      <c r="K31" s="1" t="s">
        <v>92</v>
      </c>
      <c r="Z31" s="1" t="s">
        <v>93</v>
      </c>
    </row>
    <row r="32" spans="2:40" x14ac:dyDescent="0.2">
      <c r="B32" s="21" t="s">
        <v>55</v>
      </c>
      <c r="C32" s="18">
        <v>1</v>
      </c>
      <c r="D32" s="47">
        <f>IF(D31=0,0,C31/D31)</f>
        <v>-1.2478632478632476</v>
      </c>
      <c r="E32" s="50" t="s">
        <v>31</v>
      </c>
      <c r="G32" s="29"/>
      <c r="H32" s="30"/>
      <c r="K32" s="2" t="s">
        <v>94</v>
      </c>
      <c r="W32"/>
      <c r="X32"/>
      <c r="Y32"/>
      <c r="Z32"/>
      <c r="AA32"/>
      <c r="AB32"/>
      <c r="AC32"/>
      <c r="AD32" t="s">
        <v>95</v>
      </c>
      <c r="AE32"/>
      <c r="AF32"/>
      <c r="AG32"/>
    </row>
    <row r="33" spans="1:40" x14ac:dyDescent="0.2">
      <c r="B33" s="7"/>
      <c r="G33" s="29"/>
      <c r="H33" s="3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40" x14ac:dyDescent="0.2">
      <c r="G34" s="29"/>
      <c r="H34" s="3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40" x14ac:dyDescent="0.2">
      <c r="G35" s="29"/>
      <c r="H35" s="30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40" x14ac:dyDescent="0.2">
      <c r="G36" s="29"/>
      <c r="H36" s="30"/>
      <c r="K36" s="592" t="s">
        <v>96</v>
      </c>
      <c r="L36" s="592"/>
      <c r="M36" s="592"/>
      <c r="N36" s="592"/>
      <c r="O36" s="592"/>
      <c r="P36" s="592"/>
      <c r="Q36" s="592"/>
      <c r="R36" s="592"/>
      <c r="S36" s="592"/>
      <c r="T36" s="592"/>
      <c r="U36" s="592"/>
      <c r="V36" s="592"/>
      <c r="W36" s="592"/>
      <c r="X36" s="592"/>
      <c r="Y36" s="592"/>
      <c r="Z36" s="592"/>
      <c r="AA36" s="592"/>
      <c r="AB36" s="592"/>
      <c r="AC36" s="592"/>
      <c r="AD36" s="592"/>
      <c r="AE36" s="592"/>
      <c r="AF36" s="592"/>
      <c r="AG36" s="592"/>
      <c r="AH36" s="592"/>
      <c r="AI36" s="592"/>
      <c r="AJ36" s="592"/>
      <c r="AK36" s="592"/>
      <c r="AL36" s="592"/>
      <c r="AM36" s="592"/>
      <c r="AN36" s="592"/>
    </row>
    <row r="37" spans="1:40" x14ac:dyDescent="0.2">
      <c r="G37" s="29"/>
      <c r="H37" s="30"/>
      <c r="I37"/>
      <c r="J37" s="7"/>
      <c r="K37" s="600" t="s">
        <v>43</v>
      </c>
      <c r="L37" s="601"/>
      <c r="M37" s="601"/>
      <c r="N37" s="601"/>
      <c r="O37" s="602"/>
      <c r="P37" s="600" t="s">
        <v>44</v>
      </c>
      <c r="Q37" s="601"/>
      <c r="R37" s="601"/>
      <c r="S37" s="601"/>
      <c r="T37" s="602"/>
      <c r="U37" s="600" t="s">
        <v>45</v>
      </c>
      <c r="V37" s="601"/>
      <c r="W37" s="601"/>
      <c r="X37" s="601"/>
      <c r="Y37" s="602"/>
      <c r="Z37" s="600" t="s">
        <v>46</v>
      </c>
      <c r="AA37" s="601"/>
      <c r="AB37" s="601"/>
      <c r="AC37" s="601"/>
      <c r="AD37" s="602"/>
      <c r="AE37" s="600" t="s">
        <v>47</v>
      </c>
      <c r="AF37" s="601"/>
      <c r="AG37" s="601"/>
      <c r="AH37" s="601"/>
      <c r="AI37" s="602"/>
      <c r="AJ37" s="600" t="s">
        <v>83</v>
      </c>
      <c r="AK37" s="601"/>
      <c r="AL37" s="601"/>
      <c r="AM37" s="601"/>
      <c r="AN37" s="602"/>
    </row>
    <row r="38" spans="1:40" x14ac:dyDescent="0.2">
      <c r="G38" s="29"/>
      <c r="H38" s="30"/>
      <c r="I38" s="600" t="s">
        <v>49</v>
      </c>
      <c r="J38" s="602"/>
      <c r="K38" s="15">
        <f t="shared" ref="K38:AN38" si="14">$E$17+(7*ROUNDDOWN((COLUMN(K$23)-COLUMN($K$23))/5,0))+MOD(COLUMN(K$23)-COLUMN($K$23),5)</f>
        <v>45299</v>
      </c>
      <c r="L38" s="15">
        <f t="shared" si="14"/>
        <v>45300</v>
      </c>
      <c r="M38" s="15">
        <f t="shared" si="14"/>
        <v>45301</v>
      </c>
      <c r="N38" s="15">
        <f t="shared" si="14"/>
        <v>45302</v>
      </c>
      <c r="O38" s="15">
        <f t="shared" si="14"/>
        <v>45303</v>
      </c>
      <c r="P38" s="15">
        <f t="shared" si="14"/>
        <v>45306</v>
      </c>
      <c r="Q38" s="15">
        <f t="shared" si="14"/>
        <v>45307</v>
      </c>
      <c r="R38" s="15">
        <f t="shared" si="14"/>
        <v>45308</v>
      </c>
      <c r="S38" s="15">
        <f t="shared" si="14"/>
        <v>45309</v>
      </c>
      <c r="T38" s="15">
        <f t="shared" si="14"/>
        <v>45310</v>
      </c>
      <c r="U38" s="15">
        <f t="shared" si="14"/>
        <v>45313</v>
      </c>
      <c r="V38" s="15">
        <f t="shared" si="14"/>
        <v>45314</v>
      </c>
      <c r="W38" s="15">
        <f t="shared" si="14"/>
        <v>45315</v>
      </c>
      <c r="X38" s="15">
        <f t="shared" si="14"/>
        <v>45316</v>
      </c>
      <c r="Y38" s="15">
        <f t="shared" si="14"/>
        <v>45317</v>
      </c>
      <c r="Z38" s="15">
        <f t="shared" si="14"/>
        <v>45320</v>
      </c>
      <c r="AA38" s="15">
        <f t="shared" si="14"/>
        <v>45321</v>
      </c>
      <c r="AB38" s="15">
        <f t="shared" si="14"/>
        <v>45322</v>
      </c>
      <c r="AC38" s="15">
        <f t="shared" si="14"/>
        <v>45323</v>
      </c>
      <c r="AD38" s="15">
        <f t="shared" si="14"/>
        <v>45324</v>
      </c>
      <c r="AE38" s="15">
        <f t="shared" si="14"/>
        <v>45327</v>
      </c>
      <c r="AF38" s="15">
        <f t="shared" si="14"/>
        <v>45328</v>
      </c>
      <c r="AG38" s="15">
        <f t="shared" si="14"/>
        <v>45329</v>
      </c>
      <c r="AH38" s="15">
        <f t="shared" si="14"/>
        <v>45330</v>
      </c>
      <c r="AI38" s="15">
        <f t="shared" si="14"/>
        <v>45331</v>
      </c>
      <c r="AJ38" s="15">
        <f t="shared" si="14"/>
        <v>45334</v>
      </c>
      <c r="AK38" s="15">
        <f t="shared" si="14"/>
        <v>45335</v>
      </c>
      <c r="AL38" s="15">
        <f t="shared" si="14"/>
        <v>45336</v>
      </c>
      <c r="AM38" s="15">
        <f t="shared" si="14"/>
        <v>45337</v>
      </c>
      <c r="AN38" s="15">
        <f t="shared" si="14"/>
        <v>45338</v>
      </c>
    </row>
    <row r="39" spans="1:40" x14ac:dyDescent="0.2">
      <c r="G39" s="29"/>
      <c r="H39" s="30"/>
      <c r="I39" s="593" t="str">
        <f t="shared" ref="I39:I44" si="15">D19</f>
        <v>Interns</v>
      </c>
      <c r="J39" s="594"/>
      <c r="K39" s="67" t="s">
        <v>29</v>
      </c>
      <c r="L39" s="67" t="s">
        <v>29</v>
      </c>
      <c r="M39" s="67" t="s">
        <v>29</v>
      </c>
      <c r="N39" s="67" t="s">
        <v>29</v>
      </c>
      <c r="O39" s="67" t="s">
        <v>29</v>
      </c>
      <c r="P39" s="67" t="s">
        <v>29</v>
      </c>
      <c r="Q39" s="67" t="s">
        <v>29</v>
      </c>
      <c r="R39" s="67" t="s">
        <v>29</v>
      </c>
      <c r="S39" s="67" t="s">
        <v>29</v>
      </c>
      <c r="T39" s="67" t="s">
        <v>29</v>
      </c>
      <c r="U39" s="67" t="s">
        <v>29</v>
      </c>
      <c r="V39" s="67" t="s">
        <v>29</v>
      </c>
      <c r="W39" s="67" t="s">
        <v>29</v>
      </c>
      <c r="X39" s="67" t="s">
        <v>29</v>
      </c>
      <c r="Y39" s="67" t="s">
        <v>29</v>
      </c>
      <c r="Z39" s="62" t="s">
        <v>23</v>
      </c>
      <c r="AA39" s="62" t="s">
        <v>23</v>
      </c>
      <c r="AB39" s="62" t="s">
        <v>23</v>
      </c>
      <c r="AC39" s="62" t="s">
        <v>23</v>
      </c>
      <c r="AD39" s="62" t="s">
        <v>23</v>
      </c>
      <c r="AE39" s="62" t="s">
        <v>23</v>
      </c>
      <c r="AF39" s="62" t="s">
        <v>23</v>
      </c>
      <c r="AG39" s="62" t="s">
        <v>23</v>
      </c>
      <c r="AH39" s="62" t="s">
        <v>23</v>
      </c>
      <c r="AI39" s="62" t="s">
        <v>23</v>
      </c>
      <c r="AJ39" s="67" t="s">
        <v>29</v>
      </c>
      <c r="AK39" s="67" t="s">
        <v>29</v>
      </c>
      <c r="AL39" s="67" t="s">
        <v>29</v>
      </c>
      <c r="AM39" s="62" t="s">
        <v>23</v>
      </c>
      <c r="AN39" s="62" t="s">
        <v>23</v>
      </c>
    </row>
    <row r="40" spans="1:40" x14ac:dyDescent="0.2">
      <c r="G40" s="29"/>
      <c r="H40" s="30"/>
      <c r="I40" s="593">
        <f t="shared" si="15"/>
        <v>1</v>
      </c>
      <c r="J40" s="594"/>
      <c r="K40" s="67" t="s">
        <v>84</v>
      </c>
      <c r="L40" s="67" t="s">
        <v>84</v>
      </c>
      <c r="M40" s="59" t="s">
        <v>64</v>
      </c>
      <c r="N40" s="58" t="s">
        <v>85</v>
      </c>
      <c r="O40" s="59" t="s">
        <v>64</v>
      </c>
      <c r="P40" s="67" t="s">
        <v>29</v>
      </c>
      <c r="Q40" s="67" t="s">
        <v>29</v>
      </c>
      <c r="R40" s="67" t="s">
        <v>29</v>
      </c>
      <c r="S40" s="67" t="s">
        <v>29</v>
      </c>
      <c r="T40" s="67" t="s">
        <v>29</v>
      </c>
      <c r="U40" s="67" t="s">
        <v>29</v>
      </c>
      <c r="V40" s="67" t="s">
        <v>29</v>
      </c>
      <c r="W40" s="67" t="s">
        <v>29</v>
      </c>
      <c r="X40" s="62" t="s">
        <v>23</v>
      </c>
      <c r="Y40" s="60" t="s">
        <v>72</v>
      </c>
      <c r="Z40" s="60" t="s">
        <v>72</v>
      </c>
      <c r="AA40" s="62" t="s">
        <v>23</v>
      </c>
      <c r="AB40" s="62" t="s">
        <v>23</v>
      </c>
      <c r="AC40" s="62" t="s">
        <v>23</v>
      </c>
      <c r="AD40" s="62" t="s">
        <v>23</v>
      </c>
      <c r="AE40" s="62" t="s">
        <v>23</v>
      </c>
      <c r="AF40" s="60" t="s">
        <v>72</v>
      </c>
      <c r="AG40" s="61" t="s">
        <v>81</v>
      </c>
      <c r="AH40" s="61" t="s">
        <v>81</v>
      </c>
      <c r="AI40" s="61" t="s">
        <v>81</v>
      </c>
      <c r="AJ40" s="67" t="s">
        <v>29</v>
      </c>
      <c r="AK40" s="67" t="s">
        <v>29</v>
      </c>
      <c r="AL40" s="67" t="s">
        <v>29</v>
      </c>
      <c r="AM40" s="62" t="s">
        <v>23</v>
      </c>
      <c r="AN40" s="62" t="s">
        <v>23</v>
      </c>
    </row>
    <row r="41" spans="1:40" x14ac:dyDescent="0.2">
      <c r="G41" s="29"/>
      <c r="H41" s="30"/>
      <c r="I41" s="593">
        <f t="shared" si="15"/>
        <v>18</v>
      </c>
      <c r="J41" s="594"/>
      <c r="K41" s="67" t="s">
        <v>84</v>
      </c>
      <c r="L41" s="67" t="s">
        <v>84</v>
      </c>
      <c r="M41" s="59" t="s">
        <v>64</v>
      </c>
      <c r="N41" s="58" t="s">
        <v>85</v>
      </c>
      <c r="O41" s="59" t="s">
        <v>64</v>
      </c>
      <c r="P41" s="62" t="s">
        <v>23</v>
      </c>
      <c r="Q41" s="62" t="s">
        <v>23</v>
      </c>
      <c r="R41" s="62" t="s">
        <v>23</v>
      </c>
      <c r="S41" s="62" t="s">
        <v>23</v>
      </c>
      <c r="T41" s="62" t="s">
        <v>23</v>
      </c>
      <c r="U41" s="62" t="s">
        <v>23</v>
      </c>
      <c r="V41" s="62" t="s">
        <v>23</v>
      </c>
      <c r="W41" s="62" t="s">
        <v>23</v>
      </c>
      <c r="X41" s="60" t="s">
        <v>68</v>
      </c>
      <c r="Y41" s="60" t="s">
        <v>68</v>
      </c>
      <c r="Z41" s="60" t="s">
        <v>68</v>
      </c>
      <c r="AA41" s="60" t="s">
        <v>68</v>
      </c>
      <c r="AB41" s="60" t="s">
        <v>68</v>
      </c>
      <c r="AC41" s="60" t="s">
        <v>68</v>
      </c>
      <c r="AD41" s="60" t="s">
        <v>68</v>
      </c>
      <c r="AE41" s="60" t="s">
        <v>68</v>
      </c>
      <c r="AF41" s="60" t="s">
        <v>68</v>
      </c>
      <c r="AG41" s="62" t="s">
        <v>23</v>
      </c>
      <c r="AH41" s="62" t="s">
        <v>23</v>
      </c>
      <c r="AI41" s="62" t="s">
        <v>23</v>
      </c>
      <c r="AJ41" s="67" t="s">
        <v>29</v>
      </c>
      <c r="AK41" s="67" t="s">
        <v>29</v>
      </c>
      <c r="AL41" s="67" t="s">
        <v>29</v>
      </c>
      <c r="AM41" s="67" t="s">
        <v>29</v>
      </c>
      <c r="AN41" s="67" t="s">
        <v>29</v>
      </c>
    </row>
    <row r="42" spans="1:40" x14ac:dyDescent="0.2">
      <c r="G42" s="29"/>
      <c r="H42" s="30"/>
      <c r="I42" s="593">
        <f t="shared" si="15"/>
        <v>12</v>
      </c>
      <c r="J42" s="594"/>
      <c r="K42" s="63" t="s">
        <v>59</v>
      </c>
      <c r="L42" s="63" t="s">
        <v>59</v>
      </c>
      <c r="M42" s="62" t="s">
        <v>23</v>
      </c>
      <c r="N42" s="70" t="s">
        <v>51</v>
      </c>
      <c r="O42" s="70" t="s">
        <v>51</v>
      </c>
      <c r="P42" s="62" t="s">
        <v>23</v>
      </c>
      <c r="Q42" s="62" t="s">
        <v>23</v>
      </c>
      <c r="R42" s="62" t="s">
        <v>23</v>
      </c>
      <c r="S42" s="62" t="s">
        <v>23</v>
      </c>
      <c r="T42" s="62" t="s">
        <v>23</v>
      </c>
      <c r="U42" s="64" t="s">
        <v>73</v>
      </c>
      <c r="V42" s="64" t="s">
        <v>73</v>
      </c>
      <c r="W42" s="64" t="s">
        <v>73</v>
      </c>
      <c r="X42" s="64" t="s">
        <v>73</v>
      </c>
      <c r="Y42" s="64" t="s">
        <v>73</v>
      </c>
      <c r="Z42" s="64" t="s">
        <v>73</v>
      </c>
      <c r="AA42" s="64" t="s">
        <v>73</v>
      </c>
      <c r="AB42" s="64" t="s">
        <v>73</v>
      </c>
      <c r="AC42" s="64" t="s">
        <v>73</v>
      </c>
      <c r="AD42" s="64" t="s">
        <v>73</v>
      </c>
      <c r="AE42" s="64" t="s">
        <v>73</v>
      </c>
      <c r="AF42" s="64" t="s">
        <v>73</v>
      </c>
      <c r="AG42" s="64" t="s">
        <v>73</v>
      </c>
      <c r="AH42" s="64" t="s">
        <v>73</v>
      </c>
      <c r="AI42" s="64" t="s">
        <v>73</v>
      </c>
      <c r="AJ42" s="67" t="s">
        <v>29</v>
      </c>
      <c r="AK42" s="67" t="s">
        <v>29</v>
      </c>
      <c r="AL42" s="67" t="s">
        <v>29</v>
      </c>
      <c r="AM42" s="64" t="s">
        <v>73</v>
      </c>
      <c r="AN42" s="64" t="s">
        <v>73</v>
      </c>
    </row>
    <row r="43" spans="1:40" x14ac:dyDescent="0.2">
      <c r="G43" s="29"/>
      <c r="H43" s="30"/>
      <c r="I43" s="593">
        <f t="shared" si="15"/>
        <v>5.0999999999999996</v>
      </c>
      <c r="J43" s="594"/>
      <c r="K43" s="67" t="s">
        <v>29</v>
      </c>
      <c r="L43" s="67" t="s">
        <v>29</v>
      </c>
      <c r="M43" s="67" t="s">
        <v>29</v>
      </c>
      <c r="N43" s="67" t="s">
        <v>29</v>
      </c>
      <c r="O43" s="67" t="s">
        <v>29</v>
      </c>
      <c r="P43" s="58" t="s">
        <v>85</v>
      </c>
      <c r="Q43" s="58" t="s">
        <v>85</v>
      </c>
      <c r="R43" s="58" t="s">
        <v>85</v>
      </c>
      <c r="S43" s="58" t="s">
        <v>85</v>
      </c>
      <c r="T43" s="58" t="s">
        <v>85</v>
      </c>
      <c r="U43" s="62" t="s">
        <v>23</v>
      </c>
      <c r="V43" s="62" t="s">
        <v>23</v>
      </c>
      <c r="W43" s="58" t="s">
        <v>85</v>
      </c>
      <c r="X43" s="58" t="s">
        <v>85</v>
      </c>
      <c r="Y43" s="58" t="s">
        <v>85</v>
      </c>
      <c r="Z43" s="65" t="s">
        <v>77</v>
      </c>
      <c r="AA43" s="65" t="s">
        <v>77</v>
      </c>
      <c r="AB43" s="65" t="s">
        <v>77</v>
      </c>
      <c r="AC43" s="65" t="s">
        <v>77</v>
      </c>
      <c r="AD43" s="65" t="s">
        <v>77</v>
      </c>
      <c r="AE43" s="65" t="s">
        <v>77</v>
      </c>
      <c r="AF43" s="65" t="s">
        <v>77</v>
      </c>
      <c r="AG43" s="65" t="s">
        <v>77</v>
      </c>
      <c r="AH43" s="65" t="s">
        <v>77</v>
      </c>
      <c r="AI43" s="65" t="s">
        <v>77</v>
      </c>
      <c r="AJ43" s="67" t="s">
        <v>29</v>
      </c>
      <c r="AK43" s="67" t="s">
        <v>29</v>
      </c>
      <c r="AL43" s="67" t="s">
        <v>29</v>
      </c>
      <c r="AM43" s="65" t="s">
        <v>77</v>
      </c>
      <c r="AN43" s="62" t="s">
        <v>23</v>
      </c>
    </row>
    <row r="44" spans="1:40" x14ac:dyDescent="0.2">
      <c r="G44" s="29"/>
      <c r="H44" s="30"/>
      <c r="I44" s="593">
        <f t="shared" si="15"/>
        <v>61.199999999999996</v>
      </c>
      <c r="J44" s="594"/>
      <c r="K44" s="63" t="s">
        <v>59</v>
      </c>
      <c r="L44" s="63" t="s">
        <v>59</v>
      </c>
      <c r="M44" s="62" t="s">
        <v>23</v>
      </c>
      <c r="N44" s="70" t="s">
        <v>51</v>
      </c>
      <c r="O44" s="70" t="s">
        <v>51</v>
      </c>
      <c r="P44" s="70" t="s">
        <v>51</v>
      </c>
      <c r="Q44" s="70" t="s">
        <v>51</v>
      </c>
      <c r="R44" s="63" t="s">
        <v>59</v>
      </c>
      <c r="S44" s="63" t="s">
        <v>59</v>
      </c>
      <c r="T44" s="63" t="s">
        <v>59</v>
      </c>
      <c r="U44" s="63" t="s">
        <v>59</v>
      </c>
      <c r="V44" s="63" t="s">
        <v>59</v>
      </c>
      <c r="W44" s="62" t="s">
        <v>23</v>
      </c>
      <c r="X44" s="62" t="s">
        <v>23</v>
      </c>
      <c r="Y44" s="62" t="s">
        <v>23</v>
      </c>
      <c r="Z44" s="65" t="s">
        <v>77</v>
      </c>
      <c r="AA44" s="65" t="s">
        <v>77</v>
      </c>
      <c r="AB44" s="65" t="s">
        <v>77</v>
      </c>
      <c r="AC44" s="65" t="s">
        <v>77</v>
      </c>
      <c r="AD44" s="65" t="s">
        <v>77</v>
      </c>
      <c r="AE44" s="65" t="s">
        <v>77</v>
      </c>
      <c r="AF44" s="65" t="s">
        <v>77</v>
      </c>
      <c r="AG44" s="65" t="s">
        <v>77</v>
      </c>
      <c r="AH44" s="65" t="s">
        <v>77</v>
      </c>
      <c r="AI44" s="65" t="s">
        <v>77</v>
      </c>
      <c r="AJ44" s="67" t="s">
        <v>29</v>
      </c>
      <c r="AK44" s="67" t="s">
        <v>29</v>
      </c>
      <c r="AL44" s="67" t="s">
        <v>29</v>
      </c>
      <c r="AM44" s="62" t="s">
        <v>23</v>
      </c>
      <c r="AN44" s="62" t="s">
        <v>23</v>
      </c>
    </row>
    <row r="45" spans="1:40" x14ac:dyDescent="0.2">
      <c r="G45" s="29"/>
      <c r="H45" s="30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40" x14ac:dyDescent="0.2">
      <c r="G46" s="29"/>
      <c r="H46" s="30"/>
      <c r="K46" s="1" t="s">
        <v>92</v>
      </c>
    </row>
    <row r="47" spans="1:40" x14ac:dyDescent="0.2">
      <c r="G47" s="29"/>
      <c r="H47" s="30"/>
      <c r="K47" s="2" t="s">
        <v>94</v>
      </c>
      <c r="W47"/>
      <c r="X47"/>
      <c r="Y47"/>
      <c r="Z47"/>
      <c r="AA47"/>
      <c r="AB47"/>
      <c r="AC47"/>
      <c r="AD47"/>
      <c r="AE47"/>
      <c r="AF47"/>
      <c r="AG47"/>
    </row>
    <row r="48" spans="1:40" ht="16" customHeight="1" x14ac:dyDescent="0.2">
      <c r="A48" s="8"/>
      <c r="G48" s="29"/>
      <c r="H48" s="30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2">
      <c r="A49" s="8"/>
      <c r="G49" s="31"/>
      <c r="H49" s="32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2">
      <c r="A50" s="8"/>
      <c r="G50" s="29"/>
      <c r="H50" s="3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2">
      <c r="G51" s="29"/>
      <c r="H51" s="30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2">
      <c r="G52" s="33"/>
      <c r="H52" s="30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2">
      <c r="G53" s="33"/>
      <c r="H53" s="30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2">
      <c r="G54" s="33"/>
      <c r="H54" s="30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2">
      <c r="G55" s="33"/>
      <c r="H55" s="30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2">
      <c r="G56" s="33"/>
      <c r="H56" s="30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2">
      <c r="G57" s="33"/>
      <c r="H57" s="30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2">
      <c r="G58" s="33"/>
      <c r="H58" s="30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2">
      <c r="G59" s="33"/>
      <c r="H59" s="30"/>
      <c r="L59" s="1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2">
      <c r="G60" s="33"/>
      <c r="H60" s="30"/>
      <c r="L60" s="1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2">
      <c r="G61" s="33"/>
      <c r="H61" s="34"/>
      <c r="O61" s="19"/>
      <c r="R61"/>
      <c r="AB61"/>
    </row>
    <row r="62" spans="1:33" x14ac:dyDescent="0.2">
      <c r="G62" s="33"/>
      <c r="H62" s="34"/>
      <c r="L62" s="19"/>
      <c r="O62" s="19"/>
      <c r="R62"/>
    </row>
    <row r="63" spans="1:33" x14ac:dyDescent="0.2">
      <c r="H63"/>
    </row>
    <row r="65" spans="2:40" x14ac:dyDescent="0.2">
      <c r="G65"/>
    </row>
    <row r="66" spans="2:40" x14ac:dyDescent="0.2">
      <c r="G66"/>
    </row>
    <row r="67" spans="2:40" s="1" customFormat="1" x14ac:dyDescent="0.2">
      <c r="B67"/>
      <c r="C67"/>
      <c r="D67"/>
      <c r="G67"/>
      <c r="H67" s="7"/>
      <c r="AH67"/>
      <c r="AI67"/>
      <c r="AJ67"/>
      <c r="AK67"/>
      <c r="AL67"/>
      <c r="AM67"/>
      <c r="AN67"/>
    </row>
    <row r="68" spans="2:40" s="1" customFormat="1" x14ac:dyDescent="0.2">
      <c r="B68"/>
      <c r="C68"/>
      <c r="D68"/>
      <c r="G68" s="7"/>
      <c r="H68" s="7"/>
      <c r="AH68"/>
      <c r="AI68"/>
      <c r="AJ68"/>
      <c r="AK68"/>
      <c r="AL68"/>
      <c r="AM68"/>
      <c r="AN68"/>
    </row>
    <row r="69" spans="2:40" s="1" customFormat="1" x14ac:dyDescent="0.2">
      <c r="B69"/>
      <c r="C69"/>
      <c r="D69"/>
      <c r="G69" s="7"/>
      <c r="H69" s="7"/>
      <c r="AH69"/>
      <c r="AI69"/>
      <c r="AJ69"/>
      <c r="AK69"/>
      <c r="AL69"/>
      <c r="AM69"/>
      <c r="AN69"/>
    </row>
    <row r="70" spans="2:40" s="1" customFormat="1" x14ac:dyDescent="0.2">
      <c r="B70"/>
      <c r="C70"/>
      <c r="D70"/>
      <c r="G70" s="7"/>
      <c r="H70" s="7"/>
      <c r="AH70"/>
      <c r="AI70"/>
      <c r="AJ70"/>
      <c r="AK70"/>
      <c r="AL70"/>
      <c r="AM70"/>
      <c r="AN70"/>
    </row>
    <row r="71" spans="2:40" s="1" customFormat="1" x14ac:dyDescent="0.2">
      <c r="B71"/>
      <c r="C71"/>
      <c r="D71"/>
      <c r="G71" s="7"/>
      <c r="H71" s="7"/>
      <c r="AH71"/>
      <c r="AI71"/>
      <c r="AJ71"/>
      <c r="AK71"/>
      <c r="AL71"/>
      <c r="AM71"/>
      <c r="AN71"/>
    </row>
    <row r="72" spans="2:40" s="1" customFormat="1" x14ac:dyDescent="0.2">
      <c r="B72"/>
      <c r="C72"/>
      <c r="D72"/>
      <c r="G72" s="7"/>
      <c r="H72" s="7"/>
      <c r="AH72"/>
      <c r="AI72"/>
      <c r="AJ72"/>
      <c r="AK72"/>
      <c r="AL72"/>
      <c r="AM72"/>
      <c r="AN72"/>
    </row>
    <row r="73" spans="2:40" s="1" customFormat="1" x14ac:dyDescent="0.2">
      <c r="B73"/>
      <c r="C73"/>
      <c r="D73"/>
      <c r="G73" s="7"/>
      <c r="H73" s="7"/>
      <c r="AH73"/>
      <c r="AI73"/>
      <c r="AJ73"/>
      <c r="AK73"/>
      <c r="AL73"/>
      <c r="AM73"/>
      <c r="AN73"/>
    </row>
    <row r="74" spans="2:40" s="1" customFormat="1" x14ac:dyDescent="0.2">
      <c r="B74"/>
      <c r="C74"/>
      <c r="D74"/>
      <c r="G74" s="7"/>
      <c r="H74" s="7"/>
      <c r="AH74"/>
      <c r="AI74"/>
      <c r="AJ74"/>
    </row>
    <row r="75" spans="2:40" s="1" customFormat="1" x14ac:dyDescent="0.2">
      <c r="B75"/>
      <c r="C75"/>
      <c r="D75"/>
      <c r="G75" s="7"/>
      <c r="H75" s="7"/>
      <c r="AH75"/>
      <c r="AI75"/>
      <c r="AJ75"/>
    </row>
    <row r="76" spans="2:40" s="1" customFormat="1" x14ac:dyDescent="0.2">
      <c r="B76"/>
      <c r="C76"/>
      <c r="D76"/>
      <c r="G76" s="7"/>
      <c r="H76" s="7"/>
      <c r="AH76"/>
      <c r="AI76"/>
      <c r="AJ76"/>
    </row>
    <row r="77" spans="2:40" x14ac:dyDescent="0.2">
      <c r="AK77" s="1"/>
      <c r="AL77" s="1"/>
      <c r="AM77" s="1"/>
      <c r="AN77" s="1"/>
    </row>
    <row r="78" spans="2:40" x14ac:dyDescent="0.2">
      <c r="AK78" s="1"/>
      <c r="AL78" s="1"/>
      <c r="AM78" s="1"/>
      <c r="AN78" s="1"/>
    </row>
    <row r="79" spans="2:40" x14ac:dyDescent="0.2">
      <c r="AK79" s="1"/>
      <c r="AL79" s="1"/>
      <c r="AM79" s="1"/>
      <c r="AN79" s="1"/>
    </row>
    <row r="80" spans="2:40" x14ac:dyDescent="0.2">
      <c r="AK80" s="1"/>
      <c r="AL80" s="1"/>
      <c r="AM80" s="1"/>
      <c r="AN80" s="1"/>
    </row>
    <row r="81" spans="37:40" x14ac:dyDescent="0.2">
      <c r="AK81" s="1"/>
      <c r="AL81" s="1"/>
      <c r="AM81" s="1"/>
      <c r="AN81" s="1"/>
    </row>
    <row r="82" spans="37:40" x14ac:dyDescent="0.2">
      <c r="AK82" s="1"/>
      <c r="AL82" s="1"/>
      <c r="AM82" s="1"/>
      <c r="AN82" s="1"/>
    </row>
    <row r="83" spans="37:40" x14ac:dyDescent="0.2">
      <c r="AK83" s="1"/>
      <c r="AL83" s="1"/>
      <c r="AM83" s="1"/>
      <c r="AN83" s="1"/>
    </row>
  </sheetData>
  <mergeCells count="71">
    <mergeCell ref="I43:J43"/>
    <mergeCell ref="I44:J44"/>
    <mergeCell ref="I38:J38"/>
    <mergeCell ref="I39:J39"/>
    <mergeCell ref="I40:J40"/>
    <mergeCell ref="I41:J41"/>
    <mergeCell ref="I42:J42"/>
    <mergeCell ref="K36:AN36"/>
    <mergeCell ref="K37:O37"/>
    <mergeCell ref="P37:T37"/>
    <mergeCell ref="U37:Y37"/>
    <mergeCell ref="Z37:AD37"/>
    <mergeCell ref="AE37:AI37"/>
    <mergeCell ref="AJ37:AN37"/>
    <mergeCell ref="Y12:Z12"/>
    <mergeCell ref="Y14:Z14"/>
    <mergeCell ref="Y15:Z15"/>
    <mergeCell ref="T3:X4"/>
    <mergeCell ref="T6:X6"/>
    <mergeCell ref="T7:X7"/>
    <mergeCell ref="T9:X9"/>
    <mergeCell ref="T10:X10"/>
    <mergeCell ref="T11:X11"/>
    <mergeCell ref="T12:X12"/>
    <mergeCell ref="T14:X14"/>
    <mergeCell ref="T15:X15"/>
    <mergeCell ref="Y8:Z8"/>
    <mergeCell ref="Y11:Z11"/>
    <mergeCell ref="Y5:Z5"/>
    <mergeCell ref="Y6:Z6"/>
    <mergeCell ref="Y7:Z7"/>
    <mergeCell ref="Y9:Z9"/>
    <mergeCell ref="Y10:Z10"/>
    <mergeCell ref="AC3:AC4"/>
    <mergeCell ref="AE3:AE4"/>
    <mergeCell ref="AF3:AF4"/>
    <mergeCell ref="D4:E4"/>
    <mergeCell ref="K4:S4"/>
    <mergeCell ref="D3:E3"/>
    <mergeCell ref="I3:S3"/>
    <mergeCell ref="AA3:AA4"/>
    <mergeCell ref="AB3:AB4"/>
    <mergeCell ref="Y3:Z4"/>
    <mergeCell ref="I29:J29"/>
    <mergeCell ref="AJ22:AN22"/>
    <mergeCell ref="I23:J23"/>
    <mergeCell ref="I24:J24"/>
    <mergeCell ref="I25:J25"/>
    <mergeCell ref="I26:J26"/>
    <mergeCell ref="I27:J27"/>
    <mergeCell ref="K22:O22"/>
    <mergeCell ref="P22:T22"/>
    <mergeCell ref="U22:Y22"/>
    <mergeCell ref="Z22:AD22"/>
    <mergeCell ref="AE22:AI22"/>
    <mergeCell ref="AG3:AG4"/>
    <mergeCell ref="B16:D16"/>
    <mergeCell ref="B17:D17"/>
    <mergeCell ref="K21:AN21"/>
    <mergeCell ref="I28:J28"/>
    <mergeCell ref="B12:D12"/>
    <mergeCell ref="B13:D13"/>
    <mergeCell ref="B14:D14"/>
    <mergeCell ref="B15:D15"/>
    <mergeCell ref="D5:E5"/>
    <mergeCell ref="D6:E6"/>
    <mergeCell ref="B11:D11"/>
    <mergeCell ref="D7:E7"/>
    <mergeCell ref="D8:E8"/>
    <mergeCell ref="D9:E9"/>
    <mergeCell ref="AD3:AD4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9FCAD-A3C2-F043-8A72-16FA7993CABF}">
  <sheetPr codeName="Sheet5"/>
  <dimension ref="A1:AN82"/>
  <sheetViews>
    <sheetView showGridLines="0" topLeftCell="O1" zoomScale="130" zoomScaleNormal="130" workbookViewId="0">
      <selection activeCell="AK6" sqref="AK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32" width="10.6640625" style="1" customWidth="1"/>
    <col min="33" max="39" width="10.6640625" customWidth="1"/>
  </cols>
  <sheetData>
    <row r="1" spans="1:40" ht="17" thickBot="1" x14ac:dyDescent="0.25"/>
    <row r="2" spans="1:40" ht="17" thickBot="1" x14ac:dyDescent="0.25">
      <c r="B2" s="644" t="s">
        <v>97</v>
      </c>
      <c r="C2" s="644"/>
      <c r="D2" s="644"/>
      <c r="E2" s="644"/>
      <c r="F2" s="29"/>
      <c r="G2" s="30"/>
      <c r="H2" s="622" t="s">
        <v>98</v>
      </c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</row>
    <row r="3" spans="1:40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5</v>
      </c>
      <c r="T3" s="650" t="s">
        <v>99</v>
      </c>
      <c r="U3" s="651" t="s">
        <v>6</v>
      </c>
      <c r="V3" s="652"/>
      <c r="W3" s="652"/>
      <c r="X3" s="653"/>
      <c r="Y3" s="653" t="s">
        <v>7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0" ht="16" customHeight="1" x14ac:dyDescent="0.2">
      <c r="B4" s="102" t="s">
        <v>13</v>
      </c>
      <c r="C4" s="4" t="s">
        <v>57</v>
      </c>
      <c r="D4" s="598" t="s">
        <v>15</v>
      </c>
      <c r="E4" s="624"/>
      <c r="F4" s="29"/>
      <c r="G4" s="30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</row>
    <row r="5" spans="1:40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</row>
    <row r="6" spans="1:40" ht="16" customHeight="1" x14ac:dyDescent="0.2">
      <c r="A6" s="147"/>
      <c r="B6" s="146" t="s">
        <v>19</v>
      </c>
      <c r="C6" s="4" t="s">
        <v>14</v>
      </c>
      <c r="D6" s="598" t="s">
        <v>71</v>
      </c>
      <c r="E6" s="624"/>
      <c r="F6" s="29"/>
      <c r="G6" s="30"/>
      <c r="H6" s="128" t="s">
        <v>103</v>
      </c>
      <c r="I6" s="154" t="s">
        <v>104</v>
      </c>
      <c r="J6" s="545" t="s">
        <v>105</v>
      </c>
      <c r="K6" s="546"/>
      <c r="L6" s="546"/>
      <c r="M6" s="546"/>
      <c r="N6" s="546"/>
      <c r="O6" s="546"/>
      <c r="P6" s="546"/>
      <c r="Q6" s="546"/>
      <c r="R6" s="547"/>
      <c r="S6" s="108"/>
      <c r="T6" s="126">
        <v>3</v>
      </c>
      <c r="U6" s="276"/>
      <c r="V6" s="277"/>
      <c r="W6" s="277"/>
      <c r="X6" s="549"/>
      <c r="Y6" s="115"/>
      <c r="Z6" s="169">
        <f>IF(OR($E$34=0,T6=0),0,IF($E$34=0,0,ROUNDUP(T6*8/$E$34,0)))</f>
        <v>5</v>
      </c>
      <c r="AA6" s="569" cm="1">
        <f t="array" ref="AA6">CountUniquePeopleByTask($H6,$J$43:$AM$49,$H$43:$I$49)</f>
        <v>1</v>
      </c>
      <c r="AB6" s="84">
        <f t="shared" ref="AB6:AB25" si="0">COUNTIF($J$45:$AM$51,H6)</f>
        <v>0</v>
      </c>
      <c r="AC6" s="38">
        <f t="shared" ref="AC6:AC25" si="1">COUNTIF($J$44:$AM$44,H6)</f>
        <v>0</v>
      </c>
      <c r="AD6" s="38">
        <f t="shared" ref="AD6:AD21" si="2">AB6+AC6</f>
        <v>0</v>
      </c>
      <c r="AE6" s="87">
        <f t="shared" ref="AE6:AE24" si="3">AB6*$C$37+AC6*$D$37</f>
        <v>0</v>
      </c>
      <c r="AF6" s="110">
        <f t="shared" ref="AF6:AF25" si="4">IF(Z6=0,0,AD6/Z6)</f>
        <v>0</v>
      </c>
      <c r="AG6" s="110">
        <f t="shared" ref="AG6:AG25" si="5">IF($AD$26=0,0,AD6/$AD$26)</f>
        <v>0</v>
      </c>
      <c r="AH6" s="578" cm="1">
        <f t="array" ref="AH6">CountUniquePeopleByTask($H6,$J$31:$AM$37,$H$31:$I$37)</f>
        <v>1</v>
      </c>
      <c r="AI6" s="84">
        <f t="shared" ref="AI6:AI25" si="6">COUNTIF($J$32:$AM$38,$H6)</f>
        <v>0</v>
      </c>
      <c r="AJ6" s="38">
        <f t="shared" ref="AJ6:AJ25" si="7">COUNTIF($J$31:$AM$31,$H6)</f>
        <v>6</v>
      </c>
      <c r="AK6" s="38">
        <f t="shared" ref="AK6:AK21" si="8">AI6+AJ6</f>
        <v>6</v>
      </c>
      <c r="AL6" s="87">
        <f t="shared" ref="AL6:AL24" si="9">AI6*$C$37+AJ6*$D$37</f>
        <v>0</v>
      </c>
      <c r="AM6" s="110">
        <f t="shared" ref="AM6:AM25" si="10">IF(AE6=0,0,AL6/AE6)</f>
        <v>0</v>
      </c>
      <c r="AN6" s="81" t="str">
        <f t="shared" ref="AN6:AN25" si="11">IF(AD6=0,"Unplanned",((ABS(AK6-AD6)/AD6)))</f>
        <v>Unplanned</v>
      </c>
    </row>
    <row r="7" spans="1:40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132" t="s">
        <v>106</v>
      </c>
      <c r="I7" s="154" t="s">
        <v>107</v>
      </c>
      <c r="J7" s="408" t="s">
        <v>108</v>
      </c>
      <c r="K7" s="400"/>
      <c r="L7" s="400"/>
      <c r="M7" s="400"/>
      <c r="N7" s="400"/>
      <c r="O7" s="400"/>
      <c r="P7" s="400"/>
      <c r="Q7" s="400"/>
      <c r="R7" s="544"/>
      <c r="S7" s="25"/>
      <c r="T7" s="52">
        <v>19</v>
      </c>
      <c r="U7" s="615"/>
      <c r="V7" s="616"/>
      <c r="W7" s="616"/>
      <c r="X7" s="664"/>
      <c r="Y7" s="113"/>
      <c r="Z7" s="170">
        <f t="shared" ref="Z7:Z25" si="12">IF(OR($E$34=0,T7=0),0,IF($E$34=0,0,ROUNDUP(T7*8/$E$34,0)))</f>
        <v>31</v>
      </c>
      <c r="AA7" s="567" cm="1">
        <f t="array" ref="AA7">CountUniquePeopleByTask($H7,$J$43:$AM$49,$H$43:$I$49)</f>
        <v>2</v>
      </c>
      <c r="AB7" s="84">
        <f t="shared" si="0"/>
        <v>21</v>
      </c>
      <c r="AC7" s="38">
        <f t="shared" si="1"/>
        <v>0</v>
      </c>
      <c r="AD7" s="38">
        <f t="shared" si="2"/>
        <v>21</v>
      </c>
      <c r="AE7" s="87">
        <f t="shared" si="3"/>
        <v>0</v>
      </c>
      <c r="AF7" s="110">
        <f t="shared" si="4"/>
        <v>0.67741935483870963</v>
      </c>
      <c r="AG7" s="79">
        <f t="shared" si="5"/>
        <v>0.11666666666666667</v>
      </c>
      <c r="AH7" s="579" cm="1">
        <f t="array" ref="AH7">CountUniquePeopleByTask($H7,$J$31:$AM$37,$H$31:$I$37)</f>
        <v>2</v>
      </c>
      <c r="AI7" s="84">
        <f t="shared" si="6"/>
        <v>29</v>
      </c>
      <c r="AJ7" s="38">
        <f t="shared" si="7"/>
        <v>0</v>
      </c>
      <c r="AK7" s="38">
        <f t="shared" si="8"/>
        <v>29</v>
      </c>
      <c r="AL7" s="87">
        <f t="shared" si="9"/>
        <v>0</v>
      </c>
      <c r="AM7" s="110">
        <f t="shared" si="10"/>
        <v>0</v>
      </c>
      <c r="AN7" s="81">
        <f t="shared" si="11"/>
        <v>0.38095238095238093</v>
      </c>
    </row>
    <row r="8" spans="1:40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134" t="s">
        <v>109</v>
      </c>
      <c r="I8" s="154" t="s">
        <v>110</v>
      </c>
      <c r="J8" s="276" t="s">
        <v>111</v>
      </c>
      <c r="K8" s="277"/>
      <c r="L8" s="277"/>
      <c r="M8" s="277"/>
      <c r="N8" s="277"/>
      <c r="O8" s="277"/>
      <c r="P8" s="277"/>
      <c r="Q8" s="277"/>
      <c r="R8" s="278"/>
      <c r="S8" s="25"/>
      <c r="T8" s="52">
        <v>21</v>
      </c>
      <c r="U8" s="615"/>
      <c r="V8" s="616"/>
      <c r="W8" s="616"/>
      <c r="X8" s="664"/>
      <c r="Y8" s="113"/>
      <c r="Z8" s="170">
        <f t="shared" si="12"/>
        <v>35</v>
      </c>
      <c r="AA8" s="567" cm="1">
        <f t="array" ref="AA8">CountUniquePeopleByTask($H8,$J$43:$AM$49,$H$43:$I$49)</f>
        <v>2</v>
      </c>
      <c r="AB8" s="84">
        <f t="shared" si="0"/>
        <v>18</v>
      </c>
      <c r="AC8" s="38">
        <f t="shared" si="1"/>
        <v>14</v>
      </c>
      <c r="AD8" s="38">
        <f t="shared" si="2"/>
        <v>32</v>
      </c>
      <c r="AE8" s="87">
        <f t="shared" si="3"/>
        <v>0</v>
      </c>
      <c r="AF8" s="110">
        <f t="shared" si="4"/>
        <v>0.91428571428571426</v>
      </c>
      <c r="AG8" s="81">
        <f t="shared" si="5"/>
        <v>0.17777777777777778</v>
      </c>
      <c r="AH8" s="579" cm="1">
        <f t="array" ref="AH8">CountUniquePeopleByTask($H8,$J$31:$AM$37,$H$31:$I$37)</f>
        <v>3</v>
      </c>
      <c r="AI8" s="84">
        <f t="shared" si="6"/>
        <v>22</v>
      </c>
      <c r="AJ8" s="38">
        <f t="shared" si="7"/>
        <v>10</v>
      </c>
      <c r="AK8" s="38">
        <f t="shared" si="8"/>
        <v>32</v>
      </c>
      <c r="AL8" s="87">
        <f t="shared" si="9"/>
        <v>0</v>
      </c>
      <c r="AM8" s="110">
        <f t="shared" si="10"/>
        <v>0</v>
      </c>
      <c r="AN8" s="81">
        <f t="shared" si="11"/>
        <v>0</v>
      </c>
    </row>
    <row r="9" spans="1:40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130" t="s">
        <v>112</v>
      </c>
      <c r="I9" s="152" t="s">
        <v>113</v>
      </c>
      <c r="J9" s="276" t="s">
        <v>114</v>
      </c>
      <c r="K9" s="277"/>
      <c r="L9" s="277"/>
      <c r="M9" s="277"/>
      <c r="N9" s="277"/>
      <c r="O9" s="277"/>
      <c r="P9" s="277"/>
      <c r="Q9" s="277"/>
      <c r="R9" s="278"/>
      <c r="S9" s="25"/>
      <c r="T9" s="52">
        <v>5</v>
      </c>
      <c r="U9" s="615"/>
      <c r="V9" s="616"/>
      <c r="W9" s="616"/>
      <c r="X9" s="664"/>
      <c r="Y9" s="113"/>
      <c r="Z9" s="170">
        <f t="shared" si="12"/>
        <v>9</v>
      </c>
      <c r="AA9" s="567" cm="1">
        <f t="array" ref="AA9">CountUniquePeopleByTask($H9,$J$43:$AM$49,$H$43:$I$49)</f>
        <v>1</v>
      </c>
      <c r="AB9" s="84">
        <f t="shared" si="0"/>
        <v>6</v>
      </c>
      <c r="AC9" s="38">
        <f t="shared" si="1"/>
        <v>0</v>
      </c>
      <c r="AD9" s="38">
        <f t="shared" si="2"/>
        <v>6</v>
      </c>
      <c r="AE9" s="87">
        <f t="shared" si="3"/>
        <v>0</v>
      </c>
      <c r="AF9" s="110">
        <f t="shared" si="4"/>
        <v>0.66666666666666663</v>
      </c>
      <c r="AG9" s="81">
        <f t="shared" si="5"/>
        <v>3.3333333333333333E-2</v>
      </c>
      <c r="AH9" s="579" cm="1">
        <f t="array" ref="AH9">CountUniquePeopleByTask($H9,$J$31:$AM$37,$H$31:$I$37)</f>
        <v>1</v>
      </c>
      <c r="AI9" s="84">
        <f t="shared" si="6"/>
        <v>4</v>
      </c>
      <c r="AJ9" s="38">
        <f t="shared" si="7"/>
        <v>0</v>
      </c>
      <c r="AK9" s="38">
        <f t="shared" si="8"/>
        <v>4</v>
      </c>
      <c r="AL9" s="87">
        <f t="shared" si="9"/>
        <v>0</v>
      </c>
      <c r="AM9" s="110">
        <f t="shared" si="10"/>
        <v>0</v>
      </c>
      <c r="AN9" s="81">
        <f t="shared" si="11"/>
        <v>0.33333333333333331</v>
      </c>
    </row>
    <row r="10" spans="1:40" ht="17" thickBot="1" x14ac:dyDescent="0.25">
      <c r="B10" s="144" t="s">
        <v>19</v>
      </c>
      <c r="C10" s="145" t="s">
        <v>14</v>
      </c>
      <c r="D10" s="665" t="s">
        <v>115</v>
      </c>
      <c r="E10" s="666"/>
      <c r="F10" s="29"/>
      <c r="G10" s="30"/>
      <c r="H10" s="138" t="s">
        <v>116</v>
      </c>
      <c r="I10" s="153" t="s">
        <v>117</v>
      </c>
      <c r="J10" s="276" t="s">
        <v>118</v>
      </c>
      <c r="K10" s="277"/>
      <c r="L10" s="277"/>
      <c r="M10" s="277"/>
      <c r="N10" s="277"/>
      <c r="O10" s="277"/>
      <c r="P10" s="277"/>
      <c r="Q10" s="277"/>
      <c r="R10" s="278"/>
      <c r="S10" s="25"/>
      <c r="T10" s="52">
        <v>10</v>
      </c>
      <c r="U10" s="615"/>
      <c r="V10" s="616"/>
      <c r="W10" s="616"/>
      <c r="X10" s="664"/>
      <c r="Y10" s="113"/>
      <c r="Z10" s="170">
        <f t="shared" si="12"/>
        <v>17</v>
      </c>
      <c r="AA10" s="567" cm="1">
        <f t="array" ref="AA10">CountUniquePeopleByTask($H10,$J$43:$AM$49,$H$43:$I$49)</f>
        <v>1</v>
      </c>
      <c r="AB10" s="49">
        <f t="shared" si="0"/>
        <v>14</v>
      </c>
      <c r="AC10" s="16">
        <f t="shared" si="1"/>
        <v>0</v>
      </c>
      <c r="AD10" s="16">
        <f t="shared" si="2"/>
        <v>14</v>
      </c>
      <c r="AE10" s="88">
        <f t="shared" si="3"/>
        <v>0</v>
      </c>
      <c r="AF10" s="110">
        <f t="shared" si="4"/>
        <v>0.82352941176470584</v>
      </c>
      <c r="AG10" s="79">
        <f t="shared" si="5"/>
        <v>7.7777777777777779E-2</v>
      </c>
      <c r="AH10" s="579" cm="1">
        <f t="array" ref="AH10">CountUniquePeopleByTask($H10,$J$31:$AM$37,$H$31:$I$37)</f>
        <v>1</v>
      </c>
      <c r="AI10" s="49">
        <f t="shared" si="6"/>
        <v>14</v>
      </c>
      <c r="AJ10" s="16">
        <f t="shared" si="7"/>
        <v>0</v>
      </c>
      <c r="AK10" s="16">
        <f t="shared" si="8"/>
        <v>14</v>
      </c>
      <c r="AL10" s="88">
        <f t="shared" si="9"/>
        <v>0</v>
      </c>
      <c r="AM10" s="110">
        <f t="shared" si="10"/>
        <v>0</v>
      </c>
      <c r="AN10" s="81">
        <f t="shared" si="11"/>
        <v>0</v>
      </c>
    </row>
    <row r="11" spans="1:40" ht="17" thickBot="1" x14ac:dyDescent="0.25">
      <c r="B11" s="7"/>
      <c r="C11" s="7"/>
      <c r="D11" s="1"/>
      <c r="F11" s="29"/>
      <c r="G11" s="30"/>
      <c r="H11" s="141" t="s">
        <v>119</v>
      </c>
      <c r="I11" s="11"/>
      <c r="J11" s="276" t="s">
        <v>120</v>
      </c>
      <c r="K11" s="277"/>
      <c r="L11" s="277"/>
      <c r="M11" s="277"/>
      <c r="N11" s="277"/>
      <c r="O11" s="277"/>
      <c r="P11" s="277"/>
      <c r="Q11" s="277"/>
      <c r="R11" s="278"/>
      <c r="S11" s="25"/>
      <c r="T11" s="52">
        <v>10</v>
      </c>
      <c r="U11" s="615" t="s">
        <v>121</v>
      </c>
      <c r="V11" s="616"/>
      <c r="W11" s="616"/>
      <c r="X11" s="664"/>
      <c r="Y11" s="113"/>
      <c r="Z11" s="170">
        <f t="shared" si="12"/>
        <v>17</v>
      </c>
      <c r="AA11" s="567" cm="1">
        <f t="array" ref="AA11">CountUniquePeopleByTask($H11,$J$43:$AM$49,$H$43:$I$49)</f>
        <v>1</v>
      </c>
      <c r="AB11" s="84">
        <f t="shared" si="0"/>
        <v>11</v>
      </c>
      <c r="AC11" s="38">
        <f t="shared" si="1"/>
        <v>0</v>
      </c>
      <c r="AD11" s="38">
        <f t="shared" si="2"/>
        <v>11</v>
      </c>
      <c r="AE11" s="87">
        <f t="shared" si="3"/>
        <v>0</v>
      </c>
      <c r="AF11" s="110">
        <f t="shared" si="4"/>
        <v>0.6470588235294118</v>
      </c>
      <c r="AG11" s="81">
        <f t="shared" si="5"/>
        <v>6.1111111111111109E-2</v>
      </c>
      <c r="AH11" s="579" cm="1">
        <f t="array" ref="AH11">CountUniquePeopleByTask($H11,$J$31:$AM$37,$H$31:$I$37)</f>
        <v>1</v>
      </c>
      <c r="AI11" s="84">
        <f t="shared" si="6"/>
        <v>16</v>
      </c>
      <c r="AJ11" s="38">
        <f t="shared" si="7"/>
        <v>0</v>
      </c>
      <c r="AK11" s="38">
        <f t="shared" si="8"/>
        <v>16</v>
      </c>
      <c r="AL11" s="87">
        <f t="shared" si="9"/>
        <v>0</v>
      </c>
      <c r="AM11" s="110">
        <f t="shared" si="10"/>
        <v>0</v>
      </c>
      <c r="AN11" s="81">
        <f t="shared" si="11"/>
        <v>0.45454545454545453</v>
      </c>
    </row>
    <row r="12" spans="1:40" ht="17" thickBot="1" x14ac:dyDescent="0.25">
      <c r="B12" s="644" t="s">
        <v>98</v>
      </c>
      <c r="C12" s="644"/>
      <c r="D12" s="644"/>
      <c r="E12" s="644"/>
      <c r="F12" s="29"/>
      <c r="G12" s="30"/>
      <c r="H12" s="149" t="s">
        <v>122</v>
      </c>
      <c r="I12" s="11"/>
      <c r="J12" s="276"/>
      <c r="K12" s="277"/>
      <c r="L12" s="277"/>
      <c r="M12" s="277"/>
      <c r="N12" s="277"/>
      <c r="O12" s="277"/>
      <c r="P12" s="277"/>
      <c r="Q12" s="277"/>
      <c r="R12" s="278"/>
      <c r="S12" s="25"/>
      <c r="T12" s="52">
        <v>0</v>
      </c>
      <c r="U12" s="615" t="s">
        <v>123</v>
      </c>
      <c r="V12" s="616"/>
      <c r="W12" s="616"/>
      <c r="X12" s="664"/>
      <c r="Y12" s="113"/>
      <c r="Z12" s="170">
        <f t="shared" si="12"/>
        <v>0</v>
      </c>
      <c r="AA12" s="567" cm="1">
        <f t="array" ref="AA12">CountUniquePeopleByTask($H12,$J$43:$AM$49,$H$43:$I$49)</f>
        <v>1</v>
      </c>
      <c r="AB12" s="49">
        <f t="shared" si="0"/>
        <v>24</v>
      </c>
      <c r="AC12" s="16">
        <f t="shared" si="1"/>
        <v>0</v>
      </c>
      <c r="AD12" s="16">
        <f t="shared" si="2"/>
        <v>24</v>
      </c>
      <c r="AE12" s="88">
        <f t="shared" si="3"/>
        <v>0</v>
      </c>
      <c r="AF12" s="110">
        <f t="shared" si="4"/>
        <v>0</v>
      </c>
      <c r="AG12" s="79">
        <f t="shared" si="5"/>
        <v>0.13333333333333333</v>
      </c>
      <c r="AH12" s="579" cm="1">
        <f t="array" ref="AH12">CountUniquePeopleByTask($H12,$J$31:$AM$37,$H$31:$I$37)</f>
        <v>1</v>
      </c>
      <c r="AI12" s="49">
        <f t="shared" si="6"/>
        <v>24</v>
      </c>
      <c r="AJ12" s="16">
        <f t="shared" si="7"/>
        <v>0</v>
      </c>
      <c r="AK12" s="16">
        <f t="shared" si="8"/>
        <v>24</v>
      </c>
      <c r="AL12" s="88">
        <f t="shared" si="9"/>
        <v>0</v>
      </c>
      <c r="AM12" s="110">
        <f t="shared" si="10"/>
        <v>0</v>
      </c>
      <c r="AN12" s="81">
        <f t="shared" si="11"/>
        <v>0</v>
      </c>
    </row>
    <row r="13" spans="1:40" x14ac:dyDescent="0.2">
      <c r="B13" s="670" t="s">
        <v>21</v>
      </c>
      <c r="C13" s="591"/>
      <c r="D13" s="591"/>
      <c r="E13" s="93">
        <v>6</v>
      </c>
      <c r="F13" s="29"/>
      <c r="G13" s="30"/>
      <c r="H13" s="582"/>
      <c r="I13" s="11"/>
      <c r="J13" s="276"/>
      <c r="K13" s="277"/>
      <c r="L13" s="277"/>
      <c r="M13" s="277"/>
      <c r="N13" s="277"/>
      <c r="O13" s="277"/>
      <c r="P13" s="277"/>
      <c r="Q13" s="277"/>
      <c r="R13" s="278"/>
      <c r="S13" s="25"/>
      <c r="T13" s="52"/>
      <c r="U13" s="23"/>
      <c r="V13" s="24"/>
      <c r="W13" s="24"/>
      <c r="X13" s="557"/>
      <c r="Y13" s="113"/>
      <c r="Z13" s="170">
        <f t="shared" si="12"/>
        <v>0</v>
      </c>
      <c r="AA13" s="567" t="str" cm="1">
        <f t="array" ref="AA13">CountUniquePeopleByTask($H13,$J$43:$AM$49,$H$43:$I$49)</f>
        <v>-</v>
      </c>
      <c r="AB13" s="49">
        <f t="shared" si="0"/>
        <v>0</v>
      </c>
      <c r="AC13" s="16">
        <f t="shared" si="1"/>
        <v>0</v>
      </c>
      <c r="AD13" s="16">
        <f t="shared" si="2"/>
        <v>0</v>
      </c>
      <c r="AE13" s="88">
        <f t="shared" si="3"/>
        <v>0</v>
      </c>
      <c r="AF13" s="110">
        <f t="shared" si="4"/>
        <v>0</v>
      </c>
      <c r="AG13" s="79">
        <f t="shared" si="5"/>
        <v>0</v>
      </c>
      <c r="AH13" s="579" t="str" cm="1">
        <f t="array" ref="AH13">CountUniquePeopleByTask($H13,$J$31:$AM$37,$H$31:$I$37)</f>
        <v>-</v>
      </c>
      <c r="AI13" s="49">
        <f t="shared" si="6"/>
        <v>0</v>
      </c>
      <c r="AJ13" s="16">
        <f t="shared" si="7"/>
        <v>0</v>
      </c>
      <c r="AK13" s="16">
        <f t="shared" si="8"/>
        <v>0</v>
      </c>
      <c r="AL13" s="88">
        <f t="shared" si="9"/>
        <v>0</v>
      </c>
      <c r="AM13" s="110">
        <f t="shared" si="10"/>
        <v>0</v>
      </c>
      <c r="AN13" s="81" t="str">
        <f t="shared" si="11"/>
        <v>Unplanned</v>
      </c>
    </row>
    <row r="14" spans="1:40" x14ac:dyDescent="0.2">
      <c r="B14" s="671" t="s">
        <v>22</v>
      </c>
      <c r="C14" s="596"/>
      <c r="D14" s="597"/>
      <c r="E14" s="94">
        <v>0.9</v>
      </c>
      <c r="F14" s="29"/>
      <c r="G14" s="30"/>
      <c r="H14" s="582"/>
      <c r="I14" s="11"/>
      <c r="J14" s="276"/>
      <c r="K14" s="277"/>
      <c r="L14" s="277"/>
      <c r="M14" s="277"/>
      <c r="N14" s="277"/>
      <c r="O14" s="277"/>
      <c r="P14" s="277"/>
      <c r="Q14" s="277"/>
      <c r="R14" s="278"/>
      <c r="S14" s="25"/>
      <c r="T14" s="52"/>
      <c r="U14" s="23"/>
      <c r="V14" s="24"/>
      <c r="W14" s="24"/>
      <c r="X14" s="557"/>
      <c r="Y14" s="113"/>
      <c r="Z14" s="170">
        <f t="shared" si="12"/>
        <v>0</v>
      </c>
      <c r="AA14" s="567" t="str" cm="1">
        <f t="array" ref="AA14">CountUniquePeopleByTask($H14,$J$43:$AM$49,$H$43:$I$49)</f>
        <v>-</v>
      </c>
      <c r="AB14" s="49">
        <f t="shared" si="0"/>
        <v>0</v>
      </c>
      <c r="AC14" s="16">
        <f t="shared" si="1"/>
        <v>0</v>
      </c>
      <c r="AD14" s="16">
        <f t="shared" si="2"/>
        <v>0</v>
      </c>
      <c r="AE14" s="88">
        <f t="shared" si="3"/>
        <v>0</v>
      </c>
      <c r="AF14" s="110">
        <f t="shared" si="4"/>
        <v>0</v>
      </c>
      <c r="AG14" s="79">
        <f t="shared" si="5"/>
        <v>0</v>
      </c>
      <c r="AH14" s="579" t="str" cm="1">
        <f t="array" ref="AH14">CountUniquePeopleByTask($H14,$J$31:$AM$37,$H$31:$I$37)</f>
        <v>-</v>
      </c>
      <c r="AI14" s="49">
        <f t="shared" si="6"/>
        <v>0</v>
      </c>
      <c r="AJ14" s="16">
        <f t="shared" si="7"/>
        <v>0</v>
      </c>
      <c r="AK14" s="16">
        <f t="shared" si="8"/>
        <v>0</v>
      </c>
      <c r="AL14" s="88">
        <f t="shared" si="9"/>
        <v>0</v>
      </c>
      <c r="AM14" s="110">
        <f t="shared" si="10"/>
        <v>0</v>
      </c>
      <c r="AN14" s="81" t="str">
        <f t="shared" si="11"/>
        <v>Unplanned</v>
      </c>
    </row>
    <row r="15" spans="1:40" x14ac:dyDescent="0.2">
      <c r="B15" s="671" t="s">
        <v>3</v>
      </c>
      <c r="C15" s="596"/>
      <c r="D15" s="597"/>
      <c r="E15" s="93">
        <v>1</v>
      </c>
      <c r="F15" s="29"/>
      <c r="G15" s="30"/>
      <c r="H15" s="582"/>
      <c r="I15" s="11"/>
      <c r="J15" s="276"/>
      <c r="K15" s="277"/>
      <c r="L15" s="277"/>
      <c r="M15" s="277"/>
      <c r="N15" s="277"/>
      <c r="O15" s="277"/>
      <c r="P15" s="277"/>
      <c r="Q15" s="277"/>
      <c r="R15" s="278"/>
      <c r="S15" s="25"/>
      <c r="T15" s="52"/>
      <c r="U15" s="23"/>
      <c r="V15" s="24"/>
      <c r="W15" s="24"/>
      <c r="X15" s="557"/>
      <c r="Y15" s="113"/>
      <c r="Z15" s="170">
        <f t="shared" si="12"/>
        <v>0</v>
      </c>
      <c r="AA15" s="567" t="str" cm="1">
        <f t="array" ref="AA15">CountUniquePeopleByTask($H15,$J$43:$AM$49,$H$43:$I$49)</f>
        <v>-</v>
      </c>
      <c r="AB15" s="49">
        <f t="shared" si="0"/>
        <v>0</v>
      </c>
      <c r="AC15" s="16">
        <f t="shared" si="1"/>
        <v>0</v>
      </c>
      <c r="AD15" s="16">
        <f t="shared" si="2"/>
        <v>0</v>
      </c>
      <c r="AE15" s="88">
        <f t="shared" si="3"/>
        <v>0</v>
      </c>
      <c r="AF15" s="110">
        <f t="shared" si="4"/>
        <v>0</v>
      </c>
      <c r="AG15" s="79">
        <f t="shared" si="5"/>
        <v>0</v>
      </c>
      <c r="AH15" s="579" t="str" cm="1">
        <f t="array" ref="AH15">CountUniquePeopleByTask($H15,$J$31:$AM$37,$H$31:$I$37)</f>
        <v>-</v>
      </c>
      <c r="AI15" s="49">
        <f t="shared" si="6"/>
        <v>0</v>
      </c>
      <c r="AJ15" s="16">
        <f t="shared" si="7"/>
        <v>0</v>
      </c>
      <c r="AK15" s="16">
        <f t="shared" si="8"/>
        <v>0</v>
      </c>
      <c r="AL15" s="88">
        <f t="shared" si="9"/>
        <v>0</v>
      </c>
      <c r="AM15" s="110">
        <f t="shared" si="10"/>
        <v>0</v>
      </c>
      <c r="AN15" s="81" t="str">
        <f t="shared" si="11"/>
        <v>Unplanned</v>
      </c>
    </row>
    <row r="16" spans="1:40" ht="17" thickBot="1" x14ac:dyDescent="0.25">
      <c r="B16" s="672" t="s">
        <v>34</v>
      </c>
      <c r="C16" s="673"/>
      <c r="D16" s="673"/>
      <c r="E16" s="95">
        <v>45341</v>
      </c>
      <c r="F16" s="29"/>
      <c r="G16" s="30"/>
      <c r="H16" s="582"/>
      <c r="I16" s="11"/>
      <c r="J16" s="276"/>
      <c r="K16" s="277"/>
      <c r="L16" s="277"/>
      <c r="M16" s="277"/>
      <c r="N16" s="277"/>
      <c r="O16" s="277"/>
      <c r="P16" s="277"/>
      <c r="Q16" s="277"/>
      <c r="R16" s="278"/>
      <c r="S16" s="25"/>
      <c r="T16" s="52"/>
      <c r="U16" s="23"/>
      <c r="V16" s="24"/>
      <c r="W16" s="24"/>
      <c r="X16" s="557"/>
      <c r="Y16" s="113"/>
      <c r="Z16" s="170">
        <f t="shared" si="12"/>
        <v>0</v>
      </c>
      <c r="AA16" s="567" t="str" cm="1">
        <f t="array" ref="AA16">CountUniquePeopleByTask($H16,$J$43:$AM$49,$H$43:$I$49)</f>
        <v>-</v>
      </c>
      <c r="AB16" s="49">
        <f t="shared" si="0"/>
        <v>0</v>
      </c>
      <c r="AC16" s="16">
        <f t="shared" si="1"/>
        <v>0</v>
      </c>
      <c r="AD16" s="16">
        <f t="shared" si="2"/>
        <v>0</v>
      </c>
      <c r="AE16" s="88">
        <f t="shared" si="3"/>
        <v>0</v>
      </c>
      <c r="AF16" s="110">
        <f t="shared" si="4"/>
        <v>0</v>
      </c>
      <c r="AG16" s="79">
        <f t="shared" si="5"/>
        <v>0</v>
      </c>
      <c r="AH16" s="579" t="str" cm="1">
        <f t="array" ref="AH16">CountUniquePeopleByTask($H16,$J$31:$AM$37,$H$31:$I$37)</f>
        <v>-</v>
      </c>
      <c r="AI16" s="49">
        <f t="shared" si="6"/>
        <v>0</v>
      </c>
      <c r="AJ16" s="16">
        <f t="shared" si="7"/>
        <v>0</v>
      </c>
      <c r="AK16" s="16">
        <f t="shared" si="8"/>
        <v>0</v>
      </c>
      <c r="AL16" s="88">
        <f t="shared" si="9"/>
        <v>0</v>
      </c>
      <c r="AM16" s="110">
        <f t="shared" si="10"/>
        <v>0</v>
      </c>
      <c r="AN16" s="81" t="str">
        <f t="shared" si="11"/>
        <v>Unplanned</v>
      </c>
    </row>
    <row r="17" spans="2:40" ht="17" customHeight="1" thickBot="1" x14ac:dyDescent="0.25">
      <c r="B17" s="19"/>
      <c r="C17" s="19"/>
      <c r="D17" s="19"/>
      <c r="E17" s="19"/>
      <c r="F17" s="29"/>
      <c r="G17" s="30"/>
      <c r="H17" s="582"/>
      <c r="I17" s="11"/>
      <c r="J17" s="276"/>
      <c r="K17" s="277"/>
      <c r="L17" s="277"/>
      <c r="M17" s="277"/>
      <c r="N17" s="277"/>
      <c r="O17" s="277"/>
      <c r="P17" s="277"/>
      <c r="Q17" s="277"/>
      <c r="R17" s="278"/>
      <c r="S17" s="25"/>
      <c r="T17" s="52"/>
      <c r="U17" s="23"/>
      <c r="V17" s="24"/>
      <c r="W17" s="24"/>
      <c r="X17" s="557"/>
      <c r="Y17" s="113"/>
      <c r="Z17" s="170">
        <f t="shared" si="12"/>
        <v>0</v>
      </c>
      <c r="AA17" s="567" t="str" cm="1">
        <f t="array" ref="AA17">CountUniquePeopleByTask($H17,$J$43:$AM$49,$H$43:$I$49)</f>
        <v>-</v>
      </c>
      <c r="AB17" s="49">
        <f t="shared" si="0"/>
        <v>0</v>
      </c>
      <c r="AC17" s="16">
        <f t="shared" si="1"/>
        <v>0</v>
      </c>
      <c r="AD17" s="16">
        <f t="shared" si="2"/>
        <v>0</v>
      </c>
      <c r="AE17" s="88">
        <f t="shared" si="3"/>
        <v>0</v>
      </c>
      <c r="AF17" s="110">
        <f t="shared" si="4"/>
        <v>0</v>
      </c>
      <c r="AG17" s="79">
        <f t="shared" si="5"/>
        <v>0</v>
      </c>
      <c r="AH17" s="579" t="str" cm="1">
        <f t="array" ref="AH17">CountUniquePeopleByTask($H17,$J$31:$AM$37,$H$31:$I$37)</f>
        <v>-</v>
      </c>
      <c r="AI17" s="49">
        <f t="shared" si="6"/>
        <v>0</v>
      </c>
      <c r="AJ17" s="16">
        <f t="shared" si="7"/>
        <v>0</v>
      </c>
      <c r="AK17" s="16">
        <f t="shared" si="8"/>
        <v>0</v>
      </c>
      <c r="AL17" s="88">
        <f t="shared" si="9"/>
        <v>0</v>
      </c>
      <c r="AM17" s="110">
        <f t="shared" si="10"/>
        <v>0</v>
      </c>
      <c r="AN17" s="81" t="str">
        <f t="shared" si="11"/>
        <v>Unplanned</v>
      </c>
    </row>
    <row r="18" spans="2:40" ht="17" thickBot="1" x14ac:dyDescent="0.25">
      <c r="B18" s="644" t="s">
        <v>128</v>
      </c>
      <c r="C18" s="644"/>
      <c r="D18" s="644"/>
      <c r="E18" s="644" t="s">
        <v>128</v>
      </c>
      <c r="F18" s="29"/>
      <c r="G18" s="30"/>
      <c r="H18" s="582"/>
      <c r="I18" s="11"/>
      <c r="J18" s="276"/>
      <c r="K18" s="277"/>
      <c r="L18" s="277"/>
      <c r="M18" s="277"/>
      <c r="N18" s="277"/>
      <c r="O18" s="277"/>
      <c r="P18" s="277"/>
      <c r="Q18" s="277"/>
      <c r="R18" s="278"/>
      <c r="S18" s="25"/>
      <c r="T18" s="52"/>
      <c r="U18" s="23"/>
      <c r="V18" s="24"/>
      <c r="W18" s="24"/>
      <c r="X18" s="557"/>
      <c r="Y18" s="113"/>
      <c r="Z18" s="170">
        <f t="shared" si="12"/>
        <v>0</v>
      </c>
      <c r="AA18" s="567" t="str" cm="1">
        <f t="array" ref="AA18">CountUniquePeopleByTask($H18,$J$43:$AM$49,$H$43:$I$49)</f>
        <v>-</v>
      </c>
      <c r="AB18" s="85">
        <f t="shared" si="0"/>
        <v>0</v>
      </c>
      <c r="AC18" s="44">
        <f t="shared" si="1"/>
        <v>0</v>
      </c>
      <c r="AD18" s="44">
        <f t="shared" si="2"/>
        <v>0</v>
      </c>
      <c r="AE18" s="89">
        <f t="shared" si="3"/>
        <v>0</v>
      </c>
      <c r="AF18" s="110">
        <f t="shared" si="4"/>
        <v>0</v>
      </c>
      <c r="AG18" s="79">
        <f t="shared" si="5"/>
        <v>0</v>
      </c>
      <c r="AH18" s="579" t="str" cm="1">
        <f t="array" ref="AH18">CountUniquePeopleByTask($H18,$J$31:$AM$37,$H$31:$I$37)</f>
        <v>-</v>
      </c>
      <c r="AI18" s="85">
        <f t="shared" si="6"/>
        <v>0</v>
      </c>
      <c r="AJ18" s="44">
        <f t="shared" si="7"/>
        <v>0</v>
      </c>
      <c r="AK18" s="44">
        <f t="shared" si="8"/>
        <v>0</v>
      </c>
      <c r="AL18" s="89">
        <f t="shared" si="9"/>
        <v>0</v>
      </c>
      <c r="AM18" s="110">
        <f t="shared" si="10"/>
        <v>0</v>
      </c>
      <c r="AN18" s="81" t="str">
        <f t="shared" si="11"/>
        <v>Unplanned</v>
      </c>
    </row>
    <row r="19" spans="2:40" x14ac:dyDescent="0.2">
      <c r="B19" s="670" t="s">
        <v>28</v>
      </c>
      <c r="C19" s="591"/>
      <c r="D19" s="591"/>
      <c r="E19" s="93">
        <v>2</v>
      </c>
      <c r="F19" s="29"/>
      <c r="G19" s="30"/>
      <c r="H19" s="582"/>
      <c r="I19" s="11"/>
      <c r="J19" s="276"/>
      <c r="K19" s="277"/>
      <c r="L19" s="277"/>
      <c r="M19" s="277"/>
      <c r="N19" s="277"/>
      <c r="O19" s="277"/>
      <c r="P19" s="277"/>
      <c r="Q19" s="277"/>
      <c r="R19" s="278"/>
      <c r="S19" s="25"/>
      <c r="T19" s="52"/>
      <c r="U19" s="23"/>
      <c r="V19" s="24"/>
      <c r="W19" s="24"/>
      <c r="X19" s="557"/>
      <c r="Y19" s="113"/>
      <c r="Z19" s="170">
        <f t="shared" si="12"/>
        <v>0</v>
      </c>
      <c r="AA19" s="567" t="str" cm="1">
        <f t="array" ref="AA19">CountUniquePeopleByTask($H19,$J$43:$AM$49,$H$43:$I$49)</f>
        <v>-</v>
      </c>
      <c r="AB19" s="85">
        <f t="shared" si="0"/>
        <v>0</v>
      </c>
      <c r="AC19" s="44">
        <f t="shared" si="1"/>
        <v>0</v>
      </c>
      <c r="AD19" s="44">
        <f t="shared" si="2"/>
        <v>0</v>
      </c>
      <c r="AE19" s="89">
        <f t="shared" si="3"/>
        <v>0</v>
      </c>
      <c r="AF19" s="110">
        <f t="shared" si="4"/>
        <v>0</v>
      </c>
      <c r="AG19" s="79">
        <f t="shared" si="5"/>
        <v>0</v>
      </c>
      <c r="AH19" s="579" t="str" cm="1">
        <f t="array" ref="AH19">CountUniquePeopleByTask($H19,$J$31:$AM$37,$H$31:$I$37)</f>
        <v>-</v>
      </c>
      <c r="AI19" s="85">
        <f t="shared" si="6"/>
        <v>0</v>
      </c>
      <c r="AJ19" s="44">
        <f t="shared" si="7"/>
        <v>0</v>
      </c>
      <c r="AK19" s="44">
        <f t="shared" si="8"/>
        <v>0</v>
      </c>
      <c r="AL19" s="89">
        <f t="shared" si="9"/>
        <v>0</v>
      </c>
      <c r="AM19" s="110">
        <f t="shared" si="10"/>
        <v>0</v>
      </c>
      <c r="AN19" s="81" t="str">
        <f t="shared" si="11"/>
        <v>Unplanned</v>
      </c>
    </row>
    <row r="20" spans="2:40" ht="17" thickBot="1" x14ac:dyDescent="0.25">
      <c r="B20" s="672" t="s">
        <v>32</v>
      </c>
      <c r="C20" s="673"/>
      <c r="D20" s="673"/>
      <c r="E20" s="96">
        <v>2</v>
      </c>
      <c r="F20" s="29"/>
      <c r="G20" s="30"/>
      <c r="H20" s="582"/>
      <c r="I20" s="11"/>
      <c r="J20" s="276"/>
      <c r="K20" s="277"/>
      <c r="L20" s="277"/>
      <c r="M20" s="277"/>
      <c r="N20" s="277"/>
      <c r="O20" s="277"/>
      <c r="P20" s="277"/>
      <c r="Q20" s="277"/>
      <c r="R20" s="278"/>
      <c r="S20" s="25"/>
      <c r="T20" s="52"/>
      <c r="U20" s="23"/>
      <c r="V20" s="24"/>
      <c r="W20" s="24"/>
      <c r="X20" s="557"/>
      <c r="Y20" s="113"/>
      <c r="Z20" s="170">
        <f t="shared" si="12"/>
        <v>0</v>
      </c>
      <c r="AA20" s="567" t="str" cm="1">
        <f t="array" ref="AA20">CountUniquePeopleByTask($H20,$J$43:$AM$49,$H$43:$I$49)</f>
        <v>-</v>
      </c>
      <c r="AB20" s="85">
        <f t="shared" si="0"/>
        <v>0</v>
      </c>
      <c r="AC20" s="44">
        <f t="shared" si="1"/>
        <v>0</v>
      </c>
      <c r="AD20" s="44">
        <f t="shared" si="2"/>
        <v>0</v>
      </c>
      <c r="AE20" s="89">
        <f t="shared" si="3"/>
        <v>0</v>
      </c>
      <c r="AF20" s="110">
        <f t="shared" si="4"/>
        <v>0</v>
      </c>
      <c r="AG20" s="79">
        <f t="shared" si="5"/>
        <v>0</v>
      </c>
      <c r="AH20" s="579" t="str" cm="1">
        <f t="array" ref="AH20">CountUniquePeopleByTask($H20,$J$31:$AM$37,$H$31:$I$37)</f>
        <v>-</v>
      </c>
      <c r="AI20" s="85">
        <f t="shared" si="6"/>
        <v>0</v>
      </c>
      <c r="AJ20" s="44">
        <f t="shared" si="7"/>
        <v>0</v>
      </c>
      <c r="AK20" s="44">
        <f t="shared" si="8"/>
        <v>0</v>
      </c>
      <c r="AL20" s="89">
        <f t="shared" si="9"/>
        <v>0</v>
      </c>
      <c r="AM20" s="110">
        <f t="shared" si="10"/>
        <v>0</v>
      </c>
      <c r="AN20" s="81" t="str">
        <f t="shared" si="11"/>
        <v>Unplanned</v>
      </c>
    </row>
    <row r="21" spans="2:40" ht="17" thickBot="1" x14ac:dyDescent="0.25">
      <c r="B21" s="19"/>
      <c r="C21" s="19"/>
      <c r="D21" s="19"/>
      <c r="E21" s="19"/>
      <c r="F21" s="29"/>
      <c r="G21" s="30"/>
      <c r="H21" s="140" t="s">
        <v>51</v>
      </c>
      <c r="I21" s="11"/>
      <c r="J21" s="276"/>
      <c r="K21" s="277"/>
      <c r="L21" s="277"/>
      <c r="M21" s="277"/>
      <c r="N21" s="277"/>
      <c r="O21" s="277"/>
      <c r="P21" s="277"/>
      <c r="Q21" s="277"/>
      <c r="R21" s="278"/>
      <c r="S21" s="25"/>
      <c r="T21" s="52">
        <v>0</v>
      </c>
      <c r="U21" s="615" t="s">
        <v>124</v>
      </c>
      <c r="V21" s="616"/>
      <c r="W21" s="616"/>
      <c r="X21" s="664"/>
      <c r="Y21" s="113"/>
      <c r="Z21" s="170">
        <f t="shared" si="12"/>
        <v>0</v>
      </c>
      <c r="AA21" s="567" cm="1">
        <f t="array" ref="AA21">CountUniquePeopleByTask($H21,$J$43:$AM$49,$H$43:$I$49)</f>
        <v>2</v>
      </c>
      <c r="AB21" s="85">
        <f t="shared" si="0"/>
        <v>2</v>
      </c>
      <c r="AC21" s="44">
        <f t="shared" si="1"/>
        <v>0</v>
      </c>
      <c r="AD21" s="44">
        <f t="shared" si="2"/>
        <v>2</v>
      </c>
      <c r="AE21" s="89">
        <f t="shared" si="3"/>
        <v>0</v>
      </c>
      <c r="AF21" s="110">
        <f t="shared" si="4"/>
        <v>0</v>
      </c>
      <c r="AG21" s="79">
        <f t="shared" si="5"/>
        <v>1.1111111111111112E-2</v>
      </c>
      <c r="AH21" s="579" cm="1">
        <f t="array" ref="AH21">CountUniquePeopleByTask($H21,$J$31:$AM$37,$H$31:$I$37)</f>
        <v>2</v>
      </c>
      <c r="AI21" s="85">
        <f t="shared" si="6"/>
        <v>2</v>
      </c>
      <c r="AJ21" s="44">
        <f t="shared" si="7"/>
        <v>3</v>
      </c>
      <c r="AK21" s="44">
        <f t="shared" si="8"/>
        <v>5</v>
      </c>
      <c r="AL21" s="89">
        <f t="shared" si="9"/>
        <v>0</v>
      </c>
      <c r="AM21" s="110">
        <f t="shared" si="10"/>
        <v>0</v>
      </c>
      <c r="AN21" s="81">
        <f t="shared" si="11"/>
        <v>1.5</v>
      </c>
    </row>
    <row r="22" spans="2:40" ht="17" thickBot="1" x14ac:dyDescent="0.25">
      <c r="B22" s="677" t="s">
        <v>54</v>
      </c>
      <c r="C22" s="678"/>
      <c r="D22" s="678"/>
      <c r="E22" s="679"/>
      <c r="F22" s="29"/>
      <c r="G22" s="30"/>
      <c r="H22" s="136" t="s">
        <v>62</v>
      </c>
      <c r="I22" s="11"/>
      <c r="J22" s="276"/>
      <c r="K22" s="277"/>
      <c r="L22" s="277"/>
      <c r="M22" s="277"/>
      <c r="N22" s="277"/>
      <c r="O22" s="277"/>
      <c r="P22" s="277"/>
      <c r="Q22" s="277"/>
      <c r="R22" s="278"/>
      <c r="S22" s="25"/>
      <c r="T22" s="52">
        <v>0</v>
      </c>
      <c r="U22" s="615" t="s">
        <v>125</v>
      </c>
      <c r="V22" s="616"/>
      <c r="W22" s="616"/>
      <c r="X22" s="664"/>
      <c r="Y22" s="113"/>
      <c r="Z22" s="170">
        <f t="shared" si="12"/>
        <v>0</v>
      </c>
      <c r="AA22" s="567" cm="1">
        <f t="array" ref="AA22">CountUniquePeopleByTask($H22,$J$43:$AM$49,$H$43:$I$49)</f>
        <v>5</v>
      </c>
      <c r="AB22" s="85">
        <f t="shared" si="0"/>
        <v>14</v>
      </c>
      <c r="AC22" s="44">
        <f t="shared" si="1"/>
        <v>4</v>
      </c>
      <c r="AD22" s="16">
        <f>AB22+AC22</f>
        <v>18</v>
      </c>
      <c r="AE22" s="90">
        <f t="shared" si="3"/>
        <v>0</v>
      </c>
      <c r="AF22" s="110">
        <f t="shared" si="4"/>
        <v>0</v>
      </c>
      <c r="AG22" s="80">
        <f t="shared" si="5"/>
        <v>0.1</v>
      </c>
      <c r="AH22" s="579" cm="1">
        <f t="array" ref="AH22">CountUniquePeopleByTask($H22,$J$31:$AM$37,$H$31:$I$37)</f>
        <v>5</v>
      </c>
      <c r="AI22" s="85">
        <f t="shared" si="6"/>
        <v>18</v>
      </c>
      <c r="AJ22" s="44">
        <f t="shared" si="7"/>
        <v>0</v>
      </c>
      <c r="AK22" s="16">
        <f>AI22+AJ22</f>
        <v>18</v>
      </c>
      <c r="AL22" s="90">
        <f t="shared" si="9"/>
        <v>0</v>
      </c>
      <c r="AM22" s="110">
        <f t="shared" si="10"/>
        <v>0</v>
      </c>
      <c r="AN22" s="81">
        <f t="shared" si="11"/>
        <v>0</v>
      </c>
    </row>
    <row r="23" spans="2:40" x14ac:dyDescent="0.2">
      <c r="B23" s="97"/>
      <c r="C23" s="92" t="s">
        <v>37</v>
      </c>
      <c r="D23" s="75" t="s">
        <v>38</v>
      </c>
      <c r="E23" s="98" t="s">
        <v>39</v>
      </c>
      <c r="F23" s="29"/>
      <c r="G23" s="30"/>
      <c r="H23" s="103" t="s">
        <v>23</v>
      </c>
      <c r="I23" s="11"/>
      <c r="J23" s="276" t="s">
        <v>24</v>
      </c>
      <c r="K23" s="277"/>
      <c r="L23" s="277"/>
      <c r="M23" s="277"/>
      <c r="N23" s="277"/>
      <c r="O23" s="277"/>
      <c r="P23" s="277"/>
      <c r="Q23" s="277"/>
      <c r="R23" s="278"/>
      <c r="S23" s="25"/>
      <c r="T23" s="52">
        <v>0</v>
      </c>
      <c r="U23" s="615"/>
      <c r="V23" s="616"/>
      <c r="W23" s="616"/>
      <c r="X23" s="664"/>
      <c r="Y23" s="113"/>
      <c r="Z23" s="242">
        <f t="shared" si="12"/>
        <v>0</v>
      </c>
      <c r="AA23" s="567" cm="1">
        <f t="array" ref="AA23">CountUniquePeopleByTask($H23,$J$43:$AM$49,$H$43:$I$49)</f>
        <v>6</v>
      </c>
      <c r="AB23" s="49">
        <f t="shared" si="0"/>
        <v>25</v>
      </c>
      <c r="AC23" s="16">
        <f t="shared" si="1"/>
        <v>5</v>
      </c>
      <c r="AD23" s="38">
        <f>AB23+AC23</f>
        <v>30</v>
      </c>
      <c r="AE23" s="87">
        <f t="shared" si="3"/>
        <v>0</v>
      </c>
      <c r="AF23" s="110">
        <f t="shared" si="4"/>
        <v>0</v>
      </c>
      <c r="AG23" s="79">
        <f t="shared" si="5"/>
        <v>0.16666666666666666</v>
      </c>
      <c r="AH23" s="579" cm="1">
        <f t="array" ref="AH23">CountUniquePeopleByTask($H23,$J$31:$AM$37,$H$31:$I$37)</f>
        <v>6</v>
      </c>
      <c r="AI23" s="49">
        <f t="shared" si="6"/>
        <v>29</v>
      </c>
      <c r="AJ23" s="16">
        <f t="shared" si="7"/>
        <v>10</v>
      </c>
      <c r="AK23" s="38">
        <f>AI23+AJ23</f>
        <v>39</v>
      </c>
      <c r="AL23" s="87">
        <f t="shared" si="9"/>
        <v>0</v>
      </c>
      <c r="AM23" s="110">
        <f t="shared" si="10"/>
        <v>0</v>
      </c>
      <c r="AN23" s="81">
        <f t="shared" si="11"/>
        <v>0.3</v>
      </c>
    </row>
    <row r="24" spans="2:40" x14ac:dyDescent="0.2">
      <c r="B24" s="97" t="s">
        <v>40</v>
      </c>
      <c r="C24" s="16">
        <f>COUNTIF($B$4:$B$10,"=D")</f>
        <v>6</v>
      </c>
      <c r="D24" s="36">
        <f>COUNTIF($B$4:$B$10,"=I")</f>
        <v>1</v>
      </c>
      <c r="E24" s="99">
        <f>C24+D24</f>
        <v>7</v>
      </c>
      <c r="F24" s="29"/>
      <c r="G24" s="30"/>
      <c r="H24" s="104" t="s">
        <v>126</v>
      </c>
      <c r="I24" s="11"/>
      <c r="J24" s="408" t="s">
        <v>27</v>
      </c>
      <c r="K24" s="400"/>
      <c r="L24" s="400"/>
      <c r="M24" s="400"/>
      <c r="N24" s="400"/>
      <c r="O24" s="400"/>
      <c r="P24" s="400"/>
      <c r="Q24" s="400"/>
      <c r="R24" s="544"/>
      <c r="S24" s="25"/>
      <c r="T24" s="52">
        <v>0</v>
      </c>
      <c r="U24" s="615"/>
      <c r="V24" s="616"/>
      <c r="W24" s="616"/>
      <c r="X24" s="664"/>
      <c r="Y24" s="113"/>
      <c r="Z24" s="170">
        <f t="shared" si="12"/>
        <v>0</v>
      </c>
      <c r="AA24" s="567" cm="1">
        <f t="array" ref="AA24">CountUniquePeopleByTask($H24,$J$43:$AM$49,$H$43:$I$49)</f>
        <v>0</v>
      </c>
      <c r="AB24" s="49">
        <f t="shared" si="0"/>
        <v>0</v>
      </c>
      <c r="AC24" s="16">
        <f t="shared" si="1"/>
        <v>0</v>
      </c>
      <c r="AD24" s="16">
        <f>AB24+AC24</f>
        <v>0</v>
      </c>
      <c r="AE24" s="88">
        <f t="shared" si="3"/>
        <v>0</v>
      </c>
      <c r="AF24" s="110">
        <f t="shared" si="4"/>
        <v>0</v>
      </c>
      <c r="AG24" s="79">
        <f t="shared" si="5"/>
        <v>0</v>
      </c>
      <c r="AH24" s="579" cm="1">
        <f t="array" ref="AH24">CountUniquePeopleByTask($H24,$J$31:$AM$37,$H$31:$I$37)</f>
        <v>0</v>
      </c>
      <c r="AI24" s="49">
        <f t="shared" si="6"/>
        <v>0</v>
      </c>
      <c r="AJ24" s="16">
        <f t="shared" si="7"/>
        <v>0</v>
      </c>
      <c r="AK24" s="16">
        <f>AI24+AJ24</f>
        <v>0</v>
      </c>
      <c r="AL24" s="88">
        <f t="shared" si="9"/>
        <v>0</v>
      </c>
      <c r="AM24" s="110">
        <f t="shared" si="10"/>
        <v>0</v>
      </c>
      <c r="AN24" s="81" t="str">
        <f t="shared" si="11"/>
        <v>Unplanned</v>
      </c>
    </row>
    <row r="25" spans="2:40" ht="17" thickBot="1" x14ac:dyDescent="0.25">
      <c r="B25" s="100" t="s">
        <v>42</v>
      </c>
      <c r="C25" s="16">
        <f>($E$13*5*C24)</f>
        <v>180</v>
      </c>
      <c r="D25" s="36">
        <f>($E$13*5*D24)</f>
        <v>30</v>
      </c>
      <c r="E25" s="99">
        <f t="shared" ref="E25:E32" si="13">C25+D25</f>
        <v>210</v>
      </c>
      <c r="F25" s="29"/>
      <c r="G25" s="30"/>
      <c r="H25" s="105" t="s">
        <v>29</v>
      </c>
      <c r="I25" s="106"/>
      <c r="J25" s="409" t="s">
        <v>127</v>
      </c>
      <c r="K25" s="410"/>
      <c r="L25" s="410"/>
      <c r="M25" s="410"/>
      <c r="N25" s="410"/>
      <c r="O25" s="410"/>
      <c r="P25" s="410"/>
      <c r="Q25" s="410"/>
      <c r="R25" s="548"/>
      <c r="S25" s="107"/>
      <c r="T25" s="127">
        <v>0</v>
      </c>
      <c r="U25" s="680"/>
      <c r="V25" s="681"/>
      <c r="W25" s="681"/>
      <c r="X25" s="682"/>
      <c r="Y25" s="114"/>
      <c r="Z25" s="41">
        <f t="shared" si="12"/>
        <v>0</v>
      </c>
      <c r="AA25" s="568" cm="1">
        <f t="array" ref="AA25">CountUniquePeopleByTask($H25,$J$43:$AM$49,$H$43:$I$49)</f>
        <v>7</v>
      </c>
      <c r="AB25" s="86">
        <f t="shared" si="0"/>
        <v>15</v>
      </c>
      <c r="AC25" s="41">
        <f t="shared" si="1"/>
        <v>7</v>
      </c>
      <c r="AD25" s="41">
        <f>AB25+AC25</f>
        <v>22</v>
      </c>
      <c r="AE25" s="91">
        <f>AB25*8+AC25*6</f>
        <v>162</v>
      </c>
      <c r="AF25" s="43">
        <f t="shared" si="4"/>
        <v>0</v>
      </c>
      <c r="AG25" s="174">
        <f t="shared" si="5"/>
        <v>0.12222222222222222</v>
      </c>
      <c r="AH25" s="580" cm="1">
        <f t="array" ref="AH25">CountUniquePeopleByTask($H25,$J$31:$AM$37,$H$31:$I$37)</f>
        <v>7</v>
      </c>
      <c r="AI25" s="86">
        <f t="shared" si="6"/>
        <v>22</v>
      </c>
      <c r="AJ25" s="41">
        <f t="shared" si="7"/>
        <v>1</v>
      </c>
      <c r="AK25" s="41">
        <f>AI25+AJ25</f>
        <v>23</v>
      </c>
      <c r="AL25" s="91">
        <f>AI25*8+AJ25*6</f>
        <v>182</v>
      </c>
      <c r="AM25" s="43">
        <f t="shared" si="10"/>
        <v>1.1234567901234569</v>
      </c>
      <c r="AN25" s="81">
        <f t="shared" si="11"/>
        <v>4.5454545454545456E-2</v>
      </c>
    </row>
    <row r="26" spans="2:40" ht="17" thickBot="1" x14ac:dyDescent="0.25">
      <c r="B26" s="97" t="s">
        <v>48</v>
      </c>
      <c r="C26" s="16">
        <f>8*$E$14</f>
        <v>7.2</v>
      </c>
      <c r="D26" s="36">
        <f>6*$E$14</f>
        <v>5.4</v>
      </c>
      <c r="E26" s="99" t="s">
        <v>31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114</v>
      </c>
      <c r="AA26"/>
      <c r="AB26"/>
      <c r="AC26"/>
      <c r="AD26" s="82">
        <f>SUM(AD6:AD25)</f>
        <v>180</v>
      </c>
      <c r="AE26" s="83">
        <f>SUM(AE6:AE25)</f>
        <v>162</v>
      </c>
      <c r="AF26"/>
      <c r="AK26" s="82">
        <f>SUM(AK6:AK25)</f>
        <v>210</v>
      </c>
      <c r="AL26" s="83">
        <f>SUM(AL6:AL25)</f>
        <v>182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0.27967857142857144</v>
      </c>
    </row>
    <row r="27" spans="2:40" x14ac:dyDescent="0.2">
      <c r="B27" s="97" t="s">
        <v>50</v>
      </c>
      <c r="C27" s="16">
        <f>C25*C26</f>
        <v>1296</v>
      </c>
      <c r="D27" s="36">
        <f>D25*D26</f>
        <v>162</v>
      </c>
      <c r="E27" s="99">
        <f>C27+D27</f>
        <v>1458</v>
      </c>
      <c r="F27" s="29"/>
      <c r="G27" s="30"/>
    </row>
    <row r="28" spans="2:40" x14ac:dyDescent="0.2">
      <c r="B28" s="97" t="s">
        <v>51</v>
      </c>
      <c r="C28" s="16">
        <f>$E$13*$E$19*C24</f>
        <v>72</v>
      </c>
      <c r="D28" s="36">
        <f>$E$13*$E$19*D24</f>
        <v>12</v>
      </c>
      <c r="E28" s="99">
        <f t="shared" si="13"/>
        <v>84</v>
      </c>
      <c r="F28" s="29"/>
      <c r="G28" s="30"/>
      <c r="J28" s="674" t="s">
        <v>41</v>
      </c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6"/>
    </row>
    <row r="29" spans="2:40" x14ac:dyDescent="0.2">
      <c r="B29" s="97" t="s">
        <v>1</v>
      </c>
      <c r="C29" s="16">
        <f>$E$13*$E$20*COUNTIF($C$4:$C$10,"=Y")</f>
        <v>72</v>
      </c>
      <c r="D29" s="36">
        <v>0</v>
      </c>
      <c r="E29" s="99">
        <f t="shared" si="13"/>
        <v>72</v>
      </c>
      <c r="F29" s="29"/>
      <c r="G29" s="30"/>
      <c r="H29"/>
      <c r="I29" s="7"/>
      <c r="J29" s="600" t="s">
        <v>43</v>
      </c>
      <c r="K29" s="601"/>
      <c r="L29" s="601"/>
      <c r="M29" s="601"/>
      <c r="N29" s="602"/>
      <c r="O29" s="600" t="s">
        <v>44</v>
      </c>
      <c r="P29" s="601"/>
      <c r="Q29" s="601"/>
      <c r="R29" s="601"/>
      <c r="S29" s="602"/>
      <c r="T29" s="600" t="s">
        <v>45</v>
      </c>
      <c r="U29" s="601"/>
      <c r="V29" s="601"/>
      <c r="W29" s="601"/>
      <c r="X29" s="602"/>
      <c r="Y29" s="600" t="s">
        <v>46</v>
      </c>
      <c r="Z29" s="601"/>
      <c r="AA29" s="601"/>
      <c r="AB29" s="601"/>
      <c r="AC29" s="602"/>
      <c r="AD29" s="600" t="s">
        <v>47</v>
      </c>
      <c r="AE29" s="601"/>
      <c r="AF29" s="601"/>
      <c r="AG29" s="601"/>
      <c r="AH29" s="602"/>
      <c r="AI29" s="600" t="s">
        <v>83</v>
      </c>
      <c r="AJ29" s="601"/>
      <c r="AK29" s="601"/>
      <c r="AL29" s="601"/>
      <c r="AM29" s="602"/>
    </row>
    <row r="30" spans="2:40" x14ac:dyDescent="0.2">
      <c r="B30" s="97" t="s">
        <v>52</v>
      </c>
      <c r="C30" s="16">
        <f>(0.25*C25)+(1*C24)+(4*C24)+(1*C24)</f>
        <v>81</v>
      </c>
      <c r="D30" s="36">
        <f>(0.25*D25)+(1*D24)+(4*D24)+(1*D24)</f>
        <v>13.5</v>
      </c>
      <c r="E30" s="99">
        <f t="shared" si="13"/>
        <v>94.5</v>
      </c>
      <c r="F30" s="29"/>
      <c r="G30" s="30"/>
      <c r="H30" s="600" t="s">
        <v>49</v>
      </c>
      <c r="I30" s="602"/>
      <c r="J30" s="15">
        <f t="shared" ref="J30:AM30" si="14">$E$16+(7*ROUNDDOWN((COLUMN(J$30)-COLUMN($J$30))/5,0))+MOD(COLUMN(J$30)-COLUMN($J$30),5)</f>
        <v>45341</v>
      </c>
      <c r="K30" s="15">
        <f t="shared" si="14"/>
        <v>45342</v>
      </c>
      <c r="L30" s="15">
        <f t="shared" si="14"/>
        <v>45343</v>
      </c>
      <c r="M30" s="15">
        <f t="shared" si="14"/>
        <v>45344</v>
      </c>
      <c r="N30" s="15">
        <f t="shared" si="14"/>
        <v>45345</v>
      </c>
      <c r="O30" s="15">
        <f t="shared" si="14"/>
        <v>45348</v>
      </c>
      <c r="P30" s="15">
        <f t="shared" si="14"/>
        <v>45349</v>
      </c>
      <c r="Q30" s="15">
        <f t="shared" si="14"/>
        <v>45350</v>
      </c>
      <c r="R30" s="15">
        <f t="shared" si="14"/>
        <v>45351</v>
      </c>
      <c r="S30" s="15">
        <f t="shared" si="14"/>
        <v>45352</v>
      </c>
      <c r="T30" s="15">
        <f t="shared" si="14"/>
        <v>45355</v>
      </c>
      <c r="U30" s="15">
        <f t="shared" si="14"/>
        <v>45356</v>
      </c>
      <c r="V30" s="15">
        <f t="shared" si="14"/>
        <v>45357</v>
      </c>
      <c r="W30" s="15">
        <f t="shared" si="14"/>
        <v>45358</v>
      </c>
      <c r="X30" s="15">
        <f t="shared" si="14"/>
        <v>45359</v>
      </c>
      <c r="Y30" s="15">
        <f t="shared" si="14"/>
        <v>45362</v>
      </c>
      <c r="Z30" s="15">
        <f t="shared" si="14"/>
        <v>45363</v>
      </c>
      <c r="AA30" s="15">
        <f t="shared" si="14"/>
        <v>45364</v>
      </c>
      <c r="AB30" s="15">
        <f t="shared" si="14"/>
        <v>45365</v>
      </c>
      <c r="AC30" s="15">
        <f t="shared" si="14"/>
        <v>45366</v>
      </c>
      <c r="AD30" s="15">
        <f t="shared" si="14"/>
        <v>45369</v>
      </c>
      <c r="AE30" s="15">
        <f t="shared" si="14"/>
        <v>45370</v>
      </c>
      <c r="AF30" s="15">
        <f t="shared" si="14"/>
        <v>45371</v>
      </c>
      <c r="AG30" s="15">
        <f t="shared" si="14"/>
        <v>45372</v>
      </c>
      <c r="AH30" s="15">
        <f t="shared" si="14"/>
        <v>45373</v>
      </c>
      <c r="AI30" s="15">
        <f t="shared" si="14"/>
        <v>45376</v>
      </c>
      <c r="AJ30" s="15">
        <f t="shared" si="14"/>
        <v>45377</v>
      </c>
      <c r="AK30" s="15">
        <f t="shared" si="14"/>
        <v>45378</v>
      </c>
      <c r="AL30" s="15">
        <f t="shared" si="14"/>
        <v>45379</v>
      </c>
      <c r="AM30" s="15">
        <f t="shared" si="14"/>
        <v>45380</v>
      </c>
    </row>
    <row r="31" spans="2:40" x14ac:dyDescent="0.2">
      <c r="B31" s="97" t="s">
        <v>129</v>
      </c>
      <c r="C31" s="16">
        <f>2*E13*C24</f>
        <v>72</v>
      </c>
      <c r="D31" s="16">
        <f>2*E13*D24</f>
        <v>12</v>
      </c>
      <c r="E31" s="99">
        <f>C31+D31</f>
        <v>84</v>
      </c>
      <c r="F31" s="29"/>
      <c r="G31" s="30"/>
      <c r="H31" s="593" t="str">
        <f t="shared" ref="H31:H37" si="15">$D4</f>
        <v>Arthur Mota</v>
      </c>
      <c r="I31" s="594"/>
      <c r="J31" s="70" t="s">
        <v>51</v>
      </c>
      <c r="K31" s="70" t="s">
        <v>51</v>
      </c>
      <c r="L31" s="70" t="s">
        <v>51</v>
      </c>
      <c r="M31" s="72" t="s">
        <v>23</v>
      </c>
      <c r="N31" s="72" t="s">
        <v>23</v>
      </c>
      <c r="O31" s="129" t="s">
        <v>103</v>
      </c>
      <c r="P31" s="129" t="s">
        <v>103</v>
      </c>
      <c r="Q31" s="129" t="s">
        <v>103</v>
      </c>
      <c r="R31" s="129" t="s">
        <v>103</v>
      </c>
      <c r="S31" s="129" t="s">
        <v>103</v>
      </c>
      <c r="T31" s="129" t="s">
        <v>103</v>
      </c>
      <c r="U31" s="62" t="s">
        <v>23</v>
      </c>
      <c r="V31" s="62" t="s">
        <v>23</v>
      </c>
      <c r="W31" s="62" t="s">
        <v>23</v>
      </c>
      <c r="X31" s="62" t="s">
        <v>23</v>
      </c>
      <c r="Y31" s="135" t="s">
        <v>109</v>
      </c>
      <c r="Z31" s="135" t="s">
        <v>109</v>
      </c>
      <c r="AA31" s="135" t="s">
        <v>109</v>
      </c>
      <c r="AB31" s="135" t="s">
        <v>109</v>
      </c>
      <c r="AC31" s="135" t="s">
        <v>109</v>
      </c>
      <c r="AD31" s="135" t="s">
        <v>109</v>
      </c>
      <c r="AE31" s="135" t="s">
        <v>109</v>
      </c>
      <c r="AF31" s="135" t="s">
        <v>109</v>
      </c>
      <c r="AG31" s="135" t="s">
        <v>109</v>
      </c>
      <c r="AH31" s="135" t="s">
        <v>109</v>
      </c>
      <c r="AI31" s="62" t="s">
        <v>23</v>
      </c>
      <c r="AJ31" s="62" t="s">
        <v>23</v>
      </c>
      <c r="AK31" s="62" t="s">
        <v>23</v>
      </c>
      <c r="AL31" s="62" t="s">
        <v>23</v>
      </c>
      <c r="AM31" s="28" t="s">
        <v>29</v>
      </c>
    </row>
    <row r="32" spans="2:40" x14ac:dyDescent="0.2">
      <c r="B32" s="97" t="s">
        <v>53</v>
      </c>
      <c r="C32" s="16">
        <f>C27-C28-C29-C30-C31</f>
        <v>999</v>
      </c>
      <c r="D32" s="36">
        <f>D27-D28-D29-D30-D31</f>
        <v>124.5</v>
      </c>
      <c r="E32" s="99">
        <f t="shared" si="13"/>
        <v>1123.5</v>
      </c>
      <c r="F32" s="29"/>
      <c r="G32" s="30"/>
      <c r="H32" s="593" t="str">
        <f t="shared" si="15"/>
        <v>Andréa</v>
      </c>
      <c r="I32" s="594"/>
      <c r="J32" s="137" t="s">
        <v>62</v>
      </c>
      <c r="K32" s="137" t="s">
        <v>62</v>
      </c>
      <c r="L32" s="137" t="s">
        <v>62</v>
      </c>
      <c r="M32" s="28" t="s">
        <v>29</v>
      </c>
      <c r="N32" s="137" t="s">
        <v>62</v>
      </c>
      <c r="O32" s="62" t="s">
        <v>23</v>
      </c>
      <c r="P32" s="62" t="s">
        <v>23</v>
      </c>
      <c r="Q32" s="62" t="s">
        <v>23</v>
      </c>
      <c r="R32" s="62" t="s">
        <v>23</v>
      </c>
      <c r="S32" s="62" t="s">
        <v>23</v>
      </c>
      <c r="T32" s="28" t="s">
        <v>29</v>
      </c>
      <c r="U32" s="28" t="s">
        <v>29</v>
      </c>
      <c r="V32" s="28" t="s">
        <v>29</v>
      </c>
      <c r="W32" s="28" t="s">
        <v>29</v>
      </c>
      <c r="X32" s="28" t="s">
        <v>29</v>
      </c>
      <c r="Y32" s="135" t="s">
        <v>109</v>
      </c>
      <c r="Z32" s="135" t="s">
        <v>109</v>
      </c>
      <c r="AA32" s="135" t="s">
        <v>109</v>
      </c>
      <c r="AB32" s="135" t="s">
        <v>109</v>
      </c>
      <c r="AC32" s="135" t="s">
        <v>109</v>
      </c>
      <c r="AD32" s="135" t="s">
        <v>109</v>
      </c>
      <c r="AE32" s="135" t="s">
        <v>109</v>
      </c>
      <c r="AF32" s="135" t="s">
        <v>109</v>
      </c>
      <c r="AG32" s="135" t="s">
        <v>109</v>
      </c>
      <c r="AH32" s="135" t="s">
        <v>109</v>
      </c>
      <c r="AI32" s="135" t="s">
        <v>109</v>
      </c>
      <c r="AJ32" s="135" t="s">
        <v>109</v>
      </c>
      <c r="AK32" s="135" t="s">
        <v>109</v>
      </c>
      <c r="AL32" s="135" t="s">
        <v>109</v>
      </c>
      <c r="AM32" s="28" t="s">
        <v>29</v>
      </c>
    </row>
    <row r="33" spans="1:39" x14ac:dyDescent="0.2">
      <c r="B33" s="101" t="s">
        <v>130</v>
      </c>
      <c r="C33" s="76">
        <v>1</v>
      </c>
      <c r="D33" s="119">
        <v>0.8</v>
      </c>
      <c r="E33" s="120" t="s">
        <v>31</v>
      </c>
      <c r="F33" s="29"/>
      <c r="G33" s="30"/>
      <c r="H33" s="593" t="str">
        <f t="shared" si="15"/>
        <v>André</v>
      </c>
      <c r="I33" s="594"/>
      <c r="J33" s="137" t="s">
        <v>62</v>
      </c>
      <c r="K33" s="137" t="s">
        <v>62</v>
      </c>
      <c r="L33" s="137" t="s">
        <v>62</v>
      </c>
      <c r="M33" s="137" t="s">
        <v>62</v>
      </c>
      <c r="N33" s="137" t="s">
        <v>62</v>
      </c>
      <c r="O33" s="133" t="s">
        <v>106</v>
      </c>
      <c r="P33" s="133" t="s">
        <v>106</v>
      </c>
      <c r="Q33" s="133" t="s">
        <v>106</v>
      </c>
      <c r="R33" s="133" t="s">
        <v>106</v>
      </c>
      <c r="S33" s="133" t="s">
        <v>106</v>
      </c>
      <c r="T33" s="133" t="s">
        <v>106</v>
      </c>
      <c r="U33" s="133" t="s">
        <v>106</v>
      </c>
      <c r="V33" s="133" t="s">
        <v>106</v>
      </c>
      <c r="W33" s="133" t="s">
        <v>106</v>
      </c>
      <c r="X33" s="133" t="s">
        <v>106</v>
      </c>
      <c r="Y33" s="62" t="s">
        <v>23</v>
      </c>
      <c r="Z33" s="62" t="s">
        <v>23</v>
      </c>
      <c r="AA33" s="62" t="s">
        <v>23</v>
      </c>
      <c r="AB33" s="62" t="s">
        <v>23</v>
      </c>
      <c r="AC33" s="62" t="s">
        <v>23</v>
      </c>
      <c r="AD33" s="135" t="s">
        <v>109</v>
      </c>
      <c r="AE33" s="135" t="s">
        <v>109</v>
      </c>
      <c r="AF33" s="135" t="s">
        <v>109</v>
      </c>
      <c r="AG33" s="135" t="s">
        <v>109</v>
      </c>
      <c r="AH33" s="28" t="s">
        <v>29</v>
      </c>
      <c r="AI33" s="135" t="s">
        <v>109</v>
      </c>
      <c r="AJ33" s="135" t="s">
        <v>109</v>
      </c>
      <c r="AK33" s="135" t="s">
        <v>109</v>
      </c>
      <c r="AL33" s="135" t="s">
        <v>109</v>
      </c>
      <c r="AM33" s="28" t="s">
        <v>29</v>
      </c>
    </row>
    <row r="34" spans="1:39" x14ac:dyDescent="0.2">
      <c r="B34" s="101" t="s">
        <v>131</v>
      </c>
      <c r="C34" s="76">
        <f>IF(C25=0,0,C32/C25)</f>
        <v>5.55</v>
      </c>
      <c r="D34" s="119">
        <f>IF(D25=0,0,D32/D25)</f>
        <v>4.1500000000000004</v>
      </c>
      <c r="E34" s="121">
        <f>((C34*C33)+(D34*D33))/(C33+D33)</f>
        <v>4.927777777777778</v>
      </c>
      <c r="F34" s="29"/>
      <c r="G34" s="30"/>
      <c r="H34" s="593" t="str">
        <f t="shared" si="15"/>
        <v>Marcela</v>
      </c>
      <c r="I34" s="594"/>
      <c r="J34" s="137" t="s">
        <v>62</v>
      </c>
      <c r="K34" s="72" t="s">
        <v>23</v>
      </c>
      <c r="L34" s="72" t="s">
        <v>23</v>
      </c>
      <c r="M34" s="151" t="s">
        <v>51</v>
      </c>
      <c r="N34" s="151" t="s">
        <v>51</v>
      </c>
      <c r="O34" s="133" t="s">
        <v>106</v>
      </c>
      <c r="P34" s="133" t="s">
        <v>106</v>
      </c>
      <c r="Q34" s="133" t="s">
        <v>106</v>
      </c>
      <c r="R34" s="133" t="s">
        <v>106</v>
      </c>
      <c r="S34" s="133" t="s">
        <v>106</v>
      </c>
      <c r="T34" s="133" t="s">
        <v>106</v>
      </c>
      <c r="U34" s="133" t="s">
        <v>106</v>
      </c>
      <c r="V34" s="133" t="s">
        <v>106</v>
      </c>
      <c r="W34" s="133" t="s">
        <v>106</v>
      </c>
      <c r="X34" s="133" t="s">
        <v>106</v>
      </c>
      <c r="Y34" s="133" t="s">
        <v>106</v>
      </c>
      <c r="Z34" s="133" t="s">
        <v>106</v>
      </c>
      <c r="AA34" s="133" t="s">
        <v>106</v>
      </c>
      <c r="AB34" s="133" t="s">
        <v>106</v>
      </c>
      <c r="AC34" s="133" t="s">
        <v>106</v>
      </c>
      <c r="AD34" s="62" t="s">
        <v>23</v>
      </c>
      <c r="AE34" s="62" t="s">
        <v>23</v>
      </c>
      <c r="AF34" s="62" t="s">
        <v>23</v>
      </c>
      <c r="AG34" s="62" t="s">
        <v>23</v>
      </c>
      <c r="AH34" s="62" t="s">
        <v>23</v>
      </c>
      <c r="AI34" s="133" t="s">
        <v>106</v>
      </c>
      <c r="AJ34" s="133" t="s">
        <v>106</v>
      </c>
      <c r="AK34" s="133" t="s">
        <v>106</v>
      </c>
      <c r="AL34" s="133" t="s">
        <v>106</v>
      </c>
      <c r="AM34" s="28" t="s">
        <v>29</v>
      </c>
    </row>
    <row r="35" spans="1:39" ht="17" thickBot="1" x14ac:dyDescent="0.25">
      <c r="B35" s="122" t="s">
        <v>132</v>
      </c>
      <c r="C35" s="123">
        <v>1</v>
      </c>
      <c r="D35" s="124">
        <f>C34/D34</f>
        <v>1.3373493975903612</v>
      </c>
      <c r="E35" s="125" t="s">
        <v>31</v>
      </c>
      <c r="F35" s="29"/>
      <c r="G35" s="30"/>
      <c r="H35" s="593" t="str">
        <f t="shared" si="15"/>
        <v>Josiel</v>
      </c>
      <c r="I35" s="594"/>
      <c r="J35" s="137" t="s">
        <v>62</v>
      </c>
      <c r="K35" s="137" t="s">
        <v>62</v>
      </c>
      <c r="L35" s="137" t="s">
        <v>62</v>
      </c>
      <c r="M35" s="137" t="s">
        <v>62</v>
      </c>
      <c r="N35" s="62" t="s">
        <v>23</v>
      </c>
      <c r="O35" s="139" t="s">
        <v>116</v>
      </c>
      <c r="P35" s="139" t="s">
        <v>116</v>
      </c>
      <c r="Q35" s="139" t="s">
        <v>116</v>
      </c>
      <c r="R35" s="139" t="s">
        <v>116</v>
      </c>
      <c r="S35" s="139" t="s">
        <v>116</v>
      </c>
      <c r="T35" s="62" t="s">
        <v>23</v>
      </c>
      <c r="U35" s="139" t="s">
        <v>116</v>
      </c>
      <c r="V35" s="62" t="s">
        <v>23</v>
      </c>
      <c r="W35" s="139" t="s">
        <v>116</v>
      </c>
      <c r="X35" s="62" t="s">
        <v>23</v>
      </c>
      <c r="Y35" s="139" t="s">
        <v>116</v>
      </c>
      <c r="Z35" s="139" t="s">
        <v>116</v>
      </c>
      <c r="AA35" s="139" t="s">
        <v>116</v>
      </c>
      <c r="AB35" s="139" t="s">
        <v>116</v>
      </c>
      <c r="AC35" s="139" t="s">
        <v>116</v>
      </c>
      <c r="AD35" s="62" t="s">
        <v>23</v>
      </c>
      <c r="AE35" s="139" t="s">
        <v>116</v>
      </c>
      <c r="AF35" s="62" t="s">
        <v>23</v>
      </c>
      <c r="AG35" s="139" t="s">
        <v>116</v>
      </c>
      <c r="AH35" s="62" t="s">
        <v>23</v>
      </c>
      <c r="AI35" s="28" t="s">
        <v>29</v>
      </c>
      <c r="AJ35" s="28" t="s">
        <v>29</v>
      </c>
      <c r="AK35" s="28" t="s">
        <v>29</v>
      </c>
      <c r="AL35" s="28" t="s">
        <v>29</v>
      </c>
      <c r="AM35" s="28" t="s">
        <v>29</v>
      </c>
    </row>
    <row r="36" spans="1:39" x14ac:dyDescent="0.2">
      <c r="B36" s="7"/>
      <c r="F36" s="29"/>
      <c r="G36" s="30"/>
      <c r="H36" s="593" t="str">
        <f t="shared" si="15"/>
        <v>Fernando</v>
      </c>
      <c r="I36" s="594"/>
      <c r="J36" s="137" t="s">
        <v>62</v>
      </c>
      <c r="K36" s="137" t="s">
        <v>62</v>
      </c>
      <c r="L36" s="137" t="s">
        <v>62</v>
      </c>
      <c r="M36" s="137" t="s">
        <v>62</v>
      </c>
      <c r="N36" s="131" t="s">
        <v>112</v>
      </c>
      <c r="O36" s="155" t="s">
        <v>119</v>
      </c>
      <c r="P36" s="155" t="s">
        <v>119</v>
      </c>
      <c r="Q36" s="155" t="s">
        <v>119</v>
      </c>
      <c r="R36" s="155" t="s">
        <v>119</v>
      </c>
      <c r="S36" s="155" t="s">
        <v>119</v>
      </c>
      <c r="T36" s="131" t="s">
        <v>112</v>
      </c>
      <c r="U36" s="131" t="s">
        <v>112</v>
      </c>
      <c r="V36" s="131" t="s">
        <v>112</v>
      </c>
      <c r="W36" s="142" t="s">
        <v>119</v>
      </c>
      <c r="X36" s="142" t="s">
        <v>119</v>
      </c>
      <c r="Y36" s="62" t="s">
        <v>23</v>
      </c>
      <c r="Z36" s="142" t="s">
        <v>119</v>
      </c>
      <c r="AA36" s="62" t="s">
        <v>23</v>
      </c>
      <c r="AB36" s="142" t="s">
        <v>119</v>
      </c>
      <c r="AC36" s="62" t="s">
        <v>23</v>
      </c>
      <c r="AD36" s="142" t="s">
        <v>119</v>
      </c>
      <c r="AE36" s="142" t="s">
        <v>119</v>
      </c>
      <c r="AF36" s="142" t="s">
        <v>119</v>
      </c>
      <c r="AG36" s="142" t="s">
        <v>119</v>
      </c>
      <c r="AH36" s="142" t="s">
        <v>119</v>
      </c>
      <c r="AI36" s="62" t="s">
        <v>23</v>
      </c>
      <c r="AJ36" s="142" t="s">
        <v>119</v>
      </c>
      <c r="AK36" s="62" t="s">
        <v>23</v>
      </c>
      <c r="AL36" s="142" t="s">
        <v>119</v>
      </c>
      <c r="AM36" s="28" t="s">
        <v>29</v>
      </c>
    </row>
    <row r="37" spans="1:39" x14ac:dyDescent="0.2">
      <c r="F37" s="29"/>
      <c r="G37" s="30"/>
      <c r="H37" s="593" t="str">
        <f t="shared" si="15"/>
        <v>Ricardo</v>
      </c>
      <c r="I37" s="594"/>
      <c r="J37" s="28" t="s">
        <v>29</v>
      </c>
      <c r="K37" s="28" t="s">
        <v>29</v>
      </c>
      <c r="L37" s="28" t="s">
        <v>29</v>
      </c>
      <c r="M37" s="28" t="s">
        <v>29</v>
      </c>
      <c r="N37" s="28" t="s">
        <v>29</v>
      </c>
      <c r="O37" s="150" t="s">
        <v>122</v>
      </c>
      <c r="P37" s="150" t="s">
        <v>122</v>
      </c>
      <c r="Q37" s="150" t="s">
        <v>122</v>
      </c>
      <c r="R37" s="150" t="s">
        <v>122</v>
      </c>
      <c r="S37" s="150" t="s">
        <v>122</v>
      </c>
      <c r="T37" s="150" t="s">
        <v>122</v>
      </c>
      <c r="U37" s="150" t="s">
        <v>122</v>
      </c>
      <c r="V37" s="150" t="s">
        <v>122</v>
      </c>
      <c r="W37" s="150" t="s">
        <v>122</v>
      </c>
      <c r="X37" s="150" t="s">
        <v>122</v>
      </c>
      <c r="Y37" s="150" t="s">
        <v>122</v>
      </c>
      <c r="Z37" s="150" t="s">
        <v>122</v>
      </c>
      <c r="AA37" s="150" t="s">
        <v>122</v>
      </c>
      <c r="AB37" s="150" t="s">
        <v>122</v>
      </c>
      <c r="AC37" s="150" t="s">
        <v>122</v>
      </c>
      <c r="AD37" s="150" t="s">
        <v>122</v>
      </c>
      <c r="AE37" s="150" t="s">
        <v>122</v>
      </c>
      <c r="AF37" s="150" t="s">
        <v>122</v>
      </c>
      <c r="AG37" s="150" t="s">
        <v>122</v>
      </c>
      <c r="AH37" s="150" t="s">
        <v>122</v>
      </c>
      <c r="AI37" s="150" t="s">
        <v>122</v>
      </c>
      <c r="AJ37" s="150" t="s">
        <v>122</v>
      </c>
      <c r="AK37" s="150" t="s">
        <v>122</v>
      </c>
      <c r="AL37" s="150" t="s">
        <v>122</v>
      </c>
      <c r="AM37" s="28" t="s">
        <v>29</v>
      </c>
    </row>
    <row r="38" spans="1:39" x14ac:dyDescent="0.2">
      <c r="F38" s="29"/>
      <c r="G38" s="30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9" x14ac:dyDescent="0.2">
      <c r="F39" s="29"/>
      <c r="G39" s="30"/>
    </row>
    <row r="40" spans="1:39" x14ac:dyDescent="0.2">
      <c r="F40" s="29"/>
      <c r="G40" s="30"/>
      <c r="J40" s="674" t="s">
        <v>96</v>
      </c>
      <c r="K40" s="675"/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6"/>
    </row>
    <row r="41" spans="1:39" x14ac:dyDescent="0.2">
      <c r="F41" s="29"/>
      <c r="G41" s="30"/>
      <c r="H41"/>
      <c r="I41" s="7"/>
      <c r="J41" s="600" t="s">
        <v>43</v>
      </c>
      <c r="K41" s="601"/>
      <c r="L41" s="601"/>
      <c r="M41" s="601"/>
      <c r="N41" s="602"/>
      <c r="O41" s="600" t="s">
        <v>44</v>
      </c>
      <c r="P41" s="601"/>
      <c r="Q41" s="601"/>
      <c r="R41" s="601"/>
      <c r="S41" s="602"/>
      <c r="T41" s="600" t="s">
        <v>45</v>
      </c>
      <c r="U41" s="601"/>
      <c r="V41" s="601"/>
      <c r="W41" s="601"/>
      <c r="X41" s="602"/>
      <c r="Y41" s="600" t="s">
        <v>46</v>
      </c>
      <c r="Z41" s="601"/>
      <c r="AA41" s="601"/>
      <c r="AB41" s="601"/>
      <c r="AC41" s="602"/>
      <c r="AD41" s="600" t="s">
        <v>47</v>
      </c>
      <c r="AE41" s="601"/>
      <c r="AF41" s="601"/>
      <c r="AG41" s="601"/>
      <c r="AH41" s="602"/>
      <c r="AI41" s="600" t="s">
        <v>83</v>
      </c>
      <c r="AJ41" s="601"/>
      <c r="AK41" s="601"/>
      <c r="AL41" s="601"/>
      <c r="AM41" s="602"/>
    </row>
    <row r="42" spans="1:39" x14ac:dyDescent="0.2">
      <c r="F42" s="29"/>
      <c r="G42" s="30"/>
      <c r="H42" s="600" t="s">
        <v>49</v>
      </c>
      <c r="I42" s="602"/>
      <c r="J42" s="15">
        <f t="shared" ref="J42:AM42" si="16">$E$16+(7*ROUNDDOWN((COLUMN(J$30)-COLUMN($J$30))/5,0))+MOD(COLUMN(J$30)-COLUMN($J$30),5)</f>
        <v>45341</v>
      </c>
      <c r="K42" s="15">
        <f t="shared" si="16"/>
        <v>45342</v>
      </c>
      <c r="L42" s="15">
        <f t="shared" si="16"/>
        <v>45343</v>
      </c>
      <c r="M42" s="15">
        <f t="shared" si="16"/>
        <v>45344</v>
      </c>
      <c r="N42" s="15">
        <f t="shared" si="16"/>
        <v>45345</v>
      </c>
      <c r="O42" s="15">
        <f t="shared" si="16"/>
        <v>45348</v>
      </c>
      <c r="P42" s="15">
        <f t="shared" si="16"/>
        <v>45349</v>
      </c>
      <c r="Q42" s="15">
        <f t="shared" si="16"/>
        <v>45350</v>
      </c>
      <c r="R42" s="15">
        <f t="shared" si="16"/>
        <v>45351</v>
      </c>
      <c r="S42" s="15">
        <f t="shared" si="16"/>
        <v>45352</v>
      </c>
      <c r="T42" s="15">
        <f t="shared" si="16"/>
        <v>45355</v>
      </c>
      <c r="U42" s="15">
        <f t="shared" si="16"/>
        <v>45356</v>
      </c>
      <c r="V42" s="15">
        <f t="shared" si="16"/>
        <v>45357</v>
      </c>
      <c r="W42" s="15">
        <f t="shared" si="16"/>
        <v>45358</v>
      </c>
      <c r="X42" s="15">
        <f t="shared" si="16"/>
        <v>45359</v>
      </c>
      <c r="Y42" s="15">
        <f t="shared" si="16"/>
        <v>45362</v>
      </c>
      <c r="Z42" s="15">
        <f t="shared" si="16"/>
        <v>45363</v>
      </c>
      <c r="AA42" s="15">
        <f t="shared" si="16"/>
        <v>45364</v>
      </c>
      <c r="AB42" s="15">
        <f t="shared" si="16"/>
        <v>45365</v>
      </c>
      <c r="AC42" s="15">
        <f t="shared" si="16"/>
        <v>45366</v>
      </c>
      <c r="AD42" s="15">
        <f t="shared" si="16"/>
        <v>45369</v>
      </c>
      <c r="AE42" s="15">
        <f t="shared" si="16"/>
        <v>45370</v>
      </c>
      <c r="AF42" s="15">
        <f t="shared" si="16"/>
        <v>45371</v>
      </c>
      <c r="AG42" s="15">
        <f t="shared" si="16"/>
        <v>45372</v>
      </c>
      <c r="AH42" s="15">
        <f t="shared" si="16"/>
        <v>45373</v>
      </c>
      <c r="AI42" s="15">
        <f t="shared" si="16"/>
        <v>45376</v>
      </c>
      <c r="AJ42" s="15">
        <f t="shared" si="16"/>
        <v>45377</v>
      </c>
      <c r="AK42" s="15">
        <f t="shared" si="16"/>
        <v>45378</v>
      </c>
      <c r="AL42" s="15">
        <f t="shared" si="16"/>
        <v>45379</v>
      </c>
      <c r="AM42" s="15">
        <f t="shared" si="16"/>
        <v>45380</v>
      </c>
    </row>
    <row r="43" spans="1:39" x14ac:dyDescent="0.2">
      <c r="F43" s="29"/>
      <c r="G43" s="30"/>
      <c r="H43" s="593" t="str">
        <f>$D4</f>
        <v>Arthur Mota</v>
      </c>
      <c r="I43" s="594"/>
      <c r="J43" s="70" t="s">
        <v>51</v>
      </c>
      <c r="K43" s="70" t="s">
        <v>51</v>
      </c>
      <c r="L43" s="70" t="s">
        <v>51</v>
      </c>
      <c r="M43" s="129" t="s">
        <v>103</v>
      </c>
      <c r="N43" s="129" t="s">
        <v>103</v>
      </c>
      <c r="O43" s="129" t="s">
        <v>103</v>
      </c>
      <c r="P43" s="129" t="s">
        <v>103</v>
      </c>
      <c r="Q43" s="129" t="s">
        <v>103</v>
      </c>
      <c r="R43" s="129" t="s">
        <v>103</v>
      </c>
      <c r="S43" s="129" t="s">
        <v>103</v>
      </c>
      <c r="T43" s="129" t="s">
        <v>103</v>
      </c>
      <c r="U43" s="62" t="s">
        <v>23</v>
      </c>
      <c r="V43" s="62" t="s">
        <v>23</v>
      </c>
      <c r="W43" s="62" t="s">
        <v>23</v>
      </c>
      <c r="X43" s="62" t="s">
        <v>23</v>
      </c>
      <c r="Y43" s="133" t="s">
        <v>106</v>
      </c>
      <c r="Z43" s="133" t="s">
        <v>106</v>
      </c>
      <c r="AA43" s="133" t="s">
        <v>106</v>
      </c>
      <c r="AB43" s="133" t="s">
        <v>106</v>
      </c>
      <c r="AC43" s="133" t="s">
        <v>106</v>
      </c>
      <c r="AD43" s="133" t="s">
        <v>106</v>
      </c>
      <c r="AE43" s="133" t="s">
        <v>106</v>
      </c>
      <c r="AF43" s="133" t="s">
        <v>106</v>
      </c>
      <c r="AG43" s="133" t="s">
        <v>106</v>
      </c>
      <c r="AH43" s="133" t="s">
        <v>106</v>
      </c>
      <c r="AI43" s="62" t="s">
        <v>23</v>
      </c>
      <c r="AJ43" s="62" t="s">
        <v>23</v>
      </c>
      <c r="AK43" s="62" t="s">
        <v>23</v>
      </c>
      <c r="AL43" s="62" t="s">
        <v>23</v>
      </c>
      <c r="AM43" s="28" t="s">
        <v>29</v>
      </c>
    </row>
    <row r="44" spans="1:39" x14ac:dyDescent="0.2">
      <c r="F44" s="29"/>
      <c r="G44" s="30"/>
      <c r="H44" s="593" t="str">
        <f t="shared" ref="H44:H49" si="17">$D5</f>
        <v>Andréa</v>
      </c>
      <c r="I44" s="594"/>
      <c r="J44" s="137" t="s">
        <v>62</v>
      </c>
      <c r="K44" s="137" t="s">
        <v>62</v>
      </c>
      <c r="L44" s="137" t="s">
        <v>62</v>
      </c>
      <c r="M44" s="28" t="s">
        <v>29</v>
      </c>
      <c r="N44" s="137" t="s">
        <v>62</v>
      </c>
      <c r="O44" s="62" t="s">
        <v>23</v>
      </c>
      <c r="P44" s="62" t="s">
        <v>23</v>
      </c>
      <c r="Q44" s="62" t="s">
        <v>23</v>
      </c>
      <c r="R44" s="62" t="s">
        <v>23</v>
      </c>
      <c r="S44" s="62" t="s">
        <v>23</v>
      </c>
      <c r="T44" s="28" t="s">
        <v>29</v>
      </c>
      <c r="U44" s="28" t="s">
        <v>29</v>
      </c>
      <c r="V44" s="28" t="s">
        <v>29</v>
      </c>
      <c r="W44" s="28" t="s">
        <v>29</v>
      </c>
      <c r="X44" s="28" t="s">
        <v>29</v>
      </c>
      <c r="Y44" s="135" t="s">
        <v>109</v>
      </c>
      <c r="Z44" s="135" t="s">
        <v>109</v>
      </c>
      <c r="AA44" s="135" t="s">
        <v>109</v>
      </c>
      <c r="AB44" s="135" t="s">
        <v>109</v>
      </c>
      <c r="AC44" s="135" t="s">
        <v>109</v>
      </c>
      <c r="AD44" s="135" t="s">
        <v>109</v>
      </c>
      <c r="AE44" s="135" t="s">
        <v>109</v>
      </c>
      <c r="AF44" s="135" t="s">
        <v>109</v>
      </c>
      <c r="AG44" s="135" t="s">
        <v>109</v>
      </c>
      <c r="AH44" s="135" t="s">
        <v>109</v>
      </c>
      <c r="AI44" s="135" t="s">
        <v>109</v>
      </c>
      <c r="AJ44" s="135" t="s">
        <v>109</v>
      </c>
      <c r="AK44" s="135" t="s">
        <v>109</v>
      </c>
      <c r="AL44" s="135" t="s">
        <v>109</v>
      </c>
      <c r="AM44" s="28" t="s">
        <v>29</v>
      </c>
    </row>
    <row r="45" spans="1:39" x14ac:dyDescent="0.2">
      <c r="F45" s="29"/>
      <c r="G45" s="30"/>
      <c r="H45" s="593" t="str">
        <f t="shared" si="17"/>
        <v>André</v>
      </c>
      <c r="I45" s="594"/>
      <c r="J45" s="137" t="s">
        <v>62</v>
      </c>
      <c r="K45" s="137" t="s">
        <v>62</v>
      </c>
      <c r="L45" s="137" t="s">
        <v>62</v>
      </c>
      <c r="M45" s="137" t="s">
        <v>62</v>
      </c>
      <c r="N45" s="137" t="s">
        <v>62</v>
      </c>
      <c r="O45" s="135" t="s">
        <v>109</v>
      </c>
      <c r="P45" s="135" t="s">
        <v>109</v>
      </c>
      <c r="Q45" s="135" t="s">
        <v>109</v>
      </c>
      <c r="R45" s="135" t="s">
        <v>109</v>
      </c>
      <c r="S45" s="135" t="s">
        <v>109</v>
      </c>
      <c r="T45" s="135" t="s">
        <v>109</v>
      </c>
      <c r="U45" s="135" t="s">
        <v>109</v>
      </c>
      <c r="V45" s="135" t="s">
        <v>109</v>
      </c>
      <c r="W45" s="135" t="s">
        <v>109</v>
      </c>
      <c r="X45" s="135" t="s">
        <v>109</v>
      </c>
      <c r="Y45" s="62" t="s">
        <v>23</v>
      </c>
      <c r="Z45" s="62" t="s">
        <v>23</v>
      </c>
      <c r="AA45" s="62" t="s">
        <v>23</v>
      </c>
      <c r="AB45" s="62" t="s">
        <v>23</v>
      </c>
      <c r="AC45" s="62" t="s">
        <v>23</v>
      </c>
      <c r="AD45" s="135" t="s">
        <v>109</v>
      </c>
      <c r="AE45" s="135" t="s">
        <v>109</v>
      </c>
      <c r="AF45" s="135" t="s">
        <v>109</v>
      </c>
      <c r="AG45" s="135" t="s">
        <v>109</v>
      </c>
      <c r="AH45" s="28" t="s">
        <v>29</v>
      </c>
      <c r="AI45" s="135" t="s">
        <v>109</v>
      </c>
      <c r="AJ45" s="135" t="s">
        <v>109</v>
      </c>
      <c r="AK45" s="135" t="s">
        <v>109</v>
      </c>
      <c r="AL45" s="135" t="s">
        <v>109</v>
      </c>
      <c r="AM45" s="28" t="s">
        <v>29</v>
      </c>
    </row>
    <row r="46" spans="1:39" x14ac:dyDescent="0.2">
      <c r="F46" s="29"/>
      <c r="G46" s="30"/>
      <c r="H46" s="593" t="str">
        <f t="shared" si="17"/>
        <v>Marcela</v>
      </c>
      <c r="I46" s="594"/>
      <c r="J46" s="137" t="s">
        <v>62</v>
      </c>
      <c r="K46" s="70" t="s">
        <v>51</v>
      </c>
      <c r="L46" s="70" t="s">
        <v>51</v>
      </c>
      <c r="M46" s="133" t="s">
        <v>106</v>
      </c>
      <c r="N46" s="133" t="s">
        <v>106</v>
      </c>
      <c r="O46" s="133" t="s">
        <v>106</v>
      </c>
      <c r="P46" s="133" t="s">
        <v>106</v>
      </c>
      <c r="Q46" s="133" t="s">
        <v>106</v>
      </c>
      <c r="R46" s="133" t="s">
        <v>106</v>
      </c>
      <c r="S46" s="133" t="s">
        <v>106</v>
      </c>
      <c r="T46" s="133" t="s">
        <v>106</v>
      </c>
      <c r="U46" s="133" t="s">
        <v>106</v>
      </c>
      <c r="V46" s="133" t="s">
        <v>106</v>
      </c>
      <c r="W46" s="133" t="s">
        <v>106</v>
      </c>
      <c r="X46" s="133" t="s">
        <v>106</v>
      </c>
      <c r="Y46" s="133" t="s">
        <v>106</v>
      </c>
      <c r="Z46" s="133" t="s">
        <v>106</v>
      </c>
      <c r="AA46" s="133" t="s">
        <v>106</v>
      </c>
      <c r="AB46" s="133" t="s">
        <v>106</v>
      </c>
      <c r="AC46" s="133" t="s">
        <v>106</v>
      </c>
      <c r="AD46" s="62" t="s">
        <v>23</v>
      </c>
      <c r="AE46" s="62" t="s">
        <v>23</v>
      </c>
      <c r="AF46" s="62" t="s">
        <v>23</v>
      </c>
      <c r="AG46" s="62" t="s">
        <v>23</v>
      </c>
      <c r="AH46" s="62" t="s">
        <v>23</v>
      </c>
      <c r="AI46" s="133" t="s">
        <v>106</v>
      </c>
      <c r="AJ46" s="133" t="s">
        <v>106</v>
      </c>
      <c r="AK46" s="133" t="s">
        <v>106</v>
      </c>
      <c r="AL46" s="133" t="s">
        <v>106</v>
      </c>
      <c r="AM46" s="28" t="s">
        <v>29</v>
      </c>
    </row>
    <row r="47" spans="1:39" x14ac:dyDescent="0.2">
      <c r="F47" s="29"/>
      <c r="G47" s="30"/>
      <c r="H47" s="593" t="str">
        <f t="shared" si="17"/>
        <v>Josiel</v>
      </c>
      <c r="I47" s="594"/>
      <c r="J47" s="137" t="s">
        <v>62</v>
      </c>
      <c r="K47" s="137" t="s">
        <v>62</v>
      </c>
      <c r="L47" s="137" t="s">
        <v>62</v>
      </c>
      <c r="M47" s="137" t="s">
        <v>62</v>
      </c>
      <c r="N47" s="62" t="s">
        <v>23</v>
      </c>
      <c r="O47" s="139" t="s">
        <v>116</v>
      </c>
      <c r="P47" s="139" t="s">
        <v>116</v>
      </c>
      <c r="Q47" s="139" t="s">
        <v>116</v>
      </c>
      <c r="R47" s="139" t="s">
        <v>116</v>
      </c>
      <c r="S47" s="139" t="s">
        <v>116</v>
      </c>
      <c r="T47" s="62" t="s">
        <v>23</v>
      </c>
      <c r="U47" s="139" t="s">
        <v>116</v>
      </c>
      <c r="V47" s="62" t="s">
        <v>23</v>
      </c>
      <c r="W47" s="139" t="s">
        <v>116</v>
      </c>
      <c r="X47" s="62" t="s">
        <v>23</v>
      </c>
      <c r="Y47" s="139" t="s">
        <v>116</v>
      </c>
      <c r="Z47" s="139" t="s">
        <v>116</v>
      </c>
      <c r="AA47" s="139" t="s">
        <v>116</v>
      </c>
      <c r="AB47" s="139" t="s">
        <v>116</v>
      </c>
      <c r="AC47" s="139" t="s">
        <v>116</v>
      </c>
      <c r="AD47" s="62" t="s">
        <v>23</v>
      </c>
      <c r="AE47" s="139" t="s">
        <v>116</v>
      </c>
      <c r="AF47" s="62" t="s">
        <v>23</v>
      </c>
      <c r="AG47" s="139" t="s">
        <v>116</v>
      </c>
      <c r="AH47" s="62" t="s">
        <v>23</v>
      </c>
      <c r="AI47" s="28" t="s">
        <v>29</v>
      </c>
      <c r="AJ47" s="28" t="s">
        <v>29</v>
      </c>
      <c r="AK47" s="28" t="s">
        <v>29</v>
      </c>
      <c r="AL47" s="28" t="s">
        <v>29</v>
      </c>
      <c r="AM47" s="28" t="s">
        <v>29</v>
      </c>
    </row>
    <row r="48" spans="1:39" x14ac:dyDescent="0.2">
      <c r="A48" s="8"/>
      <c r="F48" s="29"/>
      <c r="G48" s="30"/>
      <c r="H48" s="593" t="str">
        <f t="shared" si="17"/>
        <v>Fernando</v>
      </c>
      <c r="I48" s="594"/>
      <c r="J48" s="137" t="s">
        <v>62</v>
      </c>
      <c r="K48" s="137" t="s">
        <v>62</v>
      </c>
      <c r="L48" s="137" t="s">
        <v>62</v>
      </c>
      <c r="M48" s="137" t="s">
        <v>62</v>
      </c>
      <c r="N48" s="131" t="s">
        <v>112</v>
      </c>
      <c r="O48" s="62" t="s">
        <v>23</v>
      </c>
      <c r="P48" s="131" t="s">
        <v>112</v>
      </c>
      <c r="Q48" s="62" t="s">
        <v>23</v>
      </c>
      <c r="R48" s="131" t="s">
        <v>112</v>
      </c>
      <c r="S48" s="62" t="s">
        <v>23</v>
      </c>
      <c r="T48" s="131" t="s">
        <v>112</v>
      </c>
      <c r="U48" s="131" t="s">
        <v>112</v>
      </c>
      <c r="V48" s="131" t="s">
        <v>112</v>
      </c>
      <c r="W48" s="142" t="s">
        <v>119</v>
      </c>
      <c r="X48" s="142" t="s">
        <v>119</v>
      </c>
      <c r="Y48" s="62" t="s">
        <v>23</v>
      </c>
      <c r="Z48" s="142" t="s">
        <v>119</v>
      </c>
      <c r="AA48" s="62" t="s">
        <v>23</v>
      </c>
      <c r="AB48" s="142" t="s">
        <v>119</v>
      </c>
      <c r="AC48" s="62" t="s">
        <v>23</v>
      </c>
      <c r="AD48" s="142" t="s">
        <v>119</v>
      </c>
      <c r="AE48" s="142" t="s">
        <v>119</v>
      </c>
      <c r="AF48" s="142" t="s">
        <v>119</v>
      </c>
      <c r="AG48" s="142" t="s">
        <v>119</v>
      </c>
      <c r="AH48" s="142" t="s">
        <v>119</v>
      </c>
      <c r="AI48" s="62" t="s">
        <v>23</v>
      </c>
      <c r="AJ48" s="142" t="s">
        <v>119</v>
      </c>
      <c r="AK48" s="62" t="s">
        <v>23</v>
      </c>
      <c r="AL48" s="142" t="s">
        <v>119</v>
      </c>
      <c r="AM48" s="28" t="s">
        <v>29</v>
      </c>
    </row>
    <row r="49" spans="1:39" x14ac:dyDescent="0.2">
      <c r="A49" s="8"/>
      <c r="F49" s="31"/>
      <c r="G49" s="32"/>
      <c r="H49" s="593" t="str">
        <f t="shared" si="17"/>
        <v>Ricardo</v>
      </c>
      <c r="I49" s="594"/>
      <c r="J49" s="28" t="s">
        <v>29</v>
      </c>
      <c r="K49" s="28" t="s">
        <v>29</v>
      </c>
      <c r="L49" s="28" t="s">
        <v>29</v>
      </c>
      <c r="M49" s="28" t="s">
        <v>29</v>
      </c>
      <c r="N49" s="28" t="s">
        <v>29</v>
      </c>
      <c r="O49" s="150" t="s">
        <v>122</v>
      </c>
      <c r="P49" s="150" t="s">
        <v>122</v>
      </c>
      <c r="Q49" s="150" t="s">
        <v>122</v>
      </c>
      <c r="R49" s="150" t="s">
        <v>122</v>
      </c>
      <c r="S49" s="150" t="s">
        <v>122</v>
      </c>
      <c r="T49" s="150" t="s">
        <v>122</v>
      </c>
      <c r="U49" s="150" t="s">
        <v>122</v>
      </c>
      <c r="V49" s="150" t="s">
        <v>122</v>
      </c>
      <c r="W49" s="150" t="s">
        <v>122</v>
      </c>
      <c r="X49" s="150" t="s">
        <v>122</v>
      </c>
      <c r="Y49" s="150" t="s">
        <v>122</v>
      </c>
      <c r="Z49" s="150" t="s">
        <v>122</v>
      </c>
      <c r="AA49" s="150" t="s">
        <v>122</v>
      </c>
      <c r="AB49" s="150" t="s">
        <v>122</v>
      </c>
      <c r="AC49" s="150" t="s">
        <v>122</v>
      </c>
      <c r="AD49" s="150" t="s">
        <v>122</v>
      </c>
      <c r="AE49" s="150" t="s">
        <v>122</v>
      </c>
      <c r="AF49" s="150" t="s">
        <v>122</v>
      </c>
      <c r="AG49" s="150" t="s">
        <v>122</v>
      </c>
      <c r="AH49" s="150" t="s">
        <v>122</v>
      </c>
      <c r="AI49" s="150" t="s">
        <v>122</v>
      </c>
      <c r="AJ49" s="150" t="s">
        <v>122</v>
      </c>
      <c r="AK49" s="150" t="s">
        <v>122</v>
      </c>
      <c r="AL49" s="150" t="s">
        <v>122</v>
      </c>
      <c r="AM49" s="28" t="s">
        <v>29</v>
      </c>
    </row>
    <row r="50" spans="1:39" x14ac:dyDescent="0.2">
      <c r="A50" s="8"/>
      <c r="F50" s="29"/>
      <c r="G50" s="3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9" x14ac:dyDescent="0.2">
      <c r="F51" s="29"/>
      <c r="G51" s="30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9" x14ac:dyDescent="0.2">
      <c r="F52" s="33"/>
      <c r="G52" s="30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9" x14ac:dyDescent="0.2">
      <c r="F53" s="33"/>
      <c r="G53" s="30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9" x14ac:dyDescent="0.2">
      <c r="F54" s="33"/>
      <c r="G54" s="30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9" x14ac:dyDescent="0.2">
      <c r="F55" s="33"/>
      <c r="G55" s="30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9" x14ac:dyDescent="0.2">
      <c r="F56" s="33"/>
      <c r="G56" s="30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9" x14ac:dyDescent="0.2">
      <c r="F57" s="33"/>
      <c r="G57" s="30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9" x14ac:dyDescent="0.2">
      <c r="F58" s="33"/>
      <c r="G58" s="30"/>
      <c r="K58" s="1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9" x14ac:dyDescent="0.2">
      <c r="F59" s="33"/>
      <c r="G59" s="30"/>
      <c r="K59" s="1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9" x14ac:dyDescent="0.2">
      <c r="F60" s="33"/>
      <c r="G60" s="30"/>
      <c r="N60" s="19"/>
      <c r="Q60"/>
      <c r="AA60"/>
    </row>
    <row r="61" spans="1:39" x14ac:dyDescent="0.2">
      <c r="F61" s="33"/>
      <c r="G61" s="34"/>
      <c r="K61" s="19"/>
      <c r="N61" s="19"/>
      <c r="Q61"/>
    </row>
    <row r="62" spans="1:39" x14ac:dyDescent="0.2">
      <c r="F62" s="33"/>
      <c r="G62" s="34"/>
    </row>
    <row r="63" spans="1:39" x14ac:dyDescent="0.2">
      <c r="G63"/>
    </row>
    <row r="65" spans="2:39" x14ac:dyDescent="0.2">
      <c r="F65"/>
    </row>
    <row r="66" spans="2:39" x14ac:dyDescent="0.2">
      <c r="F66"/>
    </row>
    <row r="67" spans="2:39" s="1" customFormat="1" x14ac:dyDescent="0.2">
      <c r="B67"/>
      <c r="C67"/>
      <c r="D67"/>
      <c r="F67"/>
      <c r="G67" s="7"/>
      <c r="AG67"/>
      <c r="AH67"/>
      <c r="AI67"/>
      <c r="AJ67"/>
      <c r="AK67"/>
      <c r="AL67"/>
      <c r="AM67"/>
    </row>
    <row r="68" spans="2:39" s="1" customFormat="1" x14ac:dyDescent="0.2">
      <c r="B68"/>
      <c r="C68"/>
      <c r="D68"/>
      <c r="F68" s="7"/>
      <c r="G68" s="7"/>
      <c r="AG68"/>
      <c r="AH68"/>
      <c r="AI68"/>
      <c r="AJ68"/>
      <c r="AK68"/>
      <c r="AL68"/>
      <c r="AM68"/>
    </row>
    <row r="69" spans="2:39" s="1" customFormat="1" x14ac:dyDescent="0.2">
      <c r="B69"/>
      <c r="C69"/>
      <c r="D69"/>
      <c r="F69" s="7"/>
      <c r="G69" s="7"/>
      <c r="AG69"/>
      <c r="AH69"/>
      <c r="AI69"/>
      <c r="AJ69"/>
      <c r="AK69"/>
      <c r="AL69"/>
      <c r="AM69"/>
    </row>
    <row r="70" spans="2:39" s="1" customFormat="1" x14ac:dyDescent="0.2">
      <c r="B70"/>
      <c r="C70"/>
      <c r="D70"/>
      <c r="F70" s="7"/>
      <c r="G70" s="7"/>
      <c r="AG70"/>
      <c r="AH70"/>
      <c r="AI70"/>
      <c r="AJ70"/>
      <c r="AK70"/>
      <c r="AL70"/>
      <c r="AM70"/>
    </row>
    <row r="71" spans="2:39" s="1" customFormat="1" x14ac:dyDescent="0.2">
      <c r="B71"/>
      <c r="C71"/>
      <c r="D71"/>
      <c r="F71" s="7"/>
      <c r="G71" s="7"/>
      <c r="AG71"/>
      <c r="AH71"/>
      <c r="AI71"/>
      <c r="AJ71"/>
      <c r="AK71"/>
      <c r="AL71"/>
      <c r="AM71"/>
    </row>
    <row r="72" spans="2:39" s="1" customFormat="1" x14ac:dyDescent="0.2">
      <c r="B72"/>
      <c r="C72"/>
      <c r="D72"/>
      <c r="F72" s="7"/>
      <c r="G72" s="7"/>
      <c r="AG72"/>
      <c r="AH72"/>
      <c r="AI72"/>
      <c r="AJ72"/>
      <c r="AK72"/>
      <c r="AL72"/>
      <c r="AM72"/>
    </row>
    <row r="73" spans="2:39" s="1" customFormat="1" x14ac:dyDescent="0.2">
      <c r="B73"/>
      <c r="C73"/>
      <c r="D73"/>
      <c r="F73" s="7"/>
      <c r="G73" s="7"/>
      <c r="AG73"/>
      <c r="AH73"/>
      <c r="AI73"/>
    </row>
    <row r="74" spans="2:39" s="1" customFormat="1" x14ac:dyDescent="0.2">
      <c r="B74"/>
      <c r="C74"/>
      <c r="D74"/>
      <c r="F74" s="7"/>
      <c r="G74" s="7"/>
      <c r="AG74"/>
      <c r="AH74"/>
      <c r="AI74"/>
    </row>
    <row r="75" spans="2:39" s="1" customFormat="1" x14ac:dyDescent="0.2">
      <c r="B75"/>
      <c r="C75"/>
      <c r="D75"/>
      <c r="F75" s="7"/>
      <c r="G75" s="7"/>
      <c r="AG75"/>
      <c r="AH75"/>
      <c r="AI75"/>
    </row>
    <row r="76" spans="2:39" s="1" customFormat="1" x14ac:dyDescent="0.2">
      <c r="B76"/>
      <c r="C76"/>
      <c r="D76"/>
      <c r="F76" s="7"/>
      <c r="G76" s="7"/>
      <c r="AG76"/>
      <c r="AH76"/>
      <c r="AI76"/>
    </row>
    <row r="77" spans="2:39" x14ac:dyDescent="0.2">
      <c r="AJ77" s="1"/>
      <c r="AK77" s="1"/>
      <c r="AL77" s="1"/>
      <c r="AM77" s="1"/>
    </row>
    <row r="78" spans="2:39" x14ac:dyDescent="0.2">
      <c r="AJ78" s="1"/>
      <c r="AK78" s="1"/>
      <c r="AL78" s="1"/>
      <c r="AM78" s="1"/>
    </row>
    <row r="79" spans="2:39" x14ac:dyDescent="0.2">
      <c r="AJ79" s="1"/>
      <c r="AK79" s="1"/>
      <c r="AL79" s="1"/>
      <c r="AM79" s="1"/>
    </row>
    <row r="80" spans="2:39" x14ac:dyDescent="0.2">
      <c r="AJ80" s="1"/>
      <c r="AK80" s="1"/>
      <c r="AL80" s="1"/>
      <c r="AM80" s="1"/>
    </row>
    <row r="81" spans="36:39" x14ac:dyDescent="0.2">
      <c r="AJ81" s="1"/>
      <c r="AK81" s="1"/>
      <c r="AL81" s="1"/>
      <c r="AM81" s="1"/>
    </row>
    <row r="82" spans="36:39" x14ac:dyDescent="0.2">
      <c r="AJ82" s="1"/>
      <c r="AK82" s="1"/>
      <c r="AL82" s="1"/>
      <c r="AM82" s="1"/>
    </row>
  </sheetData>
  <mergeCells count="85">
    <mergeCell ref="J40:AM40"/>
    <mergeCell ref="H48:I48"/>
    <mergeCell ref="H47:I47"/>
    <mergeCell ref="H49:I49"/>
    <mergeCell ref="AI41:AM41"/>
    <mergeCell ref="H42:I42"/>
    <mergeCell ref="H43:I43"/>
    <mergeCell ref="H44:I44"/>
    <mergeCell ref="H45:I45"/>
    <mergeCell ref="H46:I46"/>
    <mergeCell ref="J41:N41"/>
    <mergeCell ref="O41:S41"/>
    <mergeCell ref="T41:X41"/>
    <mergeCell ref="Y41:AC41"/>
    <mergeCell ref="AD41:AH41"/>
    <mergeCell ref="H33:I33"/>
    <mergeCell ref="H34:I34"/>
    <mergeCell ref="H35:I35"/>
    <mergeCell ref="H37:I37"/>
    <mergeCell ref="H36:I36"/>
    <mergeCell ref="H32:I32"/>
    <mergeCell ref="B18:E18"/>
    <mergeCell ref="J28:AM28"/>
    <mergeCell ref="B19:D19"/>
    <mergeCell ref="J29:N29"/>
    <mergeCell ref="O29:S29"/>
    <mergeCell ref="T29:X29"/>
    <mergeCell ref="Y29:AC29"/>
    <mergeCell ref="AD29:AH29"/>
    <mergeCell ref="AI29:AM29"/>
    <mergeCell ref="B20:D20"/>
    <mergeCell ref="H30:I30"/>
    <mergeCell ref="H31:I31"/>
    <mergeCell ref="B22:E22"/>
    <mergeCell ref="U25:X25"/>
    <mergeCell ref="U24:X24"/>
    <mergeCell ref="U21:X21"/>
    <mergeCell ref="B14:D14"/>
    <mergeCell ref="U22:X22"/>
    <mergeCell ref="B15:D15"/>
    <mergeCell ref="B16:D16"/>
    <mergeCell ref="U23:X23"/>
    <mergeCell ref="B12:E12"/>
    <mergeCell ref="U11:X11"/>
    <mergeCell ref="D5:E5"/>
    <mergeCell ref="D6:E6"/>
    <mergeCell ref="D7:E7"/>
    <mergeCell ref="D9:E9"/>
    <mergeCell ref="D10:E10"/>
    <mergeCell ref="U9:X9"/>
    <mergeCell ref="U10:X10"/>
    <mergeCell ref="D8:E8"/>
    <mergeCell ref="U12:X12"/>
    <mergeCell ref="U7:X7"/>
    <mergeCell ref="U8:X8"/>
    <mergeCell ref="J4:R5"/>
    <mergeCell ref="B13:D13"/>
    <mergeCell ref="Y3:Y5"/>
    <mergeCell ref="Z3:Z5"/>
    <mergeCell ref="AJ4:AJ5"/>
    <mergeCell ref="AE4:AE5"/>
    <mergeCell ref="AF4:AF5"/>
    <mergeCell ref="AG4:AG5"/>
    <mergeCell ref="AH4:AH5"/>
    <mergeCell ref="D3:E3"/>
    <mergeCell ref="H3:R3"/>
    <mergeCell ref="S3:S5"/>
    <mergeCell ref="T3:T5"/>
    <mergeCell ref="U3:X5"/>
    <mergeCell ref="H2:AN2"/>
    <mergeCell ref="D4:E4"/>
    <mergeCell ref="H4:H5"/>
    <mergeCell ref="I4:I5"/>
    <mergeCell ref="AA4:AA5"/>
    <mergeCell ref="AB4:AB5"/>
    <mergeCell ref="AC4:AC5"/>
    <mergeCell ref="AD4:AD5"/>
    <mergeCell ref="AI4:AI5"/>
    <mergeCell ref="AA3:AG3"/>
    <mergeCell ref="AH3:AN3"/>
    <mergeCell ref="AK4:AK5"/>
    <mergeCell ref="AL4:AL5"/>
    <mergeCell ref="AM4:AM5"/>
    <mergeCell ref="AN4:AN5"/>
    <mergeCell ref="B2:E2"/>
  </mergeCells>
  <conditionalFormatting sqref="AF6:AF25">
    <cfRule type="expression" dxfId="121" priority="5">
      <formula>$AF6&gt;1</formula>
    </cfRule>
    <cfRule type="expression" dxfId="120" priority="6">
      <formula>$AF6=1</formula>
    </cfRule>
    <cfRule type="expression" dxfId="119" priority="7">
      <formula>$AF6&lt;1</formula>
    </cfRule>
  </conditionalFormatting>
  <conditionalFormatting sqref="AG6:AG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118" priority="2">
      <formula>$AM6&lt;1</formula>
    </cfRule>
    <cfRule type="expression" dxfId="117" priority="3">
      <formula>$AM6=1</formula>
    </cfRule>
    <cfRule type="expression" dxfId="116" priority="4">
      <formula>$AM6&gt;1</formula>
    </cfRule>
  </conditionalFormatting>
  <conditionalFormatting sqref="AM26:AN26">
    <cfRule type="colorScale" priority="1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9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115" priority="10">
      <formula>$AD6&gt;=$Z6</formula>
    </cfRule>
    <cfRule type="expression" dxfId="114" priority="11">
      <formula>$AD6&lt;$Z6</formula>
    </cfRule>
  </conditionalFormatting>
  <hyperlinks>
    <hyperlink ref="I8" r:id="rId1" display="https://digitial-product-engineering.atlassian.net/browse/CWS-6529" xr:uid="{78D0E9F1-6338-A747-BFE7-4B6B8D506AAA}"/>
    <hyperlink ref="I7" r:id="rId2" display="https://digitial-product-engineering.atlassian.net/browse/CWS-6526" xr:uid="{E96FA7D3-81CB-E645-9E0B-D0CE67100318}"/>
    <hyperlink ref="I6" r:id="rId3" display="https://digitial-product-engineering.atlassian.net/browse/CWS-9279" xr:uid="{CA1E82A7-CD0D-A840-8B0C-09437B246AE4}"/>
    <hyperlink ref="I10" r:id="rId4" display="https://digitial-product-engineering.atlassian.net/browse/CWS-9500" xr:uid="{EDDFF52D-2D0D-3548-B795-508ED2C234FC}"/>
    <hyperlink ref="I9" r:id="rId5" display="https://digitial-product-engineering.atlassian.net/browse/CWS-9906" xr:uid="{A3B7B3D2-C440-CF4C-B58D-F46EB1F59136}"/>
  </hyperlinks>
  <pageMargins left="0.511811024" right="0.511811024" top="0.78740157499999996" bottom="0.78740157499999996" header="0.31496062000000002" footer="0.31496062000000002"/>
  <pageSetup paperSize="9" orientation="portrait" horizontalDpi="0" verticalDpi="0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F34A2-BA1C-C44F-8CEA-7C43EDC97C21}">
  <sheetPr codeName="Sheet3"/>
  <dimension ref="A1:AP94"/>
  <sheetViews>
    <sheetView showGridLines="0" topLeftCell="K1" zoomScale="120" zoomScaleNormal="120" workbookViewId="0">
      <selection activeCell="AK6" sqref="AK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10.6640625" style="1" customWidth="1"/>
    <col min="9" max="9" width="11.6640625" style="1" customWidth="1"/>
    <col min="10" max="32" width="10.6640625" style="1" customWidth="1"/>
    <col min="33" max="39" width="10.6640625" customWidth="1"/>
  </cols>
  <sheetData>
    <row r="1" spans="1:42" ht="17" thickBot="1" x14ac:dyDescent="0.25"/>
    <row r="2" spans="1:42" ht="17" thickBot="1" x14ac:dyDescent="0.25">
      <c r="B2" s="644" t="s">
        <v>97</v>
      </c>
      <c r="C2" s="644"/>
      <c r="D2" s="644"/>
      <c r="E2" s="644"/>
      <c r="F2" s="29"/>
      <c r="G2" s="30"/>
      <c r="H2" s="622" t="s">
        <v>98</v>
      </c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</row>
    <row r="3" spans="1:4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133</v>
      </c>
      <c r="T3" s="650" t="s">
        <v>99</v>
      </c>
      <c r="U3" s="651" t="s">
        <v>6</v>
      </c>
      <c r="V3" s="652"/>
      <c r="W3" s="652"/>
      <c r="X3" s="653"/>
      <c r="Y3" s="653" t="s">
        <v>134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2" ht="16" customHeight="1" x14ac:dyDescent="0.2">
      <c r="B4" s="102" t="s">
        <v>13</v>
      </c>
      <c r="C4" s="4" t="s">
        <v>57</v>
      </c>
      <c r="D4" s="598" t="s">
        <v>15</v>
      </c>
      <c r="E4" s="624"/>
      <c r="F4" s="148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  <c r="AP4" s="695" t="s">
        <v>140</v>
      </c>
    </row>
    <row r="5" spans="1:42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  <c r="AP5" s="696"/>
    </row>
    <row r="6" spans="1:42" ht="16" customHeight="1" x14ac:dyDescent="0.2">
      <c r="B6" s="102" t="s">
        <v>19</v>
      </c>
      <c r="C6" s="4" t="s">
        <v>14</v>
      </c>
      <c r="D6" s="598" t="s">
        <v>71</v>
      </c>
      <c r="E6" s="624"/>
      <c r="F6" s="29"/>
      <c r="G6" s="30"/>
      <c r="H6" s="164" t="s">
        <v>141</v>
      </c>
      <c r="I6" s="109" t="s">
        <v>142</v>
      </c>
      <c r="J6" s="276" t="s">
        <v>143</v>
      </c>
      <c r="K6" s="277"/>
      <c r="L6" s="277"/>
      <c r="M6" s="277"/>
      <c r="N6" s="277"/>
      <c r="O6" s="277"/>
      <c r="P6" s="277"/>
      <c r="Q6" s="277"/>
      <c r="R6" s="278"/>
      <c r="S6" s="108" t="s">
        <v>26</v>
      </c>
      <c r="T6" s="126">
        <v>10</v>
      </c>
      <c r="U6" s="276"/>
      <c r="V6" s="277"/>
      <c r="W6" s="277"/>
      <c r="X6" s="549"/>
      <c r="Y6" s="115" t="s">
        <v>144</v>
      </c>
      <c r="Z6" s="169">
        <f t="shared" ref="Z6:Z7" si="0">IF(OR($E$37=0,T6=0),0,IF($E$37=0,0,ROUNDUP(T6*8/$E$37,0)))</f>
        <v>17</v>
      </c>
      <c r="AA6" s="569" cm="1">
        <f t="array" ref="AA6">CountUniquePeopleByTask($H6,$J$44:$AM$51,$H$44:$I$51)</f>
        <v>1</v>
      </c>
      <c r="AB6" s="84">
        <f t="shared" ref="AB6:AB25" si="1">COUNTIF($J$45:$AM$51,H6)</f>
        <v>0</v>
      </c>
      <c r="AC6" s="38">
        <f t="shared" ref="AC6:AC25" si="2">COUNTIF($J$44:$AM$44,H6)</f>
        <v>17</v>
      </c>
      <c r="AD6" s="38">
        <f t="shared" ref="AD6:AD21" si="3">AB6+AC6</f>
        <v>17</v>
      </c>
      <c r="AE6" s="87">
        <f t="shared" ref="AE6:AE24" si="4">AB6*$C$37+AC6*$D$37</f>
        <v>67.618965517241392</v>
      </c>
      <c r="AF6" s="110">
        <f t="shared" ref="AF6:AF25" si="5">IF(Z6=0,0,AD6/Z6)</f>
        <v>1</v>
      </c>
      <c r="AG6" s="110">
        <f t="shared" ref="AG6:AG25" si="6">IF($AD$26=0,0,AD6/$AD$26)</f>
        <v>7.0833333333333331E-2</v>
      </c>
      <c r="AH6" s="578" cm="1">
        <f t="array" ref="AH6">CountUniquePeopleByTask($H6,$J$31:$AM$38,$H$31:$I$38)</f>
        <v>1</v>
      </c>
      <c r="AI6" s="84">
        <f t="shared" ref="AI6:AI25" si="7">COUNTIF($J$32:$AM$38,$H6)</f>
        <v>0</v>
      </c>
      <c r="AJ6" s="38">
        <f t="shared" ref="AJ6:AJ25" si="8">COUNTIF($J$31:$AM$31,$H6)</f>
        <v>26</v>
      </c>
      <c r="AK6" s="38">
        <f t="shared" ref="AK6:AK21" si="9">AI6+AJ6</f>
        <v>26</v>
      </c>
      <c r="AL6" s="87">
        <f t="shared" ref="AL6:AL24" si="10">AI6*$C$37+AJ6*$D$37</f>
        <v>103.41724137931037</v>
      </c>
      <c r="AM6" s="110">
        <f t="shared" ref="AM6:AM25" si="11">IF(AE6=0,0,AL6/AE6)</f>
        <v>1.5294117647058825</v>
      </c>
      <c r="AN6" s="81">
        <f t="shared" ref="AN6:AN25" si="12">IF(AD6=0,"Unplanned",((ABS(AK6-AD6)/AD6)))</f>
        <v>0.52941176470588236</v>
      </c>
      <c r="AP6" s="180" t="s">
        <v>26</v>
      </c>
    </row>
    <row r="7" spans="1:42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175" t="s">
        <v>145</v>
      </c>
      <c r="I7" s="11" t="s">
        <v>146</v>
      </c>
      <c r="J7" s="543" t="s">
        <v>147</v>
      </c>
      <c r="K7" s="400"/>
      <c r="L7" s="400"/>
      <c r="M7" s="400"/>
      <c r="N7" s="400"/>
      <c r="O7" s="400"/>
      <c r="P7" s="400"/>
      <c r="Q7" s="400"/>
      <c r="R7" s="544"/>
      <c r="S7" s="25" t="s">
        <v>26</v>
      </c>
      <c r="T7" s="52">
        <v>15</v>
      </c>
      <c r="U7" s="55"/>
      <c r="V7" s="56"/>
      <c r="W7" s="56"/>
      <c r="X7" s="116"/>
      <c r="Y7" s="113" t="s">
        <v>148</v>
      </c>
      <c r="Z7" s="170">
        <f t="shared" si="0"/>
        <v>26</v>
      </c>
      <c r="AA7" s="567" cm="1">
        <f t="array" ref="AA7">CountUniquePeopleByTask($H7,$J$44:$AM$51,$H$44:$I$51)</f>
        <v>2</v>
      </c>
      <c r="AB7" s="84">
        <f t="shared" si="1"/>
        <v>22</v>
      </c>
      <c r="AC7" s="38">
        <f t="shared" si="2"/>
        <v>4</v>
      </c>
      <c r="AD7" s="38">
        <f t="shared" si="3"/>
        <v>26</v>
      </c>
      <c r="AE7" s="87">
        <f t="shared" si="4"/>
        <v>133.91379310344831</v>
      </c>
      <c r="AF7" s="110">
        <f t="shared" si="5"/>
        <v>1</v>
      </c>
      <c r="AG7" s="79">
        <f t="shared" si="6"/>
        <v>0.10833333333333334</v>
      </c>
      <c r="AH7" s="579" cm="1">
        <f t="array" ref="AH7">CountUniquePeopleByTask($H7,$J$31:$AM$38,$H$31:$I$38)</f>
        <v>1</v>
      </c>
      <c r="AI7" s="84">
        <f t="shared" si="7"/>
        <v>5</v>
      </c>
      <c r="AJ7" s="38">
        <f t="shared" si="8"/>
        <v>0</v>
      </c>
      <c r="AK7" s="38">
        <f t="shared" si="9"/>
        <v>5</v>
      </c>
      <c r="AL7" s="87">
        <f t="shared" si="10"/>
        <v>26.818965517241384</v>
      </c>
      <c r="AM7" s="110">
        <f t="shared" si="11"/>
        <v>0.20027037466203165</v>
      </c>
      <c r="AN7" s="81">
        <f t="shared" si="12"/>
        <v>0.80769230769230771</v>
      </c>
      <c r="AP7" s="181" t="s">
        <v>149</v>
      </c>
    </row>
    <row r="8" spans="1:42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132" t="s">
        <v>59</v>
      </c>
      <c r="I8" s="11" t="s">
        <v>150</v>
      </c>
      <c r="J8" s="408" t="s">
        <v>151</v>
      </c>
      <c r="K8" s="400"/>
      <c r="L8" s="400"/>
      <c r="M8" s="400"/>
      <c r="N8" s="400"/>
      <c r="O8" s="400"/>
      <c r="P8" s="400"/>
      <c r="Q8" s="400"/>
      <c r="R8" s="544"/>
      <c r="S8" s="25" t="s">
        <v>149</v>
      </c>
      <c r="T8" s="52">
        <v>17</v>
      </c>
      <c r="U8" s="55"/>
      <c r="V8" s="56"/>
      <c r="W8" s="56"/>
      <c r="X8" s="116"/>
      <c r="Y8" s="113" t="s">
        <v>144</v>
      </c>
      <c r="Z8" s="170">
        <v>3</v>
      </c>
      <c r="AA8" s="567" cm="1">
        <f t="array" ref="AA8">CountUniquePeopleByTask($H8,$J$44:$AM$51,$H$44:$I$51)</f>
        <v>2</v>
      </c>
      <c r="AB8" s="84">
        <f t="shared" si="1"/>
        <v>29</v>
      </c>
      <c r="AC8" s="38">
        <f t="shared" si="2"/>
        <v>0</v>
      </c>
      <c r="AD8" s="38">
        <f t="shared" si="3"/>
        <v>29</v>
      </c>
      <c r="AE8" s="87">
        <f t="shared" si="4"/>
        <v>155.55000000000004</v>
      </c>
      <c r="AF8" s="110">
        <f t="shared" si="5"/>
        <v>9.6666666666666661</v>
      </c>
      <c r="AG8" s="81">
        <f t="shared" si="6"/>
        <v>0.12083333333333333</v>
      </c>
      <c r="AH8" s="579" cm="1">
        <f t="array" ref="AH8">CountUniquePeopleByTask($H8,$J$31:$AM$38,$H$31:$I$38)</f>
        <v>1</v>
      </c>
      <c r="AI8" s="84">
        <f t="shared" si="7"/>
        <v>20</v>
      </c>
      <c r="AJ8" s="38">
        <f t="shared" si="8"/>
        <v>0</v>
      </c>
      <c r="AK8" s="38">
        <f t="shared" si="9"/>
        <v>20</v>
      </c>
      <c r="AL8" s="87">
        <f t="shared" si="10"/>
        <v>107.27586206896554</v>
      </c>
      <c r="AM8" s="110">
        <f t="shared" si="11"/>
        <v>0.68965517241379304</v>
      </c>
      <c r="AN8" s="81">
        <f t="shared" si="12"/>
        <v>0.31034482758620691</v>
      </c>
      <c r="AP8" s="181" t="s">
        <v>152</v>
      </c>
    </row>
    <row r="9" spans="1:42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160" t="s">
        <v>153</v>
      </c>
      <c r="I9" s="11" t="s">
        <v>154</v>
      </c>
      <c r="J9" s="408" t="s">
        <v>155</v>
      </c>
      <c r="K9" s="400"/>
      <c r="L9" s="400"/>
      <c r="M9" s="400"/>
      <c r="N9" s="400"/>
      <c r="O9" s="400"/>
      <c r="P9" s="400"/>
      <c r="Q9" s="400"/>
      <c r="R9" s="544"/>
      <c r="S9" s="25" t="s">
        <v>26</v>
      </c>
      <c r="T9" s="52">
        <v>9</v>
      </c>
      <c r="U9" s="690"/>
      <c r="V9" s="691"/>
      <c r="W9" s="691"/>
      <c r="X9" s="692"/>
      <c r="Y9" s="113" t="s">
        <v>144</v>
      </c>
      <c r="Z9" s="170">
        <f t="shared" ref="Z9:Z22" si="13">IF(OR($E$37=0,T9=0),0,IF($E$37=0,0,ROUNDUP(T9*8/$E$37,0)))</f>
        <v>16</v>
      </c>
      <c r="AA9" s="567" cm="1">
        <f t="array" ref="AA9">CountUniquePeopleByTask($H9,$J$44:$AM$51,$H$44:$I$51)</f>
        <v>1</v>
      </c>
      <c r="AB9" s="84">
        <f t="shared" si="1"/>
        <v>16</v>
      </c>
      <c r="AC9" s="38">
        <f t="shared" si="2"/>
        <v>0</v>
      </c>
      <c r="AD9" s="38">
        <f t="shared" si="3"/>
        <v>16</v>
      </c>
      <c r="AE9" s="87">
        <f t="shared" si="4"/>
        <v>85.82068965517243</v>
      </c>
      <c r="AF9" s="110">
        <f t="shared" si="5"/>
        <v>1</v>
      </c>
      <c r="AG9" s="81">
        <f t="shared" si="6"/>
        <v>6.6666666666666666E-2</v>
      </c>
      <c r="AH9" s="579" cm="1">
        <f t="array" ref="AH9">CountUniquePeopleByTask($H9,$J$31:$AM$38,$H$31:$I$38)</f>
        <v>1</v>
      </c>
      <c r="AI9" s="84">
        <f t="shared" si="7"/>
        <v>15</v>
      </c>
      <c r="AJ9" s="38">
        <f t="shared" si="8"/>
        <v>0</v>
      </c>
      <c r="AK9" s="38">
        <f t="shared" si="9"/>
        <v>15</v>
      </c>
      <c r="AL9" s="87">
        <f t="shared" si="10"/>
        <v>80.456896551724157</v>
      </c>
      <c r="AM9" s="110">
        <f t="shared" si="11"/>
        <v>0.9375</v>
      </c>
      <c r="AN9" s="81">
        <f t="shared" si="12"/>
        <v>6.25E-2</v>
      </c>
      <c r="AP9" s="194" t="s">
        <v>29</v>
      </c>
    </row>
    <row r="10" spans="1:42" ht="17" thickBot="1" x14ac:dyDescent="0.25">
      <c r="A10" s="147"/>
      <c r="B10" s="146" t="s">
        <v>19</v>
      </c>
      <c r="C10" s="4" t="s">
        <v>14</v>
      </c>
      <c r="D10" s="598" t="s">
        <v>156</v>
      </c>
      <c r="E10" s="624"/>
      <c r="F10" s="29"/>
      <c r="G10" s="30"/>
      <c r="H10" s="132" t="s">
        <v>157</v>
      </c>
      <c r="I10" s="11" t="s">
        <v>158</v>
      </c>
      <c r="J10" s="408" t="s">
        <v>159</v>
      </c>
      <c r="K10" s="400"/>
      <c r="L10" s="400"/>
      <c r="M10" s="400"/>
      <c r="N10" s="400"/>
      <c r="O10" s="400"/>
      <c r="P10" s="400"/>
      <c r="Q10" s="400"/>
      <c r="R10" s="544"/>
      <c r="S10" s="25" t="s">
        <v>149</v>
      </c>
      <c r="T10" s="52">
        <v>12</v>
      </c>
      <c r="U10" s="690"/>
      <c r="V10" s="691"/>
      <c r="W10" s="691"/>
      <c r="X10" s="692"/>
      <c r="Y10" s="113" t="s">
        <v>62</v>
      </c>
      <c r="Z10" s="170">
        <f t="shared" si="13"/>
        <v>21</v>
      </c>
      <c r="AA10" s="567" cm="1">
        <f t="array" ref="AA10">CountUniquePeopleByTask($H10,$J$44:$AM$51,$H$44:$I$51)</f>
        <v>2</v>
      </c>
      <c r="AB10" s="49">
        <f t="shared" si="1"/>
        <v>20</v>
      </c>
      <c r="AC10" s="16">
        <f t="shared" si="2"/>
        <v>0</v>
      </c>
      <c r="AD10" s="16">
        <f t="shared" si="3"/>
        <v>20</v>
      </c>
      <c r="AE10" s="88">
        <f t="shared" si="4"/>
        <v>107.27586206896554</v>
      </c>
      <c r="AF10" s="110">
        <f t="shared" si="5"/>
        <v>0.95238095238095233</v>
      </c>
      <c r="AG10" s="79">
        <f t="shared" si="6"/>
        <v>8.3333333333333329E-2</v>
      </c>
      <c r="AH10" s="579" cm="1">
        <f t="array" ref="AH10">CountUniquePeopleByTask($H10,$J$31:$AM$38,$H$31:$I$38)</f>
        <v>2</v>
      </c>
      <c r="AI10" s="49">
        <f t="shared" si="7"/>
        <v>16</v>
      </c>
      <c r="AJ10" s="16">
        <f t="shared" si="8"/>
        <v>0</v>
      </c>
      <c r="AK10" s="16">
        <f t="shared" si="9"/>
        <v>16</v>
      </c>
      <c r="AL10" s="88">
        <f t="shared" si="10"/>
        <v>85.82068965517243</v>
      </c>
      <c r="AM10" s="110">
        <f t="shared" si="11"/>
        <v>0.8</v>
      </c>
      <c r="AN10" s="81">
        <f t="shared" si="12"/>
        <v>0.2</v>
      </c>
      <c r="AP10" s="182" t="s">
        <v>23</v>
      </c>
    </row>
    <row r="11" spans="1:42" ht="17" thickBot="1" x14ac:dyDescent="0.25">
      <c r="B11" s="144" t="s">
        <v>19</v>
      </c>
      <c r="C11" s="145" t="s">
        <v>14</v>
      </c>
      <c r="D11" s="665" t="s">
        <v>115</v>
      </c>
      <c r="E11" s="666"/>
      <c r="F11" s="29"/>
      <c r="G11" s="30"/>
      <c r="H11" s="199" t="s">
        <v>160</v>
      </c>
      <c r="I11" s="11" t="s">
        <v>362</v>
      </c>
      <c r="J11" s="408" t="s">
        <v>363</v>
      </c>
      <c r="K11" s="24"/>
      <c r="L11" s="24"/>
      <c r="M11" s="24"/>
      <c r="N11" s="24"/>
      <c r="O11" s="24"/>
      <c r="P11" s="24"/>
      <c r="Q11" s="24"/>
      <c r="R11" s="25"/>
      <c r="S11" s="25" t="s">
        <v>26</v>
      </c>
      <c r="T11" s="52">
        <v>0</v>
      </c>
      <c r="U11" s="55"/>
      <c r="V11" s="56"/>
      <c r="W11" s="56"/>
      <c r="X11" s="116"/>
      <c r="Y11" s="113" t="s">
        <v>62</v>
      </c>
      <c r="Z11" s="170">
        <f t="shared" si="13"/>
        <v>0</v>
      </c>
      <c r="AA11" s="567" cm="1">
        <f t="array" ref="AA11">CountUniquePeopleByTask($H11,$J$44:$AM$51,$H$44:$I$51)</f>
        <v>0</v>
      </c>
      <c r="AB11" s="84">
        <f t="shared" si="1"/>
        <v>0</v>
      </c>
      <c r="AC11" s="38">
        <f t="shared" si="2"/>
        <v>0</v>
      </c>
      <c r="AD11" s="38">
        <f t="shared" si="3"/>
        <v>0</v>
      </c>
      <c r="AE11" s="87">
        <f t="shared" si="4"/>
        <v>0</v>
      </c>
      <c r="AF11" s="110">
        <f t="shared" si="5"/>
        <v>0</v>
      </c>
      <c r="AG11" s="81">
        <f t="shared" si="6"/>
        <v>0</v>
      </c>
      <c r="AH11" s="579" cm="1">
        <f t="array" ref="AH11">CountUniquePeopleByTask($H11,$J$31:$AM$38,$H$31:$I$38)</f>
        <v>1</v>
      </c>
      <c r="AI11" s="84">
        <f t="shared" si="7"/>
        <v>9</v>
      </c>
      <c r="AJ11" s="38">
        <f t="shared" si="8"/>
        <v>0</v>
      </c>
      <c r="AK11" s="38">
        <f t="shared" si="9"/>
        <v>9</v>
      </c>
      <c r="AL11" s="87">
        <f t="shared" si="10"/>
        <v>48.274137931034488</v>
      </c>
      <c r="AM11" s="110">
        <f t="shared" si="11"/>
        <v>0</v>
      </c>
      <c r="AN11" s="81" t="str">
        <f t="shared" si="12"/>
        <v>Unplanned</v>
      </c>
    </row>
    <row r="12" spans="1:42" ht="17" customHeight="1" thickBot="1" x14ac:dyDescent="0.25">
      <c r="B12" s="7"/>
      <c r="C12" s="7"/>
      <c r="D12" s="1"/>
      <c r="F12" s="29"/>
      <c r="G12" s="30"/>
      <c r="H12" s="167" t="s">
        <v>161</v>
      </c>
      <c r="I12" s="11" t="s">
        <v>162</v>
      </c>
      <c r="J12" s="408" t="s">
        <v>163</v>
      </c>
      <c r="K12" s="400"/>
      <c r="L12" s="400"/>
      <c r="M12" s="400"/>
      <c r="N12" s="400"/>
      <c r="O12" s="400"/>
      <c r="P12" s="400"/>
      <c r="Q12" s="400"/>
      <c r="R12" s="544"/>
      <c r="S12" s="25" t="s">
        <v>149</v>
      </c>
      <c r="T12" s="52">
        <v>12</v>
      </c>
      <c r="U12" s="55"/>
      <c r="V12" s="56"/>
      <c r="W12" s="56"/>
      <c r="X12" s="116"/>
      <c r="Y12" s="113" t="s">
        <v>144</v>
      </c>
      <c r="Z12" s="170">
        <f t="shared" si="13"/>
        <v>21</v>
      </c>
      <c r="AA12" s="567" cm="1">
        <f t="array" ref="AA12">CountUniquePeopleByTask($H12,$J$44:$AM$51,$H$44:$I$51)</f>
        <v>1</v>
      </c>
      <c r="AB12" s="49">
        <f t="shared" si="1"/>
        <v>20</v>
      </c>
      <c r="AC12" s="16">
        <f t="shared" si="2"/>
        <v>0</v>
      </c>
      <c r="AD12" s="16">
        <f t="shared" si="3"/>
        <v>20</v>
      </c>
      <c r="AE12" s="88">
        <f t="shared" si="4"/>
        <v>107.27586206896554</v>
      </c>
      <c r="AF12" s="110">
        <f t="shared" si="5"/>
        <v>0.95238095238095233</v>
      </c>
      <c r="AG12" s="79">
        <f t="shared" si="6"/>
        <v>8.3333333333333329E-2</v>
      </c>
      <c r="AH12" s="579" cm="1">
        <f t="array" ref="AH12">CountUniquePeopleByTask($H12,$J$31:$AM$38,$H$31:$I$38)</f>
        <v>1</v>
      </c>
      <c r="AI12" s="49">
        <f t="shared" si="7"/>
        <v>13</v>
      </c>
      <c r="AJ12" s="16">
        <f t="shared" si="8"/>
        <v>0</v>
      </c>
      <c r="AK12" s="16">
        <f t="shared" si="9"/>
        <v>13</v>
      </c>
      <c r="AL12" s="88">
        <f t="shared" si="10"/>
        <v>69.729310344827596</v>
      </c>
      <c r="AM12" s="110">
        <f t="shared" si="11"/>
        <v>0.65</v>
      </c>
      <c r="AN12" s="81">
        <f t="shared" si="12"/>
        <v>0.35</v>
      </c>
    </row>
    <row r="13" spans="1:42" ht="17" thickBot="1" x14ac:dyDescent="0.25">
      <c r="B13" s="644" t="s">
        <v>98</v>
      </c>
      <c r="C13" s="644"/>
      <c r="D13" s="644"/>
      <c r="E13" s="644"/>
      <c r="F13" s="29"/>
      <c r="G13" s="30"/>
      <c r="H13" s="177" t="s">
        <v>164</v>
      </c>
      <c r="I13" s="11" t="s">
        <v>165</v>
      </c>
      <c r="J13" s="408" t="s">
        <v>166</v>
      </c>
      <c r="K13" s="400"/>
      <c r="L13" s="400"/>
      <c r="M13" s="400"/>
      <c r="N13" s="400"/>
      <c r="O13" s="400"/>
      <c r="P13" s="400"/>
      <c r="Q13" s="400"/>
      <c r="R13" s="544"/>
      <c r="S13" s="25" t="s">
        <v>149</v>
      </c>
      <c r="T13" s="52">
        <v>20</v>
      </c>
      <c r="U13" s="690"/>
      <c r="V13" s="691"/>
      <c r="W13" s="691"/>
      <c r="X13" s="692"/>
      <c r="Y13" s="113" t="s">
        <v>62</v>
      </c>
      <c r="Z13" s="170">
        <f t="shared" si="13"/>
        <v>34</v>
      </c>
      <c r="AA13" s="567" cm="1">
        <f t="array" ref="AA13">CountUniquePeopleByTask($H13,$J$44:$AM$51,$H$44:$I$51)</f>
        <v>2</v>
      </c>
      <c r="AB13" s="49">
        <f t="shared" si="1"/>
        <v>34</v>
      </c>
      <c r="AC13" s="16">
        <f t="shared" si="2"/>
        <v>0</v>
      </c>
      <c r="AD13" s="16">
        <f t="shared" si="3"/>
        <v>34</v>
      </c>
      <c r="AE13" s="88">
        <f t="shared" si="4"/>
        <v>182.36896551724141</v>
      </c>
      <c r="AF13" s="110">
        <f t="shared" si="5"/>
        <v>1</v>
      </c>
      <c r="AG13" s="79">
        <f t="shared" si="6"/>
        <v>0.14166666666666666</v>
      </c>
      <c r="AH13" s="579" cm="1">
        <f t="array" ref="AH13">CountUniquePeopleByTask($H13,$J$31:$AM$38,$H$31:$I$38)</f>
        <v>2</v>
      </c>
      <c r="AI13" s="49">
        <f t="shared" si="7"/>
        <v>25</v>
      </c>
      <c r="AJ13" s="16">
        <f t="shared" si="8"/>
        <v>0</v>
      </c>
      <c r="AK13" s="16">
        <f t="shared" si="9"/>
        <v>25</v>
      </c>
      <c r="AL13" s="88">
        <f t="shared" si="10"/>
        <v>134.09482758620692</v>
      </c>
      <c r="AM13" s="110">
        <f t="shared" si="11"/>
        <v>0.73529411764705888</v>
      </c>
      <c r="AN13" s="81">
        <f t="shared" si="12"/>
        <v>0.26470588235294118</v>
      </c>
    </row>
    <row r="14" spans="1:42" x14ac:dyDescent="0.2">
      <c r="B14" s="670" t="s">
        <v>21</v>
      </c>
      <c r="C14" s="591"/>
      <c r="D14" s="591"/>
      <c r="E14" s="93">
        <v>6</v>
      </c>
      <c r="F14" s="29"/>
      <c r="G14" s="30"/>
      <c r="H14" s="178" t="s">
        <v>167</v>
      </c>
      <c r="I14" s="11" t="s">
        <v>168</v>
      </c>
      <c r="J14" s="408" t="s">
        <v>169</v>
      </c>
      <c r="K14" s="400"/>
      <c r="L14" s="400"/>
      <c r="M14" s="400"/>
      <c r="N14" s="400"/>
      <c r="O14" s="400"/>
      <c r="P14" s="400"/>
      <c r="Q14" s="400"/>
      <c r="R14" s="544"/>
      <c r="S14" s="25" t="s">
        <v>149</v>
      </c>
      <c r="T14" s="52">
        <v>3</v>
      </c>
      <c r="U14" s="55"/>
      <c r="V14" s="56"/>
      <c r="W14" s="56"/>
      <c r="X14" s="116"/>
      <c r="Y14" s="113" t="s">
        <v>144</v>
      </c>
      <c r="Z14" s="170">
        <f t="shared" si="13"/>
        <v>6</v>
      </c>
      <c r="AA14" s="567" cm="1">
        <f t="array" ref="AA14">CountUniquePeopleByTask($H14,$J$44:$AM$51,$H$44:$I$51)</f>
        <v>1</v>
      </c>
      <c r="AB14" s="49">
        <f t="shared" si="1"/>
        <v>6</v>
      </c>
      <c r="AC14" s="16">
        <f t="shared" si="2"/>
        <v>0</v>
      </c>
      <c r="AD14" s="16">
        <f t="shared" si="3"/>
        <v>6</v>
      </c>
      <c r="AE14" s="88">
        <f t="shared" si="4"/>
        <v>32.182758620689661</v>
      </c>
      <c r="AF14" s="110">
        <f t="shared" si="5"/>
        <v>1</v>
      </c>
      <c r="AG14" s="79">
        <f t="shared" si="6"/>
        <v>2.5000000000000001E-2</v>
      </c>
      <c r="AH14" s="579" cm="1">
        <f t="array" ref="AH14">CountUniquePeopleByTask($H14,$J$31:$AM$38,$H$31:$I$38)</f>
        <v>1</v>
      </c>
      <c r="AI14" s="49">
        <f t="shared" si="7"/>
        <v>10</v>
      </c>
      <c r="AJ14" s="16">
        <f t="shared" si="8"/>
        <v>0</v>
      </c>
      <c r="AK14" s="16">
        <f t="shared" si="9"/>
        <v>10</v>
      </c>
      <c r="AL14" s="88">
        <f t="shared" si="10"/>
        <v>53.637931034482769</v>
      </c>
      <c r="AM14" s="110">
        <f t="shared" si="11"/>
        <v>1.6666666666666667</v>
      </c>
      <c r="AN14" s="81">
        <f t="shared" si="12"/>
        <v>0.66666666666666663</v>
      </c>
    </row>
    <row r="15" spans="1:42" x14ac:dyDescent="0.2">
      <c r="B15" s="671" t="s">
        <v>22</v>
      </c>
      <c r="C15" s="596"/>
      <c r="D15" s="597"/>
      <c r="E15" s="94">
        <v>0.9</v>
      </c>
      <c r="F15" s="29"/>
      <c r="G15" s="30"/>
      <c r="H15" s="199" t="s">
        <v>170</v>
      </c>
      <c r="I15" s="11" t="s">
        <v>171</v>
      </c>
      <c r="J15" s="23" t="s">
        <v>172</v>
      </c>
      <c r="K15" s="24"/>
      <c r="L15" s="24"/>
      <c r="M15" s="24"/>
      <c r="N15" s="24"/>
      <c r="O15" s="24"/>
      <c r="P15" s="24"/>
      <c r="Q15" s="24"/>
      <c r="R15" s="25"/>
      <c r="S15" s="25" t="s">
        <v>149</v>
      </c>
      <c r="T15" s="52">
        <v>0</v>
      </c>
      <c r="U15" s="55"/>
      <c r="V15" s="56"/>
      <c r="W15" s="56"/>
      <c r="X15" s="116"/>
      <c r="Y15" s="113" t="s">
        <v>144</v>
      </c>
      <c r="Z15" s="170">
        <f t="shared" si="13"/>
        <v>0</v>
      </c>
      <c r="AA15" s="567" cm="1">
        <f t="array" ref="AA15">CountUniquePeopleByTask($H15,$J$44:$AM$51,$H$44:$I$51)</f>
        <v>0</v>
      </c>
      <c r="AB15" s="49">
        <f t="shared" si="1"/>
        <v>0</v>
      </c>
      <c r="AC15" s="16">
        <f t="shared" si="2"/>
        <v>0</v>
      </c>
      <c r="AD15" s="16">
        <f t="shared" si="3"/>
        <v>0</v>
      </c>
      <c r="AE15" s="88">
        <f t="shared" si="4"/>
        <v>0</v>
      </c>
      <c r="AF15" s="110">
        <f t="shared" si="5"/>
        <v>0</v>
      </c>
      <c r="AG15" s="79">
        <f t="shared" si="6"/>
        <v>0</v>
      </c>
      <c r="AH15" s="579" cm="1">
        <f t="array" ref="AH15">CountUniquePeopleByTask($H15,$J$31:$AM$38,$H$31:$I$38)</f>
        <v>1</v>
      </c>
      <c r="AI15" s="49">
        <f t="shared" si="7"/>
        <v>6</v>
      </c>
      <c r="AJ15" s="16">
        <f t="shared" si="8"/>
        <v>0</v>
      </c>
      <c r="AK15" s="16">
        <f t="shared" si="9"/>
        <v>6</v>
      </c>
      <c r="AL15" s="88">
        <f t="shared" si="10"/>
        <v>32.182758620689661</v>
      </c>
      <c r="AM15" s="110">
        <f t="shared" si="11"/>
        <v>0</v>
      </c>
      <c r="AN15" s="81" t="str">
        <f t="shared" si="12"/>
        <v>Unplanned</v>
      </c>
    </row>
    <row r="16" spans="1:42" x14ac:dyDescent="0.2">
      <c r="B16" s="671" t="s">
        <v>3</v>
      </c>
      <c r="C16" s="596"/>
      <c r="D16" s="597"/>
      <c r="E16" s="93">
        <v>1</v>
      </c>
      <c r="F16" s="29"/>
      <c r="G16" s="30"/>
      <c r="H16" s="199" t="s">
        <v>173</v>
      </c>
      <c r="I16" s="11"/>
      <c r="J16" s="23"/>
      <c r="K16" s="24"/>
      <c r="L16" s="24"/>
      <c r="M16" s="24"/>
      <c r="N16" s="24"/>
      <c r="O16" s="24"/>
      <c r="P16" s="24"/>
      <c r="Q16" s="24"/>
      <c r="R16" s="25"/>
      <c r="S16" s="25" t="s">
        <v>26</v>
      </c>
      <c r="T16" s="52">
        <v>0</v>
      </c>
      <c r="U16" s="55"/>
      <c r="V16" s="56"/>
      <c r="W16" s="56"/>
      <c r="X16" s="116"/>
      <c r="Y16" s="113" t="s">
        <v>144</v>
      </c>
      <c r="Z16" s="170">
        <f t="shared" si="13"/>
        <v>0</v>
      </c>
      <c r="AA16" s="567" cm="1">
        <f t="array" ref="AA16">CountUniquePeopleByTask($H16,$J$44:$AM$51,$H$44:$I$51)</f>
        <v>0</v>
      </c>
      <c r="AB16" s="49">
        <f t="shared" si="1"/>
        <v>0</v>
      </c>
      <c r="AC16" s="16">
        <f t="shared" si="2"/>
        <v>0</v>
      </c>
      <c r="AD16" s="16">
        <f t="shared" si="3"/>
        <v>0</v>
      </c>
      <c r="AE16" s="88">
        <f t="shared" si="4"/>
        <v>0</v>
      </c>
      <c r="AF16" s="110">
        <f t="shared" si="5"/>
        <v>0</v>
      </c>
      <c r="AG16" s="79">
        <f t="shared" si="6"/>
        <v>0</v>
      </c>
      <c r="AH16" s="579" cm="1">
        <f t="array" ref="AH16">CountUniquePeopleByTask($H16,$J$31:$AM$38,$H$31:$I$38)</f>
        <v>1</v>
      </c>
      <c r="AI16" s="49">
        <f t="shared" si="7"/>
        <v>4</v>
      </c>
      <c r="AJ16" s="16">
        <f t="shared" si="8"/>
        <v>0</v>
      </c>
      <c r="AK16" s="16">
        <f t="shared" si="9"/>
        <v>4</v>
      </c>
      <c r="AL16" s="88">
        <f t="shared" si="10"/>
        <v>21.455172413793107</v>
      </c>
      <c r="AM16" s="110">
        <f t="shared" si="11"/>
        <v>0</v>
      </c>
      <c r="AN16" s="81" t="str">
        <f t="shared" si="12"/>
        <v>Unplanned</v>
      </c>
    </row>
    <row r="17" spans="2:40" ht="17" thickBot="1" x14ac:dyDescent="0.25">
      <c r="B17" s="672" t="s">
        <v>34</v>
      </c>
      <c r="C17" s="673"/>
      <c r="D17" s="673"/>
      <c r="E17" s="95">
        <v>45383</v>
      </c>
      <c r="F17" s="29"/>
      <c r="G17" s="30"/>
      <c r="H17" s="199" t="s">
        <v>174</v>
      </c>
      <c r="I17" s="11"/>
      <c r="J17" s="23"/>
      <c r="K17" s="24"/>
      <c r="L17" s="24"/>
      <c r="M17" s="24"/>
      <c r="N17" s="24"/>
      <c r="O17" s="24"/>
      <c r="P17" s="24"/>
      <c r="Q17" s="24"/>
      <c r="R17" s="25"/>
      <c r="S17" s="25" t="s">
        <v>149</v>
      </c>
      <c r="T17" s="52">
        <v>0</v>
      </c>
      <c r="U17" s="55"/>
      <c r="V17" s="56"/>
      <c r="W17" s="56"/>
      <c r="X17" s="116"/>
      <c r="Y17" s="113" t="s">
        <v>144</v>
      </c>
      <c r="Z17" s="170">
        <f t="shared" si="13"/>
        <v>0</v>
      </c>
      <c r="AA17" s="567" cm="1">
        <f t="array" ref="AA17">CountUniquePeopleByTask($H17,$J$44:$AM$51,$H$44:$I$51)</f>
        <v>0</v>
      </c>
      <c r="AB17" s="49">
        <f t="shared" si="1"/>
        <v>0</v>
      </c>
      <c r="AC17" s="16">
        <f t="shared" si="2"/>
        <v>0</v>
      </c>
      <c r="AD17" s="16">
        <f t="shared" si="3"/>
        <v>0</v>
      </c>
      <c r="AE17" s="88">
        <f t="shared" si="4"/>
        <v>0</v>
      </c>
      <c r="AF17" s="110">
        <f t="shared" si="5"/>
        <v>0</v>
      </c>
      <c r="AG17" s="79">
        <f t="shared" si="6"/>
        <v>0</v>
      </c>
      <c r="AH17" s="579" cm="1">
        <f t="array" ref="AH17">CountUniquePeopleByTask($H17,$J$31:$AM$38,$H$31:$I$38)</f>
        <v>1</v>
      </c>
      <c r="AI17" s="49">
        <f t="shared" si="7"/>
        <v>4</v>
      </c>
      <c r="AJ17" s="16">
        <f t="shared" si="8"/>
        <v>0</v>
      </c>
      <c r="AK17" s="16">
        <f t="shared" si="9"/>
        <v>4</v>
      </c>
      <c r="AL17" s="88">
        <f t="shared" si="10"/>
        <v>21.455172413793107</v>
      </c>
      <c r="AM17" s="110">
        <f t="shared" si="11"/>
        <v>0</v>
      </c>
      <c r="AN17" s="81" t="str">
        <f t="shared" si="12"/>
        <v>Unplanned</v>
      </c>
    </row>
    <row r="18" spans="2:40" ht="17" customHeight="1" thickBot="1" x14ac:dyDescent="0.25">
      <c r="B18" s="19"/>
      <c r="C18" s="19"/>
      <c r="D18" s="19"/>
      <c r="E18" s="19"/>
      <c r="F18" s="29"/>
      <c r="G18" s="30"/>
      <c r="H18" s="492"/>
      <c r="I18" s="11"/>
      <c r="J18" s="23"/>
      <c r="K18" s="24"/>
      <c r="L18" s="24"/>
      <c r="M18" s="24"/>
      <c r="N18" s="24"/>
      <c r="O18" s="24"/>
      <c r="P18" s="24"/>
      <c r="Q18" s="24"/>
      <c r="R18" s="25"/>
      <c r="S18" s="25"/>
      <c r="T18" s="52"/>
      <c r="U18" s="55"/>
      <c r="V18" s="56"/>
      <c r="W18" s="56"/>
      <c r="X18" s="116"/>
      <c r="Y18" s="113"/>
      <c r="Z18" s="170">
        <f t="shared" si="13"/>
        <v>0</v>
      </c>
      <c r="AA18" s="567" t="str" cm="1">
        <f t="array" ref="AA18">CountUniquePeopleByTask($H18,$J$44:$AM$51,$H$44:$I$51)</f>
        <v>-</v>
      </c>
      <c r="AB18" s="85">
        <f t="shared" si="1"/>
        <v>0</v>
      </c>
      <c r="AC18" s="44">
        <f t="shared" si="2"/>
        <v>0</v>
      </c>
      <c r="AD18" s="44">
        <f t="shared" si="3"/>
        <v>0</v>
      </c>
      <c r="AE18" s="89">
        <f t="shared" si="4"/>
        <v>0</v>
      </c>
      <c r="AF18" s="110">
        <f t="shared" si="5"/>
        <v>0</v>
      </c>
      <c r="AG18" s="79">
        <f t="shared" si="6"/>
        <v>0</v>
      </c>
      <c r="AH18" s="579" t="str" cm="1">
        <f t="array" ref="AH18">CountUniquePeopleByTask($H18,$J$31:$AM$38,$H$31:$I$38)</f>
        <v>-</v>
      </c>
      <c r="AI18" s="85">
        <f t="shared" si="7"/>
        <v>0</v>
      </c>
      <c r="AJ18" s="44">
        <f t="shared" si="8"/>
        <v>0</v>
      </c>
      <c r="AK18" s="44">
        <f t="shared" si="9"/>
        <v>0</v>
      </c>
      <c r="AL18" s="89">
        <f t="shared" si="10"/>
        <v>0</v>
      </c>
      <c r="AM18" s="110">
        <f t="shared" si="11"/>
        <v>0</v>
      </c>
      <c r="AN18" s="81" t="str">
        <f t="shared" si="12"/>
        <v>Unplanned</v>
      </c>
    </row>
    <row r="19" spans="2:40" ht="17" thickBot="1" x14ac:dyDescent="0.25">
      <c r="B19" s="644" t="s">
        <v>128</v>
      </c>
      <c r="C19" s="644"/>
      <c r="D19" s="644"/>
      <c r="E19" s="644" t="s">
        <v>128</v>
      </c>
      <c r="F19" s="29"/>
      <c r="G19" s="30"/>
      <c r="H19" s="492"/>
      <c r="I19" s="11"/>
      <c r="J19" s="23"/>
      <c r="K19" s="24"/>
      <c r="L19" s="24"/>
      <c r="M19" s="24"/>
      <c r="N19" s="24"/>
      <c r="O19" s="24"/>
      <c r="P19" s="24"/>
      <c r="Q19" s="24"/>
      <c r="R19" s="25"/>
      <c r="S19" s="25"/>
      <c r="T19" s="52"/>
      <c r="U19" s="55"/>
      <c r="V19" s="56"/>
      <c r="W19" s="56"/>
      <c r="X19" s="116"/>
      <c r="Y19" s="113"/>
      <c r="Z19" s="170">
        <f t="shared" si="13"/>
        <v>0</v>
      </c>
      <c r="AA19" s="567" t="str" cm="1">
        <f t="array" ref="AA19">CountUniquePeopleByTask($H19,$J$44:$AM$51,$H$44:$I$51)</f>
        <v>-</v>
      </c>
      <c r="AB19" s="85">
        <f t="shared" si="1"/>
        <v>0</v>
      </c>
      <c r="AC19" s="44">
        <f t="shared" si="2"/>
        <v>0</v>
      </c>
      <c r="AD19" s="44">
        <f t="shared" si="3"/>
        <v>0</v>
      </c>
      <c r="AE19" s="89">
        <f t="shared" si="4"/>
        <v>0</v>
      </c>
      <c r="AF19" s="110">
        <f t="shared" si="5"/>
        <v>0</v>
      </c>
      <c r="AG19" s="79">
        <f t="shared" si="6"/>
        <v>0</v>
      </c>
      <c r="AH19" s="579" t="str" cm="1">
        <f t="array" ref="AH19">CountUniquePeopleByTask($H19,$J$31:$AM$38,$H$31:$I$38)</f>
        <v>-</v>
      </c>
      <c r="AI19" s="85">
        <f t="shared" si="7"/>
        <v>0</v>
      </c>
      <c r="AJ19" s="44">
        <f t="shared" si="8"/>
        <v>0</v>
      </c>
      <c r="AK19" s="44">
        <f t="shared" si="9"/>
        <v>0</v>
      </c>
      <c r="AL19" s="89">
        <f t="shared" si="10"/>
        <v>0</v>
      </c>
      <c r="AM19" s="110">
        <f t="shared" si="11"/>
        <v>0</v>
      </c>
      <c r="AN19" s="81" t="str">
        <f t="shared" si="12"/>
        <v>Unplanned</v>
      </c>
    </row>
    <row r="20" spans="2:40" ht="16" customHeight="1" x14ac:dyDescent="0.2">
      <c r="B20" s="693" t="s">
        <v>175</v>
      </c>
      <c r="C20" s="694"/>
      <c r="D20" s="157">
        <v>0.25</v>
      </c>
      <c r="E20" s="156">
        <f>AK24</f>
        <v>0</v>
      </c>
      <c r="F20" s="29"/>
      <c r="G20" s="30"/>
      <c r="H20" s="161" t="s">
        <v>51</v>
      </c>
      <c r="I20" s="11"/>
      <c r="J20" s="408" t="s">
        <v>51</v>
      </c>
      <c r="K20" s="400"/>
      <c r="L20" s="400"/>
      <c r="M20" s="400"/>
      <c r="N20" s="400"/>
      <c r="O20" s="400"/>
      <c r="P20" s="400"/>
      <c r="Q20" s="400"/>
      <c r="R20" s="544"/>
      <c r="S20" s="25" t="s">
        <v>149</v>
      </c>
      <c r="T20" s="52">
        <v>0</v>
      </c>
      <c r="U20" s="690"/>
      <c r="V20" s="691"/>
      <c r="W20" s="691"/>
      <c r="X20" s="692"/>
      <c r="Y20" s="113"/>
      <c r="Z20" s="170">
        <f t="shared" si="13"/>
        <v>0</v>
      </c>
      <c r="AA20" s="567" cm="1">
        <f t="array" ref="AA20">CountUniquePeopleByTask($H20,$J$44:$AM$51,$H$44:$I$51)</f>
        <v>7</v>
      </c>
      <c r="AB20" s="85">
        <f t="shared" si="1"/>
        <v>12</v>
      </c>
      <c r="AC20" s="44">
        <f t="shared" si="2"/>
        <v>2</v>
      </c>
      <c r="AD20" s="44">
        <f t="shared" si="3"/>
        <v>14</v>
      </c>
      <c r="AE20" s="89">
        <f t="shared" si="4"/>
        <v>72.32068965517243</v>
      </c>
      <c r="AF20" s="110">
        <f t="shared" si="5"/>
        <v>0</v>
      </c>
      <c r="AG20" s="79">
        <f t="shared" si="6"/>
        <v>5.8333333333333334E-2</v>
      </c>
      <c r="AH20" s="579" cm="1">
        <f t="array" ref="AH20">CountUniquePeopleByTask($H20,$J$31:$AM$38,$H$31:$I$38)</f>
        <v>7</v>
      </c>
      <c r="AI20" s="85">
        <f t="shared" si="7"/>
        <v>25</v>
      </c>
      <c r="AJ20" s="44">
        <f t="shared" si="8"/>
        <v>2</v>
      </c>
      <c r="AK20" s="44">
        <f t="shared" si="9"/>
        <v>27</v>
      </c>
      <c r="AL20" s="89">
        <f t="shared" si="10"/>
        <v>142.05000000000001</v>
      </c>
      <c r="AM20" s="110">
        <f t="shared" si="11"/>
        <v>1.9641682162780716</v>
      </c>
      <c r="AN20" s="81">
        <f t="shared" si="12"/>
        <v>0.9285714285714286</v>
      </c>
    </row>
    <row r="21" spans="2:40" x14ac:dyDescent="0.2">
      <c r="B21" s="684" t="s">
        <v>24</v>
      </c>
      <c r="C21" s="685"/>
      <c r="D21" s="26">
        <v>0.125</v>
      </c>
      <c r="E21" s="156">
        <f>AK23</f>
        <v>34</v>
      </c>
      <c r="F21" s="29"/>
      <c r="G21" s="30"/>
      <c r="H21" s="172" t="s">
        <v>62</v>
      </c>
      <c r="I21" s="11"/>
      <c r="J21" s="23" t="s">
        <v>62</v>
      </c>
      <c r="K21" s="24"/>
      <c r="L21" s="24"/>
      <c r="M21" s="24"/>
      <c r="N21" s="24"/>
      <c r="O21" s="24"/>
      <c r="P21" s="24"/>
      <c r="Q21" s="24"/>
      <c r="R21" s="25"/>
      <c r="S21" s="25" t="s">
        <v>26</v>
      </c>
      <c r="T21" s="52">
        <v>0</v>
      </c>
      <c r="U21" s="690"/>
      <c r="V21" s="691"/>
      <c r="W21" s="691"/>
      <c r="X21" s="692"/>
      <c r="Y21" s="113"/>
      <c r="Z21" s="170">
        <f t="shared" si="13"/>
        <v>0</v>
      </c>
      <c r="AA21" s="567" cm="1">
        <f t="array" ref="AA21">CountUniquePeopleByTask($H21,$J$44:$AM$51,$H$44:$I$51)</f>
        <v>2</v>
      </c>
      <c r="AB21" s="85">
        <f t="shared" si="1"/>
        <v>4</v>
      </c>
      <c r="AC21" s="44">
        <f t="shared" si="2"/>
        <v>0</v>
      </c>
      <c r="AD21" s="44">
        <f t="shared" si="3"/>
        <v>4</v>
      </c>
      <c r="AE21" s="89">
        <f t="shared" si="4"/>
        <v>21.455172413793107</v>
      </c>
      <c r="AF21" s="110">
        <f t="shared" si="5"/>
        <v>0</v>
      </c>
      <c r="AG21" s="79">
        <f t="shared" si="6"/>
        <v>1.6666666666666666E-2</v>
      </c>
      <c r="AH21" s="579" cm="1">
        <f t="array" ref="AH21">CountUniquePeopleByTask($H21,$J$31:$AM$38,$H$31:$I$38)</f>
        <v>2</v>
      </c>
      <c r="AI21" s="85">
        <f t="shared" si="7"/>
        <v>6</v>
      </c>
      <c r="AJ21" s="44">
        <f t="shared" si="8"/>
        <v>0</v>
      </c>
      <c r="AK21" s="44">
        <f t="shared" si="9"/>
        <v>6</v>
      </c>
      <c r="AL21" s="89">
        <f t="shared" si="10"/>
        <v>32.182758620689661</v>
      </c>
      <c r="AM21" s="110">
        <f t="shared" si="11"/>
        <v>1.5</v>
      </c>
      <c r="AN21" s="81">
        <f t="shared" si="12"/>
        <v>0.5</v>
      </c>
    </row>
    <row r="22" spans="2:40" x14ac:dyDescent="0.2">
      <c r="B22" s="684" t="s">
        <v>28</v>
      </c>
      <c r="C22" s="685"/>
      <c r="D22" s="686"/>
      <c r="E22" s="93">
        <v>2</v>
      </c>
      <c r="F22" s="29"/>
      <c r="G22" s="30"/>
      <c r="H22" s="158" t="s">
        <v>85</v>
      </c>
      <c r="I22" s="11"/>
      <c r="J22" s="408" t="s">
        <v>85</v>
      </c>
      <c r="K22" s="400"/>
      <c r="L22" s="400"/>
      <c r="M22" s="400"/>
      <c r="N22" s="400"/>
      <c r="O22" s="400"/>
      <c r="P22" s="400"/>
      <c r="Q22" s="400"/>
      <c r="R22" s="544"/>
      <c r="S22" s="25" t="s">
        <v>152</v>
      </c>
      <c r="T22" s="52">
        <v>0</v>
      </c>
      <c r="U22" s="690"/>
      <c r="V22" s="691"/>
      <c r="W22" s="691"/>
      <c r="X22" s="692"/>
      <c r="Y22" s="113"/>
      <c r="Z22" s="170">
        <f t="shared" si="13"/>
        <v>0</v>
      </c>
      <c r="AA22" s="567" cm="1">
        <f t="array" ref="AA22">CountUniquePeopleByTask($H22,$J$44:$AM$51,$H$44:$I$51)</f>
        <v>1</v>
      </c>
      <c r="AB22" s="85">
        <f t="shared" si="1"/>
        <v>10</v>
      </c>
      <c r="AC22" s="44">
        <f t="shared" si="2"/>
        <v>0</v>
      </c>
      <c r="AD22" s="16">
        <f>AB22+AC22</f>
        <v>10</v>
      </c>
      <c r="AE22" s="90">
        <f t="shared" si="4"/>
        <v>53.637931034482769</v>
      </c>
      <c r="AF22" s="110">
        <f t="shared" si="5"/>
        <v>0</v>
      </c>
      <c r="AG22" s="80">
        <f t="shared" si="6"/>
        <v>4.1666666666666664E-2</v>
      </c>
      <c r="AH22" s="579" cm="1">
        <f t="array" ref="AH22">CountUniquePeopleByTask($H22,$J$31:$AM$38,$H$31:$I$38)</f>
        <v>1</v>
      </c>
      <c r="AI22" s="85">
        <f t="shared" si="7"/>
        <v>6</v>
      </c>
      <c r="AJ22" s="44">
        <f t="shared" si="8"/>
        <v>0</v>
      </c>
      <c r="AK22" s="16">
        <f>AI22+AJ22</f>
        <v>6</v>
      </c>
      <c r="AL22" s="90">
        <f t="shared" si="10"/>
        <v>32.182758620689661</v>
      </c>
      <c r="AM22" s="110">
        <f t="shared" si="11"/>
        <v>0.6</v>
      </c>
      <c r="AN22" s="81">
        <f t="shared" si="12"/>
        <v>0.4</v>
      </c>
    </row>
    <row r="23" spans="2:40" ht="17" thickBot="1" x14ac:dyDescent="0.25">
      <c r="B23" s="687" t="s">
        <v>32</v>
      </c>
      <c r="C23" s="688"/>
      <c r="D23" s="689"/>
      <c r="E23" s="96">
        <v>2</v>
      </c>
      <c r="F23" s="29"/>
      <c r="G23" s="30"/>
      <c r="H23" s="103" t="s">
        <v>23</v>
      </c>
      <c r="I23" s="11"/>
      <c r="J23" s="408" t="s">
        <v>24</v>
      </c>
      <c r="K23" s="400"/>
      <c r="L23" s="400"/>
      <c r="M23" s="400"/>
      <c r="N23" s="400"/>
      <c r="O23" s="400"/>
      <c r="P23" s="400"/>
      <c r="Q23" s="400"/>
      <c r="R23" s="544"/>
      <c r="S23" s="25" t="s">
        <v>23</v>
      </c>
      <c r="T23" s="52">
        <v>0</v>
      </c>
      <c r="U23" s="55"/>
      <c r="V23" s="56"/>
      <c r="W23" s="56"/>
      <c r="X23" s="116"/>
      <c r="Y23" s="113"/>
      <c r="Z23" s="242">
        <v>25</v>
      </c>
      <c r="AA23" s="567" cm="1">
        <f t="array" ref="AA23">CountUniquePeopleByTask($H23,$J$44:$AM$51,$H$44:$I$51)</f>
        <v>6</v>
      </c>
      <c r="AB23" s="49">
        <f t="shared" si="1"/>
        <v>25</v>
      </c>
      <c r="AC23" s="16">
        <f t="shared" si="2"/>
        <v>6</v>
      </c>
      <c r="AD23" s="38">
        <f>AB23+AC23</f>
        <v>31</v>
      </c>
      <c r="AE23" s="87">
        <f t="shared" si="4"/>
        <v>157.96034482758623</v>
      </c>
      <c r="AF23" s="110">
        <f t="shared" si="5"/>
        <v>1.24</v>
      </c>
      <c r="AG23" s="79">
        <f t="shared" si="6"/>
        <v>0.12916666666666668</v>
      </c>
      <c r="AH23" s="579" cm="1">
        <f t="array" ref="AH23">CountUniquePeopleByTask($H23,$J$31:$AM$38,$H$31:$I$38)</f>
        <v>7</v>
      </c>
      <c r="AI23" s="49">
        <f t="shared" si="7"/>
        <v>33</v>
      </c>
      <c r="AJ23" s="16">
        <f t="shared" si="8"/>
        <v>1</v>
      </c>
      <c r="AK23" s="38">
        <f>AI23+AJ23</f>
        <v>34</v>
      </c>
      <c r="AL23" s="87">
        <f t="shared" si="10"/>
        <v>180.98275862068968</v>
      </c>
      <c r="AM23" s="110">
        <f t="shared" si="11"/>
        <v>1.1457480598578866</v>
      </c>
      <c r="AN23" s="81">
        <f t="shared" si="12"/>
        <v>9.6774193548387094E-2</v>
      </c>
    </row>
    <row r="24" spans="2:40" ht="17" thickBot="1" x14ac:dyDescent="0.25">
      <c r="B24" s="19"/>
      <c r="C24" s="19"/>
      <c r="D24" s="19"/>
      <c r="E24" s="19"/>
      <c r="F24" s="29"/>
      <c r="G24" s="30"/>
      <c r="H24" s="104" t="s">
        <v>126</v>
      </c>
      <c r="I24" s="11"/>
      <c r="J24" s="408" t="s">
        <v>27</v>
      </c>
      <c r="K24" s="400"/>
      <c r="L24" s="400"/>
      <c r="M24" s="400"/>
      <c r="N24" s="400"/>
      <c r="O24" s="400"/>
      <c r="P24" s="400"/>
      <c r="Q24" s="400"/>
      <c r="R24" s="544"/>
      <c r="S24" s="25" t="s">
        <v>26</v>
      </c>
      <c r="T24" s="52">
        <v>0</v>
      </c>
      <c r="U24" s="690"/>
      <c r="V24" s="691"/>
      <c r="W24" s="691"/>
      <c r="X24" s="692"/>
      <c r="Y24" s="113"/>
      <c r="Z24" s="170">
        <f>T24</f>
        <v>0</v>
      </c>
      <c r="AA24" s="567" cm="1">
        <f t="array" ref="AA24">CountUniquePeopleByTask($H24,$J$44:$AM$51,$H$44:$I$51)</f>
        <v>0</v>
      </c>
      <c r="AB24" s="49">
        <f t="shared" si="1"/>
        <v>0</v>
      </c>
      <c r="AC24" s="16">
        <f t="shared" si="2"/>
        <v>0</v>
      </c>
      <c r="AD24" s="16">
        <f>AB24+AC24</f>
        <v>0</v>
      </c>
      <c r="AE24" s="88">
        <f t="shared" si="4"/>
        <v>0</v>
      </c>
      <c r="AF24" s="110">
        <f t="shared" si="5"/>
        <v>0</v>
      </c>
      <c r="AG24" s="79">
        <f t="shared" si="6"/>
        <v>0</v>
      </c>
      <c r="AH24" s="579" cm="1">
        <f t="array" ref="AH24">CountUniquePeopleByTask($H24,$J$31:$AM$38,$H$31:$I$38)</f>
        <v>0</v>
      </c>
      <c r="AI24" s="49">
        <f t="shared" si="7"/>
        <v>0</v>
      </c>
      <c r="AJ24" s="16">
        <f t="shared" si="8"/>
        <v>0</v>
      </c>
      <c r="AK24" s="16">
        <f>AI24+AJ24</f>
        <v>0</v>
      </c>
      <c r="AL24" s="88">
        <f t="shared" si="10"/>
        <v>0</v>
      </c>
      <c r="AM24" s="110">
        <f t="shared" si="11"/>
        <v>0</v>
      </c>
      <c r="AN24" s="81" t="str">
        <f t="shared" si="12"/>
        <v>Unplanned</v>
      </c>
    </row>
    <row r="25" spans="2:40" ht="17" thickBot="1" x14ac:dyDescent="0.25">
      <c r="B25" s="677" t="s">
        <v>54</v>
      </c>
      <c r="C25" s="678"/>
      <c r="D25" s="678"/>
      <c r="E25" s="679"/>
      <c r="F25" s="29"/>
      <c r="G25" s="30"/>
      <c r="H25" s="105" t="s">
        <v>29</v>
      </c>
      <c r="I25" s="106"/>
      <c r="J25" s="409" t="s">
        <v>30</v>
      </c>
      <c r="K25" s="410"/>
      <c r="L25" s="410"/>
      <c r="M25" s="410"/>
      <c r="N25" s="410"/>
      <c r="O25" s="410"/>
      <c r="P25" s="410"/>
      <c r="Q25" s="410"/>
      <c r="R25" s="548"/>
      <c r="S25" s="107" t="s">
        <v>29</v>
      </c>
      <c r="T25" s="127">
        <v>0</v>
      </c>
      <c r="U25" s="680"/>
      <c r="V25" s="681"/>
      <c r="W25" s="681"/>
      <c r="X25" s="682"/>
      <c r="Y25" s="114"/>
      <c r="Z25" s="41">
        <f>T25</f>
        <v>0</v>
      </c>
      <c r="AA25" s="568" cm="1">
        <f t="array" ref="AA25">CountUniquePeopleByTask($H25,$J$44:$AM$51,$H$44:$I$51)</f>
        <v>8</v>
      </c>
      <c r="AB25" s="86">
        <f t="shared" si="1"/>
        <v>12</v>
      </c>
      <c r="AC25" s="41">
        <f t="shared" si="2"/>
        <v>1</v>
      </c>
      <c r="AD25" s="41">
        <f>AB25+AC25</f>
        <v>13</v>
      </c>
      <c r="AE25" s="91">
        <f>AB25*8+AC25*6</f>
        <v>102</v>
      </c>
      <c r="AF25" s="43">
        <f t="shared" si="5"/>
        <v>0</v>
      </c>
      <c r="AG25" s="174">
        <f t="shared" si="6"/>
        <v>5.4166666666666669E-2</v>
      </c>
      <c r="AH25" s="580" cm="1">
        <f t="array" ref="AH25">CountUniquePeopleByTask($H25,$J$31:$AM$38,$H$31:$I$38)</f>
        <v>8</v>
      </c>
      <c r="AI25" s="86">
        <f t="shared" si="7"/>
        <v>13</v>
      </c>
      <c r="AJ25" s="41">
        <f t="shared" si="8"/>
        <v>1</v>
      </c>
      <c r="AK25" s="41">
        <f>AI25+AJ25</f>
        <v>14</v>
      </c>
      <c r="AL25" s="91">
        <f>AI25*8+AJ25*6</f>
        <v>110</v>
      </c>
      <c r="AM25" s="43">
        <f t="shared" si="11"/>
        <v>1.0784313725490196</v>
      </c>
      <c r="AN25" s="81">
        <f t="shared" si="12"/>
        <v>7.6923076923076927E-2</v>
      </c>
    </row>
    <row r="26" spans="2:40" ht="17" thickBot="1" x14ac:dyDescent="0.25">
      <c r="B26" s="97"/>
      <c r="C26" s="92" t="s">
        <v>37</v>
      </c>
      <c r="D26" s="75" t="s">
        <v>38</v>
      </c>
      <c r="E26" s="98" t="s">
        <v>39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169</v>
      </c>
      <c r="AA26"/>
      <c r="AB26"/>
      <c r="AC26"/>
      <c r="AD26" s="82">
        <f>SUM(AD6:AD25)</f>
        <v>240</v>
      </c>
      <c r="AE26" s="83">
        <f>SUM(AE6:AE25)</f>
        <v>1279.3810344827591</v>
      </c>
      <c r="AF26"/>
      <c r="AK26" s="82">
        <f>SUM(AK6:AK25)</f>
        <v>240</v>
      </c>
      <c r="AL26" s="83">
        <f>SUM(AL6:AL25)</f>
        <v>1282.0172413793109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0.32989215686274515</v>
      </c>
    </row>
    <row r="27" spans="2:40" x14ac:dyDescent="0.2">
      <c r="B27" s="97" t="s">
        <v>177</v>
      </c>
      <c r="C27" s="16">
        <f>COUNTIF($B$4:$B$11,"=D")</f>
        <v>7</v>
      </c>
      <c r="D27" s="36">
        <f>COUNTIF($B$4:$B$11,"=I")</f>
        <v>1</v>
      </c>
      <c r="E27" s="99">
        <f>C27+D27</f>
        <v>8</v>
      </c>
      <c r="F27" s="29"/>
      <c r="G27" s="30"/>
    </row>
    <row r="28" spans="2:40" x14ac:dyDescent="0.2">
      <c r="B28" s="100" t="s">
        <v>42</v>
      </c>
      <c r="C28" s="16">
        <f>($E$14*5*$C$27)-($C$27*$E$16)</f>
        <v>203</v>
      </c>
      <c r="D28" s="36">
        <f>($E$14*5*$D$27)-($D$27*$E$16)</f>
        <v>29</v>
      </c>
      <c r="E28" s="99">
        <f t="shared" ref="E28:E35" si="14">C28+D28</f>
        <v>232</v>
      </c>
      <c r="F28" s="29"/>
      <c r="G28" s="30"/>
      <c r="J28" s="674" t="s">
        <v>41</v>
      </c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6"/>
    </row>
    <row r="29" spans="2:40" x14ac:dyDescent="0.2">
      <c r="B29" s="97" t="s">
        <v>48</v>
      </c>
      <c r="C29" s="16">
        <f>8*$E$15</f>
        <v>7.2</v>
      </c>
      <c r="D29" s="36">
        <f>6*$E$15</f>
        <v>5.4</v>
      </c>
      <c r="E29" s="99" t="s">
        <v>31</v>
      </c>
      <c r="F29" s="29"/>
      <c r="G29" s="30"/>
      <c r="H29"/>
      <c r="I29" s="7"/>
      <c r="J29" s="600" t="s">
        <v>43</v>
      </c>
      <c r="K29" s="601"/>
      <c r="L29" s="601"/>
      <c r="M29" s="601"/>
      <c r="N29" s="602"/>
      <c r="O29" s="600" t="s">
        <v>44</v>
      </c>
      <c r="P29" s="601"/>
      <c r="Q29" s="601"/>
      <c r="R29" s="601"/>
      <c r="S29" s="602"/>
      <c r="T29" s="600" t="s">
        <v>45</v>
      </c>
      <c r="U29" s="601"/>
      <c r="V29" s="601"/>
      <c r="W29" s="601"/>
      <c r="X29" s="602"/>
      <c r="Y29" s="600" t="s">
        <v>46</v>
      </c>
      <c r="Z29" s="601"/>
      <c r="AA29" s="601"/>
      <c r="AB29" s="601"/>
      <c r="AC29" s="602"/>
      <c r="AD29" s="600" t="s">
        <v>47</v>
      </c>
      <c r="AE29" s="601"/>
      <c r="AF29" s="601"/>
      <c r="AG29" s="601"/>
      <c r="AH29" s="602"/>
      <c r="AI29" s="600" t="s">
        <v>83</v>
      </c>
      <c r="AJ29" s="601"/>
      <c r="AK29" s="601"/>
      <c r="AL29" s="601"/>
      <c r="AM29" s="602"/>
    </row>
    <row r="30" spans="2:40" x14ac:dyDescent="0.2">
      <c r="B30" s="97" t="s">
        <v>50</v>
      </c>
      <c r="C30" s="16">
        <f>C28*C29</f>
        <v>1461.6000000000001</v>
      </c>
      <c r="D30" s="36">
        <f>D28*D29</f>
        <v>156.60000000000002</v>
      </c>
      <c r="E30" s="99">
        <f>C30+D30</f>
        <v>1618.2000000000003</v>
      </c>
      <c r="F30" s="29"/>
      <c r="G30" s="30"/>
      <c r="H30" s="600" t="s">
        <v>49</v>
      </c>
      <c r="I30" s="602"/>
      <c r="J30" s="15">
        <f t="shared" ref="J30:AM30" si="15">$E$17+(7*ROUNDDOWN((COLUMN(J$31)-COLUMN($J$31))/5,0))+MOD(COLUMN(J$31)-COLUMN($J$31),5)</f>
        <v>45383</v>
      </c>
      <c r="K30" s="15">
        <f t="shared" si="15"/>
        <v>45384</v>
      </c>
      <c r="L30" s="15">
        <f t="shared" si="15"/>
        <v>45385</v>
      </c>
      <c r="M30" s="15">
        <f t="shared" si="15"/>
        <v>45386</v>
      </c>
      <c r="N30" s="15">
        <f t="shared" si="15"/>
        <v>45387</v>
      </c>
      <c r="O30" s="15">
        <f t="shared" si="15"/>
        <v>45390</v>
      </c>
      <c r="P30" s="15">
        <f t="shared" si="15"/>
        <v>45391</v>
      </c>
      <c r="Q30" s="15">
        <f t="shared" si="15"/>
        <v>45392</v>
      </c>
      <c r="R30" s="15">
        <f t="shared" si="15"/>
        <v>45393</v>
      </c>
      <c r="S30" s="15">
        <f t="shared" si="15"/>
        <v>45394</v>
      </c>
      <c r="T30" s="15">
        <f t="shared" si="15"/>
        <v>45397</v>
      </c>
      <c r="U30" s="15">
        <f t="shared" si="15"/>
        <v>45398</v>
      </c>
      <c r="V30" s="15">
        <f t="shared" si="15"/>
        <v>45399</v>
      </c>
      <c r="W30" s="15">
        <f t="shared" si="15"/>
        <v>45400</v>
      </c>
      <c r="X30" s="15">
        <f t="shared" si="15"/>
        <v>45401</v>
      </c>
      <c r="Y30" s="15">
        <f t="shared" si="15"/>
        <v>45404</v>
      </c>
      <c r="Z30" s="15">
        <f t="shared" si="15"/>
        <v>45405</v>
      </c>
      <c r="AA30" s="15">
        <f t="shared" si="15"/>
        <v>45406</v>
      </c>
      <c r="AB30" s="15">
        <f t="shared" si="15"/>
        <v>45407</v>
      </c>
      <c r="AC30" s="15">
        <f t="shared" si="15"/>
        <v>45408</v>
      </c>
      <c r="AD30" s="15">
        <f t="shared" si="15"/>
        <v>45411</v>
      </c>
      <c r="AE30" s="15">
        <f t="shared" si="15"/>
        <v>45412</v>
      </c>
      <c r="AF30" s="15">
        <f t="shared" si="15"/>
        <v>45413</v>
      </c>
      <c r="AG30" s="15">
        <f t="shared" si="15"/>
        <v>45414</v>
      </c>
      <c r="AH30" s="15">
        <f t="shared" si="15"/>
        <v>45415</v>
      </c>
      <c r="AI30" s="15">
        <f t="shared" si="15"/>
        <v>45418</v>
      </c>
      <c r="AJ30" s="15">
        <f t="shared" si="15"/>
        <v>45419</v>
      </c>
      <c r="AK30" s="15">
        <f t="shared" si="15"/>
        <v>45420</v>
      </c>
      <c r="AL30" s="15">
        <f t="shared" si="15"/>
        <v>45421</v>
      </c>
      <c r="AM30" s="15">
        <f t="shared" si="15"/>
        <v>45422</v>
      </c>
    </row>
    <row r="31" spans="2:40" x14ac:dyDescent="0.2">
      <c r="B31" s="97" t="s">
        <v>51</v>
      </c>
      <c r="C31" s="16">
        <f>$E$14*$E$22*C27</f>
        <v>84</v>
      </c>
      <c r="D31" s="36">
        <f>$E$14*$E$22*D27</f>
        <v>12</v>
      </c>
      <c r="E31" s="99">
        <f t="shared" si="14"/>
        <v>96</v>
      </c>
      <c r="F31" s="29"/>
      <c r="G31" s="30"/>
      <c r="H31" s="593" t="str">
        <f t="shared" ref="H31:H38" si="16">$D4</f>
        <v>Arthur Mota</v>
      </c>
      <c r="I31" s="683"/>
      <c r="J31" s="162" t="s">
        <v>51</v>
      </c>
      <c r="K31" s="171" t="s">
        <v>51</v>
      </c>
      <c r="L31" s="54" t="s">
        <v>23</v>
      </c>
      <c r="M31" s="165" t="s">
        <v>141</v>
      </c>
      <c r="N31" s="165" t="s">
        <v>141</v>
      </c>
      <c r="O31" s="165" t="s">
        <v>141</v>
      </c>
      <c r="P31" s="165" t="s">
        <v>141</v>
      </c>
      <c r="Q31" s="165" t="s">
        <v>141</v>
      </c>
      <c r="R31" s="165" t="s">
        <v>141</v>
      </c>
      <c r="S31" s="165" t="s">
        <v>141</v>
      </c>
      <c r="T31" s="165" t="s">
        <v>141</v>
      </c>
      <c r="U31" s="165" t="s">
        <v>141</v>
      </c>
      <c r="V31" s="165" t="s">
        <v>141</v>
      </c>
      <c r="W31" s="165" t="s">
        <v>141</v>
      </c>
      <c r="X31" s="165" t="s">
        <v>141</v>
      </c>
      <c r="Y31" s="165" t="s">
        <v>141</v>
      </c>
      <c r="Z31" s="165" t="s">
        <v>141</v>
      </c>
      <c r="AA31" s="165" t="s">
        <v>141</v>
      </c>
      <c r="AB31" s="165" t="s">
        <v>141</v>
      </c>
      <c r="AC31" s="165" t="s">
        <v>141</v>
      </c>
      <c r="AD31" s="204" t="s">
        <v>141</v>
      </c>
      <c r="AE31" s="204" t="s">
        <v>141</v>
      </c>
      <c r="AF31" s="28" t="s">
        <v>29</v>
      </c>
      <c r="AG31" s="204" t="s">
        <v>141</v>
      </c>
      <c r="AH31" s="204" t="s">
        <v>141</v>
      </c>
      <c r="AI31" s="204" t="s">
        <v>141</v>
      </c>
      <c r="AJ31" s="204" t="s">
        <v>141</v>
      </c>
      <c r="AK31" s="204" t="s">
        <v>141</v>
      </c>
      <c r="AL31" s="204" t="s">
        <v>141</v>
      </c>
      <c r="AM31" s="204" t="s">
        <v>141</v>
      </c>
    </row>
    <row r="32" spans="2:40" x14ac:dyDescent="0.2">
      <c r="B32" s="97" t="s">
        <v>1</v>
      </c>
      <c r="C32" s="16">
        <f>$E$14*$E$23*COUNTIF($C$4:$C$11,"=Y")</f>
        <v>84</v>
      </c>
      <c r="D32" s="36">
        <v>0</v>
      </c>
      <c r="E32" s="99">
        <f t="shared" si="14"/>
        <v>84</v>
      </c>
      <c r="F32" s="29"/>
      <c r="G32" s="30"/>
      <c r="H32" s="593" t="str">
        <f t="shared" si="16"/>
        <v>Andréa</v>
      </c>
      <c r="I32" s="683"/>
      <c r="J32" s="162" t="s">
        <v>51</v>
      </c>
      <c r="K32" s="162" t="s">
        <v>51</v>
      </c>
      <c r="L32" s="173" t="s">
        <v>62</v>
      </c>
      <c r="M32" s="173" t="s">
        <v>62</v>
      </c>
      <c r="N32" s="195" t="s">
        <v>62</v>
      </c>
      <c r="O32" s="54" t="s">
        <v>23</v>
      </c>
      <c r="P32" s="176" t="s">
        <v>145</v>
      </c>
      <c r="Q32" s="54" t="s">
        <v>23</v>
      </c>
      <c r="R32" s="176" t="s">
        <v>145</v>
      </c>
      <c r="S32" s="54" t="s">
        <v>23</v>
      </c>
      <c r="T32" s="176" t="s">
        <v>145</v>
      </c>
      <c r="U32" s="198" t="s">
        <v>160</v>
      </c>
      <c r="V32" s="198" t="s">
        <v>160</v>
      </c>
      <c r="W32" s="198" t="s">
        <v>160</v>
      </c>
      <c r="X32" s="176" t="s">
        <v>145</v>
      </c>
      <c r="Y32" s="176" t="s">
        <v>145</v>
      </c>
      <c r="Z32" s="201" t="s">
        <v>51</v>
      </c>
      <c r="AA32" s="201" t="s">
        <v>51</v>
      </c>
      <c r="AB32" s="201" t="s">
        <v>51</v>
      </c>
      <c r="AC32" s="201" t="s">
        <v>51</v>
      </c>
      <c r="AD32" s="201" t="s">
        <v>51</v>
      </c>
      <c r="AE32" s="201" t="s">
        <v>51</v>
      </c>
      <c r="AF32" s="28" t="s">
        <v>29</v>
      </c>
      <c r="AG32" s="201" t="s">
        <v>51</v>
      </c>
      <c r="AH32" s="198" t="s">
        <v>160</v>
      </c>
      <c r="AI32" s="198" t="s">
        <v>160</v>
      </c>
      <c r="AJ32" s="198" t="s">
        <v>160</v>
      </c>
      <c r="AK32" s="198" t="s">
        <v>160</v>
      </c>
      <c r="AL32" s="198" t="s">
        <v>160</v>
      </c>
      <c r="AM32" s="198" t="s">
        <v>160</v>
      </c>
    </row>
    <row r="33" spans="1:39" x14ac:dyDescent="0.2">
      <c r="B33" s="97" t="s">
        <v>52</v>
      </c>
      <c r="C33" s="16">
        <f>(0.25*$C$28)+($C$27*$E$14)+$C$27</f>
        <v>99.75</v>
      </c>
      <c r="D33" s="16">
        <f>(0.25*$D$28)+($D$27*$E$14)+$D$27</f>
        <v>14.25</v>
      </c>
      <c r="E33" s="99">
        <f t="shared" si="14"/>
        <v>114</v>
      </c>
      <c r="F33" s="29"/>
      <c r="G33" s="30"/>
      <c r="H33" s="593" t="str">
        <f t="shared" si="16"/>
        <v>André</v>
      </c>
      <c r="I33" s="683"/>
      <c r="J33" s="162" t="s">
        <v>51</v>
      </c>
      <c r="K33" s="171" t="s">
        <v>51</v>
      </c>
      <c r="L33" s="173" t="s">
        <v>62</v>
      </c>
      <c r="M33" s="173" t="s">
        <v>62</v>
      </c>
      <c r="N33" s="195" t="s">
        <v>62</v>
      </c>
      <c r="O33" s="163" t="s">
        <v>153</v>
      </c>
      <c r="P33" s="163" t="s">
        <v>153</v>
      </c>
      <c r="Q33" s="163" t="s">
        <v>153</v>
      </c>
      <c r="R33" s="163" t="s">
        <v>153</v>
      </c>
      <c r="S33" s="163" t="s">
        <v>153</v>
      </c>
      <c r="T33" s="54" t="s">
        <v>23</v>
      </c>
      <c r="U33" s="163" t="s">
        <v>153</v>
      </c>
      <c r="V33" s="54" t="s">
        <v>23</v>
      </c>
      <c r="W33" s="163" t="s">
        <v>153</v>
      </c>
      <c r="X33" s="54" t="s">
        <v>23</v>
      </c>
      <c r="Y33" s="163" t="s">
        <v>153</v>
      </c>
      <c r="Z33" s="163" t="s">
        <v>153</v>
      </c>
      <c r="AA33" s="163" t="s">
        <v>153</v>
      </c>
      <c r="AB33" s="163" t="s">
        <v>153</v>
      </c>
      <c r="AC33" s="163" t="s">
        <v>153</v>
      </c>
      <c r="AD33" s="163" t="s">
        <v>153</v>
      </c>
      <c r="AE33" s="163" t="s">
        <v>153</v>
      </c>
      <c r="AF33" s="28" t="s">
        <v>29</v>
      </c>
      <c r="AG33" s="163" t="s">
        <v>153</v>
      </c>
      <c r="AH33" s="198" t="s">
        <v>170</v>
      </c>
      <c r="AI33" s="198" t="s">
        <v>170</v>
      </c>
      <c r="AJ33" s="198" t="s">
        <v>170</v>
      </c>
      <c r="AK33" s="198" t="s">
        <v>170</v>
      </c>
      <c r="AL33" s="198" t="s">
        <v>170</v>
      </c>
      <c r="AM33" s="198" t="s">
        <v>170</v>
      </c>
    </row>
    <row r="34" spans="1:39" x14ac:dyDescent="0.2">
      <c r="B34" s="97" t="s">
        <v>129</v>
      </c>
      <c r="C34" s="16">
        <f>(2*$E$14*$C$27)+($C$27*($E$14/2))</f>
        <v>105</v>
      </c>
      <c r="D34" s="16">
        <f>(2*$E$14*$D$27)+($D$27*($E$14/2))</f>
        <v>15</v>
      </c>
      <c r="E34" s="99">
        <f>C34+D34</f>
        <v>120</v>
      </c>
      <c r="F34" s="29"/>
      <c r="G34" s="30"/>
      <c r="H34" s="593" t="str">
        <f t="shared" si="16"/>
        <v>Marcela</v>
      </c>
      <c r="I34" s="683"/>
      <c r="J34" s="162" t="s">
        <v>51</v>
      </c>
      <c r="K34" s="162" t="s">
        <v>51</v>
      </c>
      <c r="L34" s="54" t="s">
        <v>23</v>
      </c>
      <c r="M34" s="166" t="s">
        <v>59</v>
      </c>
      <c r="N34" s="166" t="s">
        <v>59</v>
      </c>
      <c r="O34" s="166" t="s">
        <v>59</v>
      </c>
      <c r="P34" s="166" t="s">
        <v>59</v>
      </c>
      <c r="Q34" s="166" t="s">
        <v>59</v>
      </c>
      <c r="R34" s="166" t="s">
        <v>59</v>
      </c>
      <c r="S34" s="166" t="s">
        <v>59</v>
      </c>
      <c r="T34" s="166" t="s">
        <v>59</v>
      </c>
      <c r="U34" s="166" t="s">
        <v>59</v>
      </c>
      <c r="V34" s="166" t="s">
        <v>59</v>
      </c>
      <c r="W34" s="166" t="s">
        <v>59</v>
      </c>
      <c r="X34" s="166" t="s">
        <v>59</v>
      </c>
      <c r="Y34" s="54" t="s">
        <v>23</v>
      </c>
      <c r="Z34" s="166" t="s">
        <v>59</v>
      </c>
      <c r="AA34" s="54" t="s">
        <v>23</v>
      </c>
      <c r="AB34" s="166" t="s">
        <v>59</v>
      </c>
      <c r="AC34" s="54" t="s">
        <v>23</v>
      </c>
      <c r="AD34" s="166" t="s">
        <v>59</v>
      </c>
      <c r="AE34" s="166" t="s">
        <v>59</v>
      </c>
      <c r="AF34" s="28" t="s">
        <v>29</v>
      </c>
      <c r="AG34" s="166" t="s">
        <v>59</v>
      </c>
      <c r="AH34" s="166" t="s">
        <v>59</v>
      </c>
      <c r="AI34" s="166" t="s">
        <v>59</v>
      </c>
      <c r="AJ34" s="166" t="s">
        <v>59</v>
      </c>
      <c r="AK34" s="200" t="s">
        <v>23</v>
      </c>
      <c r="AL34" s="200" t="s">
        <v>23</v>
      </c>
      <c r="AM34" s="200" t="s">
        <v>23</v>
      </c>
    </row>
    <row r="35" spans="1:39" x14ac:dyDescent="0.2">
      <c r="B35" s="97" t="s">
        <v>53</v>
      </c>
      <c r="C35" s="16">
        <f>C30-C31-C32-C33-C34</f>
        <v>1088.8500000000001</v>
      </c>
      <c r="D35" s="36">
        <f>D30-D31-D32-D33-D34</f>
        <v>115.35000000000002</v>
      </c>
      <c r="E35" s="99">
        <f t="shared" si="14"/>
        <v>1204.2000000000003</v>
      </c>
      <c r="F35" s="29"/>
      <c r="G35" s="30"/>
      <c r="H35" s="593" t="str">
        <f t="shared" si="16"/>
        <v>Josiel</v>
      </c>
      <c r="I35" s="594"/>
      <c r="J35" s="162" t="s">
        <v>51</v>
      </c>
      <c r="K35" s="162" t="s">
        <v>51</v>
      </c>
      <c r="L35" s="54" t="s">
        <v>23</v>
      </c>
      <c r="M35" s="179" t="s">
        <v>167</v>
      </c>
      <c r="N35" s="179" t="s">
        <v>167</v>
      </c>
      <c r="O35" s="54" t="s">
        <v>23</v>
      </c>
      <c r="P35" s="179" t="s">
        <v>167</v>
      </c>
      <c r="Q35" s="54" t="s">
        <v>23</v>
      </c>
      <c r="R35" s="179" t="s">
        <v>167</v>
      </c>
      <c r="S35" s="54" t="s">
        <v>23</v>
      </c>
      <c r="T35" s="179" t="s">
        <v>167</v>
      </c>
      <c r="U35" s="179" t="s">
        <v>167</v>
      </c>
      <c r="V35" s="203" t="s">
        <v>167</v>
      </c>
      <c r="W35" s="203" t="s">
        <v>167</v>
      </c>
      <c r="X35" s="203" t="s">
        <v>167</v>
      </c>
      <c r="Y35" s="54" t="s">
        <v>23</v>
      </c>
      <c r="Z35" s="129" t="s">
        <v>164</v>
      </c>
      <c r="AA35" s="54" t="s">
        <v>23</v>
      </c>
      <c r="AB35" s="129" t="s">
        <v>164</v>
      </c>
      <c r="AC35" s="54" t="s">
        <v>23</v>
      </c>
      <c r="AD35" s="129" t="s">
        <v>164</v>
      </c>
      <c r="AE35" s="207" t="s">
        <v>167</v>
      </c>
      <c r="AF35" s="28" t="s">
        <v>29</v>
      </c>
      <c r="AG35" s="129" t="s">
        <v>164</v>
      </c>
      <c r="AH35" s="129" t="s">
        <v>164</v>
      </c>
      <c r="AI35" s="54" t="s">
        <v>23</v>
      </c>
      <c r="AJ35" s="129" t="s">
        <v>164</v>
      </c>
      <c r="AK35" s="54" t="s">
        <v>23</v>
      </c>
      <c r="AL35" s="129" t="s">
        <v>164</v>
      </c>
      <c r="AM35" s="54" t="s">
        <v>23</v>
      </c>
    </row>
    <row r="36" spans="1:39" x14ac:dyDescent="0.2">
      <c r="B36" s="101" t="s">
        <v>130</v>
      </c>
      <c r="C36" s="76">
        <v>1</v>
      </c>
      <c r="D36" s="119">
        <v>0.8</v>
      </c>
      <c r="E36" s="120" t="s">
        <v>31</v>
      </c>
      <c r="F36" s="29"/>
      <c r="G36" s="30"/>
      <c r="H36" s="593" t="str">
        <f t="shared" si="16"/>
        <v>Fernando</v>
      </c>
      <c r="I36" s="594"/>
      <c r="J36" s="162" t="s">
        <v>51</v>
      </c>
      <c r="K36" s="129" t="s">
        <v>164</v>
      </c>
      <c r="L36" s="129" t="s">
        <v>164</v>
      </c>
      <c r="M36" s="129" t="s">
        <v>164</v>
      </c>
      <c r="N36" s="129" t="s">
        <v>164</v>
      </c>
      <c r="O36" s="198" t="s">
        <v>174</v>
      </c>
      <c r="P36" s="198" t="s">
        <v>174</v>
      </c>
      <c r="Q36" s="198" t="s">
        <v>174</v>
      </c>
      <c r="R36" s="198" t="s">
        <v>174</v>
      </c>
      <c r="S36" s="202" t="s">
        <v>29</v>
      </c>
      <c r="T36" s="54" t="s">
        <v>23</v>
      </c>
      <c r="U36" s="129" t="s">
        <v>164</v>
      </c>
      <c r="V36" s="54" t="s">
        <v>23</v>
      </c>
      <c r="W36" s="129" t="s">
        <v>164</v>
      </c>
      <c r="X36" s="54" t="s">
        <v>23</v>
      </c>
      <c r="Y36" s="129" t="s">
        <v>164</v>
      </c>
      <c r="Z36" s="129" t="s">
        <v>164</v>
      </c>
      <c r="AA36" s="129" t="s">
        <v>164</v>
      </c>
      <c r="AB36" s="129" t="s">
        <v>164</v>
      </c>
      <c r="AC36" s="129" t="s">
        <v>164</v>
      </c>
      <c r="AD36" s="54" t="s">
        <v>23</v>
      </c>
      <c r="AE36" s="129" t="s">
        <v>164</v>
      </c>
      <c r="AF36" s="28" t="s">
        <v>29</v>
      </c>
      <c r="AG36" s="129" t="s">
        <v>164</v>
      </c>
      <c r="AH36" s="54" t="s">
        <v>23</v>
      </c>
      <c r="AI36" s="129" t="s">
        <v>164</v>
      </c>
      <c r="AJ36" s="129" t="s">
        <v>164</v>
      </c>
      <c r="AK36" s="129" t="s">
        <v>164</v>
      </c>
      <c r="AL36" s="129" t="s">
        <v>164</v>
      </c>
      <c r="AM36" s="129" t="s">
        <v>164</v>
      </c>
    </row>
    <row r="37" spans="1:39" x14ac:dyDescent="0.2">
      <c r="B37" s="101" t="s">
        <v>131</v>
      </c>
      <c r="C37" s="76">
        <f>IF(C28=0,0,C35/C28)</f>
        <v>5.3637931034482769</v>
      </c>
      <c r="D37" s="119">
        <f>IF(D28=0,0,D35/D28)</f>
        <v>3.9775862068965524</v>
      </c>
      <c r="E37" s="121">
        <f>((C37*C36)+(D37*D36))/(C36+D36)</f>
        <v>4.7477011494252883</v>
      </c>
      <c r="F37" s="29"/>
      <c r="G37" s="30"/>
      <c r="H37" s="593" t="str">
        <f t="shared" si="16"/>
        <v>Elias</v>
      </c>
      <c r="I37" s="594"/>
      <c r="J37" s="28" t="s">
        <v>29</v>
      </c>
      <c r="K37" s="28" t="s">
        <v>29</v>
      </c>
      <c r="L37" s="28" t="s">
        <v>29</v>
      </c>
      <c r="M37" s="28" t="s">
        <v>29</v>
      </c>
      <c r="N37" s="28" t="s">
        <v>29</v>
      </c>
      <c r="O37" s="159" t="s">
        <v>85</v>
      </c>
      <c r="P37" s="159" t="s">
        <v>85</v>
      </c>
      <c r="Q37" s="159" t="s">
        <v>85</v>
      </c>
      <c r="R37" s="159" t="s">
        <v>85</v>
      </c>
      <c r="S37" s="159" t="s">
        <v>85</v>
      </c>
      <c r="T37" s="196" t="s">
        <v>161</v>
      </c>
      <c r="U37" s="196" t="s">
        <v>161</v>
      </c>
      <c r="V37" s="159" t="s">
        <v>85</v>
      </c>
      <c r="W37" s="196" t="s">
        <v>161</v>
      </c>
      <c r="X37" s="196" t="s">
        <v>161</v>
      </c>
      <c r="Y37" s="196" t="s">
        <v>161</v>
      </c>
      <c r="Z37" s="196" t="s">
        <v>161</v>
      </c>
      <c r="AA37" s="196" t="s">
        <v>161</v>
      </c>
      <c r="AB37" s="196" t="s">
        <v>161</v>
      </c>
      <c r="AC37" s="196" t="s">
        <v>161</v>
      </c>
      <c r="AD37" s="196" t="s">
        <v>161</v>
      </c>
      <c r="AE37" s="196" t="s">
        <v>161</v>
      </c>
      <c r="AF37" s="28" t="s">
        <v>29</v>
      </c>
      <c r="AG37" s="196" t="s">
        <v>161</v>
      </c>
      <c r="AH37" s="196" t="s">
        <v>161</v>
      </c>
      <c r="AI37" s="133" t="s">
        <v>157</v>
      </c>
      <c r="AJ37" s="133" t="s">
        <v>157</v>
      </c>
      <c r="AK37" s="133" t="s">
        <v>157</v>
      </c>
      <c r="AL37" s="133" t="s">
        <v>157</v>
      </c>
      <c r="AM37" s="133" t="s">
        <v>157</v>
      </c>
    </row>
    <row r="38" spans="1:39" ht="17" thickBot="1" x14ac:dyDescent="0.25">
      <c r="B38" s="122" t="s">
        <v>132</v>
      </c>
      <c r="C38" s="123">
        <v>1</v>
      </c>
      <c r="D38" s="124">
        <f>C37/D37</f>
        <v>1.3485045513654097</v>
      </c>
      <c r="E38" s="125" t="s">
        <v>31</v>
      </c>
      <c r="F38" s="29"/>
      <c r="G38" s="30"/>
      <c r="H38" s="593" t="str">
        <f t="shared" si="16"/>
        <v>Ricardo</v>
      </c>
      <c r="I38" s="594"/>
      <c r="J38" s="162" t="s">
        <v>51</v>
      </c>
      <c r="K38" s="162" t="s">
        <v>51</v>
      </c>
      <c r="L38" s="162" t="s">
        <v>51</v>
      </c>
      <c r="M38" s="200" t="s">
        <v>23</v>
      </c>
      <c r="N38" s="198" t="s">
        <v>173</v>
      </c>
      <c r="O38" s="201" t="s">
        <v>51</v>
      </c>
      <c r="P38" s="201" t="s">
        <v>51</v>
      </c>
      <c r="Q38" s="200" t="s">
        <v>23</v>
      </c>
      <c r="R38" s="200" t="s">
        <v>23</v>
      </c>
      <c r="S38" s="198" t="s">
        <v>173</v>
      </c>
      <c r="T38" s="201" t="s">
        <v>51</v>
      </c>
      <c r="U38" s="201" t="s">
        <v>51</v>
      </c>
      <c r="V38" s="200" t="s">
        <v>23</v>
      </c>
      <c r="W38" s="200" t="s">
        <v>23</v>
      </c>
      <c r="X38" s="198" t="s">
        <v>173</v>
      </c>
      <c r="Y38" s="198" t="s">
        <v>173</v>
      </c>
      <c r="Z38" s="201" t="s">
        <v>51</v>
      </c>
      <c r="AA38" s="201" t="s">
        <v>51</v>
      </c>
      <c r="AB38" s="197" t="s">
        <v>157</v>
      </c>
      <c r="AC38" s="197" t="s">
        <v>157</v>
      </c>
      <c r="AD38" s="197" t="s">
        <v>157</v>
      </c>
      <c r="AE38" s="197" t="s">
        <v>157</v>
      </c>
      <c r="AF38" s="28" t="s">
        <v>29</v>
      </c>
      <c r="AG38" s="197" t="s">
        <v>157</v>
      </c>
      <c r="AH38" s="133" t="s">
        <v>157</v>
      </c>
      <c r="AI38" s="133" t="s">
        <v>157</v>
      </c>
      <c r="AJ38" s="133" t="s">
        <v>157</v>
      </c>
      <c r="AK38" s="133" t="s">
        <v>157</v>
      </c>
      <c r="AL38" s="133" t="s">
        <v>157</v>
      </c>
      <c r="AM38" s="133" t="s">
        <v>157</v>
      </c>
    </row>
    <row r="39" spans="1:39" x14ac:dyDescent="0.2">
      <c r="B39" s="7"/>
      <c r="F39" s="29"/>
      <c r="G39" s="30"/>
      <c r="H39"/>
      <c r="I39" s="7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9" x14ac:dyDescent="0.2">
      <c r="F40" s="29"/>
      <c r="G40" s="30"/>
    </row>
    <row r="41" spans="1:39" x14ac:dyDescent="0.2">
      <c r="F41" s="29"/>
      <c r="G41" s="30"/>
      <c r="J41" s="674" t="s">
        <v>96</v>
      </c>
      <c r="K41" s="675"/>
      <c r="L41" s="675"/>
      <c r="M41" s="675"/>
      <c r="N41" s="675"/>
      <c r="O41" s="675"/>
      <c r="P41" s="675"/>
      <c r="Q41" s="675"/>
      <c r="R41" s="675"/>
      <c r="S41" s="675"/>
      <c r="T41" s="675"/>
      <c r="U41" s="675"/>
      <c r="V41" s="675"/>
      <c r="W41" s="675"/>
      <c r="X41" s="675"/>
      <c r="Y41" s="675"/>
      <c r="Z41" s="675"/>
      <c r="AA41" s="675"/>
      <c r="AB41" s="675"/>
      <c r="AC41" s="675"/>
      <c r="AD41" s="675"/>
      <c r="AE41" s="675"/>
      <c r="AF41" s="675"/>
      <c r="AG41" s="675"/>
      <c r="AH41" s="675"/>
      <c r="AI41" s="675"/>
      <c r="AJ41" s="675"/>
      <c r="AK41" s="675"/>
      <c r="AL41" s="675"/>
      <c r="AM41" s="676"/>
    </row>
    <row r="42" spans="1:39" x14ac:dyDescent="0.2">
      <c r="F42" s="29"/>
      <c r="G42" s="30"/>
      <c r="H42"/>
      <c r="I42" s="7"/>
      <c r="J42" s="600" t="s">
        <v>43</v>
      </c>
      <c r="K42" s="601"/>
      <c r="L42" s="601"/>
      <c r="M42" s="601"/>
      <c r="N42" s="602"/>
      <c r="O42" s="600" t="s">
        <v>44</v>
      </c>
      <c r="P42" s="601"/>
      <c r="Q42" s="601"/>
      <c r="R42" s="601"/>
      <c r="S42" s="602"/>
      <c r="T42" s="600" t="s">
        <v>45</v>
      </c>
      <c r="U42" s="601"/>
      <c r="V42" s="601"/>
      <c r="W42" s="601"/>
      <c r="X42" s="602"/>
      <c r="Y42" s="600" t="s">
        <v>46</v>
      </c>
      <c r="Z42" s="601"/>
      <c r="AA42" s="601"/>
      <c r="AB42" s="601"/>
      <c r="AC42" s="602"/>
      <c r="AD42" s="600" t="s">
        <v>47</v>
      </c>
      <c r="AE42" s="601"/>
      <c r="AF42" s="601"/>
      <c r="AG42" s="601"/>
      <c r="AH42" s="602"/>
      <c r="AI42" s="600" t="s">
        <v>83</v>
      </c>
      <c r="AJ42" s="601"/>
      <c r="AK42" s="601"/>
      <c r="AL42" s="601"/>
      <c r="AM42" s="602"/>
    </row>
    <row r="43" spans="1:39" x14ac:dyDescent="0.2">
      <c r="F43" s="29"/>
      <c r="G43" s="30"/>
      <c r="H43" s="600" t="s">
        <v>49</v>
      </c>
      <c r="I43" s="602"/>
      <c r="J43" s="15">
        <f t="shared" ref="J43:AM43" si="17">$E$17+(7*ROUNDDOWN((COLUMN(J$30)-COLUMN($J$30))/5,0))+MOD(COLUMN(J$30)-COLUMN($J$30),5)</f>
        <v>45383</v>
      </c>
      <c r="K43" s="15">
        <f t="shared" si="17"/>
        <v>45384</v>
      </c>
      <c r="L43" s="15">
        <f t="shared" si="17"/>
        <v>45385</v>
      </c>
      <c r="M43" s="15">
        <f t="shared" si="17"/>
        <v>45386</v>
      </c>
      <c r="N43" s="15">
        <f t="shared" si="17"/>
        <v>45387</v>
      </c>
      <c r="O43" s="15">
        <f t="shared" si="17"/>
        <v>45390</v>
      </c>
      <c r="P43" s="15">
        <f t="shared" si="17"/>
        <v>45391</v>
      </c>
      <c r="Q43" s="15">
        <f t="shared" si="17"/>
        <v>45392</v>
      </c>
      <c r="R43" s="15">
        <f t="shared" si="17"/>
        <v>45393</v>
      </c>
      <c r="S43" s="15">
        <f t="shared" si="17"/>
        <v>45394</v>
      </c>
      <c r="T43" s="15">
        <f t="shared" si="17"/>
        <v>45397</v>
      </c>
      <c r="U43" s="15">
        <f t="shared" si="17"/>
        <v>45398</v>
      </c>
      <c r="V43" s="15">
        <f t="shared" si="17"/>
        <v>45399</v>
      </c>
      <c r="W43" s="15">
        <f t="shared" si="17"/>
        <v>45400</v>
      </c>
      <c r="X43" s="15">
        <f t="shared" si="17"/>
        <v>45401</v>
      </c>
      <c r="Y43" s="15">
        <f t="shared" si="17"/>
        <v>45404</v>
      </c>
      <c r="Z43" s="15">
        <f t="shared" si="17"/>
        <v>45405</v>
      </c>
      <c r="AA43" s="15">
        <f t="shared" si="17"/>
        <v>45406</v>
      </c>
      <c r="AB43" s="15">
        <f t="shared" si="17"/>
        <v>45407</v>
      </c>
      <c r="AC43" s="15">
        <f t="shared" si="17"/>
        <v>45408</v>
      </c>
      <c r="AD43" s="15">
        <f t="shared" si="17"/>
        <v>45411</v>
      </c>
      <c r="AE43" s="15">
        <f t="shared" si="17"/>
        <v>45412</v>
      </c>
      <c r="AF43" s="15">
        <f t="shared" si="17"/>
        <v>45413</v>
      </c>
      <c r="AG43" s="15">
        <f t="shared" si="17"/>
        <v>45414</v>
      </c>
      <c r="AH43" s="15">
        <f t="shared" si="17"/>
        <v>45415</v>
      </c>
      <c r="AI43" s="15">
        <f t="shared" si="17"/>
        <v>45418</v>
      </c>
      <c r="AJ43" s="15">
        <f t="shared" si="17"/>
        <v>45419</v>
      </c>
      <c r="AK43" s="15">
        <f t="shared" si="17"/>
        <v>45420</v>
      </c>
      <c r="AL43" s="15">
        <f t="shared" si="17"/>
        <v>45421</v>
      </c>
      <c r="AM43" s="15">
        <f t="shared" si="17"/>
        <v>45422</v>
      </c>
    </row>
    <row r="44" spans="1:39" x14ac:dyDescent="0.2">
      <c r="F44" s="29"/>
      <c r="G44" s="30"/>
      <c r="H44" s="593" t="str">
        <f t="shared" ref="H44:H51" si="18">$D4</f>
        <v>Arthur Mota</v>
      </c>
      <c r="I44" s="594"/>
      <c r="J44" s="162" t="s">
        <v>51</v>
      </c>
      <c r="K44" s="171" t="s">
        <v>51</v>
      </c>
      <c r="L44" s="54" t="s">
        <v>23</v>
      </c>
      <c r="M44" s="165" t="s">
        <v>141</v>
      </c>
      <c r="N44" s="165" t="s">
        <v>141</v>
      </c>
      <c r="O44" s="165" t="s">
        <v>141</v>
      </c>
      <c r="P44" s="165" t="s">
        <v>141</v>
      </c>
      <c r="Q44" s="165" t="s">
        <v>141</v>
      </c>
      <c r="R44" s="165" t="s">
        <v>141</v>
      </c>
      <c r="S44" s="165" t="s">
        <v>141</v>
      </c>
      <c r="T44" s="165" t="s">
        <v>141</v>
      </c>
      <c r="U44" s="165" t="s">
        <v>141</v>
      </c>
      <c r="V44" s="165" t="s">
        <v>141</v>
      </c>
      <c r="W44" s="165" t="s">
        <v>141</v>
      </c>
      <c r="X44" s="165" t="s">
        <v>141</v>
      </c>
      <c r="Y44" s="165" t="s">
        <v>141</v>
      </c>
      <c r="Z44" s="165" t="s">
        <v>141</v>
      </c>
      <c r="AA44" s="165" t="s">
        <v>141</v>
      </c>
      <c r="AB44" s="165" t="s">
        <v>141</v>
      </c>
      <c r="AC44" s="165" t="s">
        <v>141</v>
      </c>
      <c r="AD44" s="54" t="s">
        <v>23</v>
      </c>
      <c r="AE44" s="176" t="s">
        <v>145</v>
      </c>
      <c r="AF44" s="28" t="s">
        <v>29</v>
      </c>
      <c r="AG44" s="54" t="s">
        <v>23</v>
      </c>
      <c r="AH44" s="176" t="s">
        <v>145</v>
      </c>
      <c r="AI44" s="54" t="s">
        <v>23</v>
      </c>
      <c r="AJ44" s="176" t="s">
        <v>145</v>
      </c>
      <c r="AK44" s="54" t="s">
        <v>23</v>
      </c>
      <c r="AL44" s="176" t="s">
        <v>145</v>
      </c>
      <c r="AM44" s="54" t="s">
        <v>23</v>
      </c>
    </row>
    <row r="45" spans="1:39" x14ac:dyDescent="0.2">
      <c r="F45" s="29"/>
      <c r="G45" s="30"/>
      <c r="H45" s="593" t="str">
        <f t="shared" si="18"/>
        <v>Andréa</v>
      </c>
      <c r="I45" s="594"/>
      <c r="J45" s="162" t="s">
        <v>51</v>
      </c>
      <c r="K45" s="162" t="s">
        <v>51</v>
      </c>
      <c r="L45" s="173" t="s">
        <v>62</v>
      </c>
      <c r="M45" s="173" t="s">
        <v>62</v>
      </c>
      <c r="N45" s="176" t="s">
        <v>145</v>
      </c>
      <c r="O45" s="54" t="s">
        <v>23</v>
      </c>
      <c r="P45" s="176" t="s">
        <v>145</v>
      </c>
      <c r="Q45" s="54" t="s">
        <v>23</v>
      </c>
      <c r="R45" s="176" t="s">
        <v>145</v>
      </c>
      <c r="S45" s="54" t="s">
        <v>23</v>
      </c>
      <c r="T45" s="176" t="s">
        <v>145</v>
      </c>
      <c r="U45" s="176" t="s">
        <v>145</v>
      </c>
      <c r="V45" s="176" t="s">
        <v>145</v>
      </c>
      <c r="W45" s="176" t="s">
        <v>145</v>
      </c>
      <c r="X45" s="176" t="s">
        <v>145</v>
      </c>
      <c r="Y45" s="176" t="s">
        <v>145</v>
      </c>
      <c r="Z45" s="176" t="s">
        <v>145</v>
      </c>
      <c r="AA45" s="176" t="s">
        <v>145</v>
      </c>
      <c r="AB45" s="176" t="s">
        <v>145</v>
      </c>
      <c r="AC45" s="176" t="s">
        <v>145</v>
      </c>
      <c r="AD45" s="176" t="s">
        <v>145</v>
      </c>
      <c r="AE45" s="176" t="s">
        <v>145</v>
      </c>
      <c r="AF45" s="28" t="s">
        <v>29</v>
      </c>
      <c r="AG45" s="176" t="s">
        <v>145</v>
      </c>
      <c r="AH45" s="176" t="s">
        <v>145</v>
      </c>
      <c r="AI45" s="176" t="s">
        <v>145</v>
      </c>
      <c r="AJ45" s="176" t="s">
        <v>145</v>
      </c>
      <c r="AK45" s="176" t="s">
        <v>145</v>
      </c>
      <c r="AL45" s="176" t="s">
        <v>145</v>
      </c>
      <c r="AM45" s="176" t="s">
        <v>145</v>
      </c>
    </row>
    <row r="46" spans="1:39" x14ac:dyDescent="0.2">
      <c r="F46" s="29"/>
      <c r="G46" s="30"/>
      <c r="H46" s="593" t="str">
        <f t="shared" si="18"/>
        <v>André</v>
      </c>
      <c r="I46" s="594"/>
      <c r="J46" s="162" t="s">
        <v>51</v>
      </c>
      <c r="K46" s="171" t="s">
        <v>51</v>
      </c>
      <c r="L46" s="173" t="s">
        <v>62</v>
      </c>
      <c r="M46" s="173" t="s">
        <v>62</v>
      </c>
      <c r="N46" s="163" t="s">
        <v>153</v>
      </c>
      <c r="O46" s="163" t="s">
        <v>153</v>
      </c>
      <c r="P46" s="163" t="s">
        <v>153</v>
      </c>
      <c r="Q46" s="163" t="s">
        <v>153</v>
      </c>
      <c r="R46" s="163" t="s">
        <v>153</v>
      </c>
      <c r="S46" s="163" t="s">
        <v>153</v>
      </c>
      <c r="T46" s="54" t="s">
        <v>23</v>
      </c>
      <c r="U46" s="163" t="s">
        <v>153</v>
      </c>
      <c r="V46" s="54" t="s">
        <v>23</v>
      </c>
      <c r="W46" s="163" t="s">
        <v>153</v>
      </c>
      <c r="X46" s="54" t="s">
        <v>23</v>
      </c>
      <c r="Y46" s="163" t="s">
        <v>153</v>
      </c>
      <c r="Z46" s="163" t="s">
        <v>153</v>
      </c>
      <c r="AA46" s="163" t="s">
        <v>153</v>
      </c>
      <c r="AB46" s="163" t="s">
        <v>153</v>
      </c>
      <c r="AC46" s="163" t="s">
        <v>153</v>
      </c>
      <c r="AD46" s="163" t="s">
        <v>153</v>
      </c>
      <c r="AE46" s="163" t="s">
        <v>153</v>
      </c>
      <c r="AF46" s="28" t="s">
        <v>29</v>
      </c>
      <c r="AG46" s="163" t="s">
        <v>153</v>
      </c>
      <c r="AH46" s="166" t="s">
        <v>59</v>
      </c>
      <c r="AI46" s="166" t="s">
        <v>59</v>
      </c>
      <c r="AJ46" s="166" t="s">
        <v>59</v>
      </c>
      <c r="AK46" s="166" t="s">
        <v>59</v>
      </c>
      <c r="AL46" s="166" t="s">
        <v>59</v>
      </c>
      <c r="AM46" s="166" t="s">
        <v>59</v>
      </c>
    </row>
    <row r="47" spans="1:39" x14ac:dyDescent="0.2">
      <c r="F47" s="29"/>
      <c r="G47" s="30"/>
      <c r="H47" s="593" t="str">
        <f t="shared" si="18"/>
        <v>Marcela</v>
      </c>
      <c r="I47" s="594"/>
      <c r="J47" s="162" t="s">
        <v>51</v>
      </c>
      <c r="K47" s="162" t="s">
        <v>51</v>
      </c>
      <c r="L47" s="54" t="s">
        <v>23</v>
      </c>
      <c r="M47" s="166" t="s">
        <v>59</v>
      </c>
      <c r="N47" s="166" t="s">
        <v>59</v>
      </c>
      <c r="O47" s="166" t="s">
        <v>59</v>
      </c>
      <c r="P47" s="166" t="s">
        <v>59</v>
      </c>
      <c r="Q47" s="166" t="s">
        <v>59</v>
      </c>
      <c r="R47" s="166" t="s">
        <v>59</v>
      </c>
      <c r="S47" s="166" t="s">
        <v>59</v>
      </c>
      <c r="T47" s="166" t="s">
        <v>59</v>
      </c>
      <c r="U47" s="166" t="s">
        <v>59</v>
      </c>
      <c r="V47" s="166" t="s">
        <v>59</v>
      </c>
      <c r="W47" s="166" t="s">
        <v>59</v>
      </c>
      <c r="X47" s="166" t="s">
        <v>59</v>
      </c>
      <c r="Y47" s="54" t="s">
        <v>23</v>
      </c>
      <c r="Z47" s="166" t="s">
        <v>59</v>
      </c>
      <c r="AA47" s="54" t="s">
        <v>23</v>
      </c>
      <c r="AB47" s="166" t="s">
        <v>59</v>
      </c>
      <c r="AC47" s="54" t="s">
        <v>23</v>
      </c>
      <c r="AD47" s="166" t="s">
        <v>59</v>
      </c>
      <c r="AE47" s="166" t="s">
        <v>59</v>
      </c>
      <c r="AF47" s="28" t="s">
        <v>29</v>
      </c>
      <c r="AG47" s="166" t="s">
        <v>59</v>
      </c>
      <c r="AH47" s="166" t="s">
        <v>59</v>
      </c>
      <c r="AI47" s="166" t="s">
        <v>59</v>
      </c>
      <c r="AJ47" s="166" t="s">
        <v>59</v>
      </c>
      <c r="AK47" s="166" t="s">
        <v>59</v>
      </c>
      <c r="AL47" s="166" t="s">
        <v>59</v>
      </c>
      <c r="AM47" s="166" t="s">
        <v>59</v>
      </c>
    </row>
    <row r="48" spans="1:39" ht="16" customHeight="1" x14ac:dyDescent="0.2">
      <c r="A48" s="8"/>
      <c r="F48" s="29"/>
      <c r="G48" s="30"/>
      <c r="H48" s="593" t="str">
        <f t="shared" si="18"/>
        <v>Josiel</v>
      </c>
      <c r="I48" s="594"/>
      <c r="J48" s="162" t="s">
        <v>51</v>
      </c>
      <c r="K48" s="162" t="s">
        <v>51</v>
      </c>
      <c r="L48" s="54" t="s">
        <v>23</v>
      </c>
      <c r="M48" s="179" t="s">
        <v>167</v>
      </c>
      <c r="N48" s="179" t="s">
        <v>167</v>
      </c>
      <c r="O48" s="54" t="s">
        <v>23</v>
      </c>
      <c r="P48" s="179" t="s">
        <v>167</v>
      </c>
      <c r="Q48" s="54" t="s">
        <v>23</v>
      </c>
      <c r="R48" s="179" t="s">
        <v>167</v>
      </c>
      <c r="S48" s="54" t="s">
        <v>23</v>
      </c>
      <c r="T48" s="179" t="s">
        <v>167</v>
      </c>
      <c r="U48" s="179" t="s">
        <v>167</v>
      </c>
      <c r="V48" s="129" t="s">
        <v>164</v>
      </c>
      <c r="W48" s="129" t="s">
        <v>164</v>
      </c>
      <c r="X48" s="129" t="s">
        <v>164</v>
      </c>
      <c r="Y48" s="54" t="s">
        <v>23</v>
      </c>
      <c r="Z48" s="129" t="s">
        <v>164</v>
      </c>
      <c r="AA48" s="54" t="s">
        <v>23</v>
      </c>
      <c r="AB48" s="129" t="s">
        <v>164</v>
      </c>
      <c r="AC48" s="54" t="s">
        <v>23</v>
      </c>
      <c r="AD48" s="129" t="s">
        <v>164</v>
      </c>
      <c r="AE48" s="129" t="s">
        <v>164</v>
      </c>
      <c r="AF48" s="28" t="s">
        <v>29</v>
      </c>
      <c r="AG48" s="129" t="s">
        <v>164</v>
      </c>
      <c r="AH48" s="129" t="s">
        <v>164</v>
      </c>
      <c r="AI48" s="54" t="s">
        <v>23</v>
      </c>
      <c r="AJ48" s="129" t="s">
        <v>164</v>
      </c>
      <c r="AK48" s="54" t="s">
        <v>23</v>
      </c>
      <c r="AL48" s="129" t="s">
        <v>164</v>
      </c>
      <c r="AM48" s="54" t="s">
        <v>23</v>
      </c>
    </row>
    <row r="49" spans="1:39" x14ac:dyDescent="0.2">
      <c r="A49" s="8"/>
      <c r="F49" s="31"/>
      <c r="G49" s="32"/>
      <c r="H49" s="593" t="str">
        <f t="shared" si="18"/>
        <v>Fernando</v>
      </c>
      <c r="I49" s="594"/>
      <c r="J49" s="162" t="s">
        <v>51</v>
      </c>
      <c r="K49" s="129" t="s">
        <v>164</v>
      </c>
      <c r="L49" s="129" t="s">
        <v>164</v>
      </c>
      <c r="M49" s="129" t="s">
        <v>164</v>
      </c>
      <c r="N49" s="129" t="s">
        <v>164</v>
      </c>
      <c r="O49" s="129" t="s">
        <v>164</v>
      </c>
      <c r="P49" s="129" t="s">
        <v>164</v>
      </c>
      <c r="Q49" s="129" t="s">
        <v>164</v>
      </c>
      <c r="R49" s="129" t="s">
        <v>164</v>
      </c>
      <c r="S49" s="129" t="s">
        <v>164</v>
      </c>
      <c r="T49" s="54" t="s">
        <v>23</v>
      </c>
      <c r="U49" s="129" t="s">
        <v>164</v>
      </c>
      <c r="V49" s="54" t="s">
        <v>23</v>
      </c>
      <c r="W49" s="129" t="s">
        <v>164</v>
      </c>
      <c r="X49" s="54" t="s">
        <v>23</v>
      </c>
      <c r="Y49" s="129" t="s">
        <v>164</v>
      </c>
      <c r="Z49" s="129" t="s">
        <v>164</v>
      </c>
      <c r="AA49" s="129" t="s">
        <v>164</v>
      </c>
      <c r="AB49" s="129" t="s">
        <v>164</v>
      </c>
      <c r="AC49" s="129" t="s">
        <v>164</v>
      </c>
      <c r="AD49" s="54" t="s">
        <v>23</v>
      </c>
      <c r="AE49" s="129" t="s">
        <v>164</v>
      </c>
      <c r="AF49" s="28" t="s">
        <v>29</v>
      </c>
      <c r="AG49" s="129" t="s">
        <v>164</v>
      </c>
      <c r="AH49" s="54" t="s">
        <v>23</v>
      </c>
      <c r="AI49" s="129" t="s">
        <v>164</v>
      </c>
      <c r="AJ49" s="129" t="s">
        <v>164</v>
      </c>
      <c r="AK49" s="129" t="s">
        <v>164</v>
      </c>
      <c r="AL49" s="129" t="s">
        <v>164</v>
      </c>
      <c r="AM49" s="129" t="s">
        <v>164</v>
      </c>
    </row>
    <row r="50" spans="1:39" x14ac:dyDescent="0.2">
      <c r="A50" s="8"/>
      <c r="F50" s="29"/>
      <c r="G50" s="30"/>
      <c r="H50" s="593" t="str">
        <f t="shared" si="18"/>
        <v>Elias</v>
      </c>
      <c r="I50" s="683"/>
      <c r="J50" s="28" t="s">
        <v>29</v>
      </c>
      <c r="K50" s="28" t="s">
        <v>29</v>
      </c>
      <c r="L50" s="28" t="s">
        <v>29</v>
      </c>
      <c r="M50" s="28" t="s">
        <v>29</v>
      </c>
      <c r="N50" s="28" t="s">
        <v>29</v>
      </c>
      <c r="O50" s="159" t="s">
        <v>85</v>
      </c>
      <c r="P50" s="159" t="s">
        <v>85</v>
      </c>
      <c r="Q50" s="159" t="s">
        <v>85</v>
      </c>
      <c r="R50" s="159" t="s">
        <v>85</v>
      </c>
      <c r="S50" s="159" t="s">
        <v>85</v>
      </c>
      <c r="T50" s="159" t="s">
        <v>85</v>
      </c>
      <c r="U50" s="159" t="s">
        <v>85</v>
      </c>
      <c r="V50" s="159" t="s">
        <v>85</v>
      </c>
      <c r="W50" s="159" t="s">
        <v>85</v>
      </c>
      <c r="X50" s="159" t="s">
        <v>85</v>
      </c>
      <c r="Y50" s="133" t="s">
        <v>157</v>
      </c>
      <c r="Z50" s="133" t="s">
        <v>157</v>
      </c>
      <c r="AA50" s="133" t="s">
        <v>157</v>
      </c>
      <c r="AB50" s="133" t="s">
        <v>157</v>
      </c>
      <c r="AC50" s="133" t="s">
        <v>157</v>
      </c>
      <c r="AD50" s="133" t="s">
        <v>157</v>
      </c>
      <c r="AE50" s="133" t="s">
        <v>157</v>
      </c>
      <c r="AF50" s="28" t="s">
        <v>29</v>
      </c>
      <c r="AG50" s="133" t="s">
        <v>157</v>
      </c>
      <c r="AH50" s="133" t="s">
        <v>157</v>
      </c>
      <c r="AI50" s="133" t="s">
        <v>157</v>
      </c>
      <c r="AJ50" s="133" t="s">
        <v>157</v>
      </c>
      <c r="AK50" s="133" t="s">
        <v>157</v>
      </c>
      <c r="AL50" s="133" t="s">
        <v>157</v>
      </c>
      <c r="AM50" s="133" t="s">
        <v>157</v>
      </c>
    </row>
    <row r="51" spans="1:39" x14ac:dyDescent="0.2">
      <c r="F51" s="29"/>
      <c r="G51" s="30"/>
      <c r="H51" s="593" t="str">
        <f t="shared" si="18"/>
        <v>Ricardo</v>
      </c>
      <c r="I51" s="594"/>
      <c r="J51" s="162" t="s">
        <v>51</v>
      </c>
      <c r="K51" s="162" t="s">
        <v>51</v>
      </c>
      <c r="L51" s="162" t="s">
        <v>51</v>
      </c>
      <c r="M51" s="168" t="s">
        <v>161</v>
      </c>
      <c r="N51" s="168" t="s">
        <v>161</v>
      </c>
      <c r="O51" s="168" t="s">
        <v>161</v>
      </c>
      <c r="P51" s="168" t="s">
        <v>161</v>
      </c>
      <c r="Q51" s="168" t="s">
        <v>161</v>
      </c>
      <c r="R51" s="168" t="s">
        <v>161</v>
      </c>
      <c r="S51" s="168" t="s">
        <v>161</v>
      </c>
      <c r="T51" s="168" t="s">
        <v>161</v>
      </c>
      <c r="U51" s="168" t="s">
        <v>161</v>
      </c>
      <c r="V51" s="168" t="s">
        <v>161</v>
      </c>
      <c r="W51" s="168" t="s">
        <v>161</v>
      </c>
      <c r="X51" s="168" t="s">
        <v>161</v>
      </c>
      <c r="Y51" s="168" t="s">
        <v>161</v>
      </c>
      <c r="Z51" s="168" t="s">
        <v>161</v>
      </c>
      <c r="AA51" s="168" t="s">
        <v>161</v>
      </c>
      <c r="AB51" s="168" t="s">
        <v>161</v>
      </c>
      <c r="AC51" s="168" t="s">
        <v>161</v>
      </c>
      <c r="AD51" s="168" t="s">
        <v>161</v>
      </c>
      <c r="AE51" s="168" t="s">
        <v>161</v>
      </c>
      <c r="AF51" s="28" t="s">
        <v>29</v>
      </c>
      <c r="AG51" s="168" t="s">
        <v>161</v>
      </c>
      <c r="AH51" s="133" t="s">
        <v>157</v>
      </c>
      <c r="AI51" s="133" t="s">
        <v>157</v>
      </c>
      <c r="AJ51" s="133" t="s">
        <v>157</v>
      </c>
      <c r="AK51" s="133" t="s">
        <v>157</v>
      </c>
      <c r="AL51" s="133" t="s">
        <v>157</v>
      </c>
      <c r="AM51" s="133" t="s">
        <v>157</v>
      </c>
    </row>
    <row r="52" spans="1:39" ht="17" thickBot="1" x14ac:dyDescent="0.25">
      <c r="F52" s="33"/>
      <c r="G52" s="30"/>
      <c r="S52"/>
      <c r="T52"/>
      <c r="U52"/>
      <c r="V52"/>
      <c r="X52"/>
      <c r="Y52"/>
      <c r="Z52"/>
      <c r="AA52"/>
      <c r="AB52"/>
      <c r="AC52"/>
      <c r="AD52"/>
      <c r="AE52"/>
      <c r="AF52"/>
    </row>
    <row r="53" spans="1:39" x14ac:dyDescent="0.2">
      <c r="F53" s="33"/>
      <c r="G53" s="30"/>
      <c r="J53" s="186" t="str">
        <f>AP6</f>
        <v>Eng</v>
      </c>
      <c r="K53" s="187" cm="1">
        <f t="array" ref="K53:K57">SUMIFS(AD6:AD25, S6:S25, AP6:AP10)</f>
        <v>63</v>
      </c>
      <c r="L53" s="183">
        <f>K53/$K$58</f>
        <v>0.26250000000000001</v>
      </c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9" x14ac:dyDescent="0.2">
      <c r="F54" s="33"/>
      <c r="G54" s="30"/>
      <c r="J54" s="188" t="str">
        <f>AP7</f>
        <v>Prod</v>
      </c>
      <c r="K54" s="189">
        <v>123</v>
      </c>
      <c r="L54" s="191">
        <f>K54/$K$58</f>
        <v>0.51249999999999996</v>
      </c>
      <c r="AA54"/>
      <c r="AD54"/>
      <c r="AE54"/>
      <c r="AF54"/>
    </row>
    <row r="55" spans="1:39" x14ac:dyDescent="0.2">
      <c r="F55" s="33"/>
      <c r="G55" s="30"/>
      <c r="H55"/>
      <c r="J55" s="188" t="str">
        <f>AP8</f>
        <v>Day-by-Day</v>
      </c>
      <c r="K55" s="189">
        <v>10</v>
      </c>
      <c r="L55" s="191">
        <f>K55/$K$58</f>
        <v>4.1666666666666664E-2</v>
      </c>
      <c r="N55"/>
      <c r="O55"/>
      <c r="P55"/>
      <c r="R55"/>
      <c r="S55"/>
      <c r="T55"/>
      <c r="U55"/>
      <c r="V55"/>
      <c r="X55"/>
      <c r="Y55"/>
      <c r="Z55"/>
      <c r="AB55"/>
      <c r="AC55"/>
      <c r="AD55"/>
      <c r="AE55"/>
      <c r="AF55"/>
    </row>
    <row r="56" spans="1:39" x14ac:dyDescent="0.2">
      <c r="F56" s="33"/>
      <c r="G56" s="30"/>
      <c r="H56"/>
      <c r="I56" s="7"/>
      <c r="J56" s="184" t="str">
        <f>AP9</f>
        <v>Out</v>
      </c>
      <c r="K56" s="189">
        <v>13</v>
      </c>
      <c r="L56" s="192">
        <f>K56/$K$58</f>
        <v>5.4166666666666669E-2</v>
      </c>
      <c r="M56"/>
      <c r="N56"/>
      <c r="O56"/>
      <c r="P56"/>
      <c r="R56"/>
      <c r="S56"/>
      <c r="T56"/>
      <c r="U56"/>
      <c r="V56"/>
      <c r="X56"/>
      <c r="Y56"/>
      <c r="Z56"/>
      <c r="AA56"/>
      <c r="AB56"/>
      <c r="AC56"/>
      <c r="AD56"/>
      <c r="AE56"/>
      <c r="AF56"/>
    </row>
    <row r="57" spans="1:39" ht="17" thickBot="1" x14ac:dyDescent="0.25">
      <c r="F57" s="33"/>
      <c r="G57" s="30"/>
      <c r="H57"/>
      <c r="I57" s="7"/>
      <c r="J57" s="190" t="str">
        <f>AP10</f>
        <v>Bug</v>
      </c>
      <c r="K57" s="193">
        <v>31</v>
      </c>
      <c r="L57" s="185">
        <f>K57/$K$58</f>
        <v>0.12916666666666668</v>
      </c>
      <c r="M57"/>
      <c r="Q57"/>
      <c r="R57"/>
      <c r="S57"/>
      <c r="T57"/>
      <c r="U57"/>
      <c r="V57"/>
      <c r="X57"/>
      <c r="Y57"/>
      <c r="Z57"/>
      <c r="AA57"/>
      <c r="AB57"/>
      <c r="AC57"/>
      <c r="AD57"/>
      <c r="AE57"/>
      <c r="AF57"/>
    </row>
    <row r="58" spans="1:39" x14ac:dyDescent="0.2">
      <c r="F58" s="33"/>
      <c r="G58" s="30"/>
      <c r="H58"/>
      <c r="I58" s="7"/>
      <c r="J58"/>
      <c r="K58">
        <f>SUM(_xlfn.ANCHORARRAY(K53))</f>
        <v>240</v>
      </c>
      <c r="L58"/>
      <c r="M58"/>
      <c r="Q58"/>
      <c r="R58"/>
      <c r="S58"/>
      <c r="T58"/>
      <c r="U58"/>
      <c r="V58"/>
      <c r="X58"/>
      <c r="Y58"/>
      <c r="Z58"/>
      <c r="AA58"/>
      <c r="AB58"/>
      <c r="AC58"/>
      <c r="AD58"/>
      <c r="AE58"/>
      <c r="AF58"/>
    </row>
    <row r="59" spans="1:39" x14ac:dyDescent="0.2">
      <c r="F59" s="33"/>
      <c r="G59" s="30"/>
      <c r="H59"/>
      <c r="I59" s="7"/>
      <c r="M59"/>
      <c r="Q59"/>
      <c r="R59"/>
      <c r="S59"/>
      <c r="T59"/>
      <c r="U59"/>
      <c r="V59"/>
      <c r="X59"/>
      <c r="Y59"/>
      <c r="Z59"/>
      <c r="AA59"/>
      <c r="AB59"/>
      <c r="AC59"/>
      <c r="AD59"/>
      <c r="AE59"/>
      <c r="AF59"/>
    </row>
    <row r="60" spans="1:39" x14ac:dyDescent="0.2">
      <c r="F60" s="33"/>
      <c r="G60" s="30"/>
      <c r="H60"/>
      <c r="I60" s="7"/>
      <c r="M60"/>
      <c r="Q60"/>
      <c r="R60"/>
      <c r="S60"/>
      <c r="T60"/>
      <c r="U60"/>
      <c r="V60"/>
      <c r="X60"/>
      <c r="Y60"/>
      <c r="Z60"/>
      <c r="AA60"/>
      <c r="AB60"/>
      <c r="AC60"/>
      <c r="AD60"/>
      <c r="AE60"/>
      <c r="AF60"/>
    </row>
    <row r="61" spans="1:39" x14ac:dyDescent="0.2">
      <c r="F61" s="33"/>
      <c r="G61" s="34"/>
      <c r="H61"/>
      <c r="I61" s="7"/>
      <c r="M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9" x14ac:dyDescent="0.2">
      <c r="F62" s="33"/>
      <c r="G62" s="34"/>
      <c r="H62"/>
      <c r="I62" s="7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9" x14ac:dyDescent="0.2">
      <c r="G63"/>
      <c r="H63"/>
      <c r="I63" s="7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9" x14ac:dyDescent="0.2">
      <c r="H64"/>
      <c r="I64" s="7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2:40" x14ac:dyDescent="0.2">
      <c r="F65"/>
      <c r="H65"/>
      <c r="I65" s="7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2:40" x14ac:dyDescent="0.2">
      <c r="F66"/>
      <c r="H66"/>
      <c r="I66" s="7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2:40" s="1" customFormat="1" x14ac:dyDescent="0.2">
      <c r="B67"/>
      <c r="C67"/>
      <c r="D67"/>
      <c r="F67"/>
      <c r="G67" s="7"/>
      <c r="H67"/>
      <c r="I67" s="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2:40" s="1" customFormat="1" x14ac:dyDescent="0.2">
      <c r="B68"/>
      <c r="C68"/>
      <c r="D68"/>
      <c r="F68" s="7"/>
      <c r="G68" s="7"/>
      <c r="H68"/>
      <c r="I68" s="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2:40" s="1" customFormat="1" x14ac:dyDescent="0.2">
      <c r="B69"/>
      <c r="C69"/>
      <c r="D69"/>
      <c r="F69" s="7"/>
      <c r="G69" s="7"/>
      <c r="H69"/>
      <c r="I69" s="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2:40" s="1" customFormat="1" x14ac:dyDescent="0.2">
      <c r="B70"/>
      <c r="C70"/>
      <c r="D70"/>
      <c r="F70" s="7"/>
      <c r="G70" s="7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40" s="1" customFormat="1" x14ac:dyDescent="0.2">
      <c r="B71"/>
      <c r="C71"/>
      <c r="D71"/>
      <c r="F71" s="7"/>
      <c r="G71" s="7"/>
      <c r="K71" s="1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40" s="1" customFormat="1" x14ac:dyDescent="0.2">
      <c r="B72"/>
      <c r="C72"/>
      <c r="D72"/>
      <c r="F72" s="7"/>
      <c r="G72" s="7"/>
      <c r="K72" s="19"/>
      <c r="N72" s="19"/>
      <c r="Q72"/>
      <c r="AA72"/>
      <c r="AG72"/>
      <c r="AH72"/>
      <c r="AI72"/>
      <c r="AJ72"/>
      <c r="AK72"/>
      <c r="AL72"/>
      <c r="AM72"/>
    </row>
    <row r="73" spans="2:40" s="1" customFormat="1" x14ac:dyDescent="0.2">
      <c r="B73"/>
      <c r="C73"/>
      <c r="D73"/>
      <c r="F73" s="7"/>
      <c r="G73" s="7"/>
      <c r="N73" s="19"/>
      <c r="Q73"/>
      <c r="AG73"/>
      <c r="AH73"/>
      <c r="AI73"/>
      <c r="AJ73"/>
      <c r="AK73"/>
      <c r="AL73"/>
      <c r="AM73"/>
    </row>
    <row r="74" spans="2:40" s="1" customFormat="1" x14ac:dyDescent="0.2">
      <c r="B74"/>
      <c r="C74"/>
      <c r="D74"/>
      <c r="F74" s="7"/>
      <c r="G74" s="7"/>
      <c r="K74" s="19"/>
      <c r="AG74"/>
      <c r="AH74"/>
      <c r="AI74"/>
      <c r="AJ74"/>
      <c r="AK74"/>
      <c r="AL74"/>
      <c r="AM74"/>
    </row>
    <row r="75" spans="2:40" s="1" customFormat="1" x14ac:dyDescent="0.2">
      <c r="B75"/>
      <c r="C75"/>
      <c r="D75"/>
      <c r="F75" s="7"/>
      <c r="G75" s="7"/>
      <c r="AG75"/>
      <c r="AH75"/>
      <c r="AI75"/>
      <c r="AJ75"/>
      <c r="AK75"/>
      <c r="AL75"/>
      <c r="AM75"/>
    </row>
    <row r="76" spans="2:40" s="1" customFormat="1" x14ac:dyDescent="0.2">
      <c r="B76"/>
      <c r="C76"/>
      <c r="D76"/>
      <c r="F76" s="7"/>
      <c r="G76" s="7"/>
      <c r="AG76"/>
      <c r="AH76"/>
      <c r="AI76"/>
      <c r="AJ76"/>
      <c r="AK76"/>
      <c r="AL76"/>
      <c r="AM76"/>
    </row>
    <row r="77" spans="2:40" x14ac:dyDescent="0.2">
      <c r="AN77" s="1"/>
    </row>
    <row r="85" spans="36:39" x14ac:dyDescent="0.2">
      <c r="AJ85" s="1"/>
      <c r="AK85" s="1"/>
      <c r="AL85" s="1"/>
      <c r="AM85" s="1"/>
    </row>
    <row r="86" spans="36:39" x14ac:dyDescent="0.2">
      <c r="AJ86" s="1"/>
      <c r="AK86" s="1"/>
      <c r="AL86" s="1"/>
      <c r="AM86" s="1"/>
    </row>
    <row r="87" spans="36:39" x14ac:dyDescent="0.2">
      <c r="AJ87" s="1"/>
      <c r="AK87" s="1"/>
      <c r="AL87" s="1"/>
      <c r="AM87" s="1"/>
    </row>
    <row r="88" spans="36:39" x14ac:dyDescent="0.2">
      <c r="AJ88" s="1"/>
      <c r="AK88" s="1"/>
      <c r="AL88" s="1"/>
      <c r="AM88" s="1"/>
    </row>
    <row r="89" spans="36:39" x14ac:dyDescent="0.2">
      <c r="AJ89" s="1"/>
      <c r="AK89" s="1"/>
      <c r="AL89" s="1"/>
      <c r="AM89" s="1"/>
    </row>
    <row r="90" spans="36:39" x14ac:dyDescent="0.2">
      <c r="AJ90" s="1"/>
      <c r="AK90" s="1"/>
      <c r="AL90" s="1"/>
      <c r="AM90" s="1"/>
    </row>
    <row r="91" spans="36:39" x14ac:dyDescent="0.2">
      <c r="AJ91" s="1"/>
      <c r="AK91" s="1"/>
      <c r="AL91" s="1"/>
      <c r="AM91" s="1"/>
    </row>
    <row r="92" spans="36:39" x14ac:dyDescent="0.2">
      <c r="AJ92" s="1"/>
      <c r="AK92" s="1"/>
      <c r="AL92" s="1"/>
      <c r="AM92" s="1"/>
    </row>
    <row r="93" spans="36:39" x14ac:dyDescent="0.2">
      <c r="AJ93" s="1"/>
      <c r="AK93" s="1"/>
      <c r="AL93" s="1"/>
      <c r="AM93" s="1"/>
    </row>
    <row r="94" spans="36:39" x14ac:dyDescent="0.2">
      <c r="AJ94" s="1"/>
      <c r="AK94" s="1"/>
      <c r="AL94" s="1"/>
      <c r="AM94" s="1"/>
    </row>
  </sheetData>
  <mergeCells count="88">
    <mergeCell ref="AP4:AP5"/>
    <mergeCell ref="AI42:AM42"/>
    <mergeCell ref="AC4:AC5"/>
    <mergeCell ref="U3:X5"/>
    <mergeCell ref="Y3:Y5"/>
    <mergeCell ref="Z3:Z5"/>
    <mergeCell ref="AJ4:AJ5"/>
    <mergeCell ref="AK4:AK5"/>
    <mergeCell ref="AG4:AG5"/>
    <mergeCell ref="AH4:AH5"/>
    <mergeCell ref="AA4:AA5"/>
    <mergeCell ref="Y29:AC29"/>
    <mergeCell ref="AI4:AI5"/>
    <mergeCell ref="AD4:AD5"/>
    <mergeCell ref="AL4:AL5"/>
    <mergeCell ref="J28:AM28"/>
    <mergeCell ref="AA3:AG3"/>
    <mergeCell ref="AH3:AN3"/>
    <mergeCell ref="AM4:AM5"/>
    <mergeCell ref="B2:E2"/>
    <mergeCell ref="D3:E3"/>
    <mergeCell ref="H3:R3"/>
    <mergeCell ref="S3:S5"/>
    <mergeCell ref="T3:T5"/>
    <mergeCell ref="I4:I5"/>
    <mergeCell ref="J4:R5"/>
    <mergeCell ref="D4:E4"/>
    <mergeCell ref="H4:H5"/>
    <mergeCell ref="AN4:AN5"/>
    <mergeCell ref="H2:AN2"/>
    <mergeCell ref="D9:E9"/>
    <mergeCell ref="U9:X9"/>
    <mergeCell ref="D10:E10"/>
    <mergeCell ref="U10:X10"/>
    <mergeCell ref="AF4:AF5"/>
    <mergeCell ref="AE4:AE5"/>
    <mergeCell ref="AB4:AB5"/>
    <mergeCell ref="D6:E6"/>
    <mergeCell ref="D7:E7"/>
    <mergeCell ref="D8:E8"/>
    <mergeCell ref="D5:E5"/>
    <mergeCell ref="U21:X21"/>
    <mergeCell ref="B16:D16"/>
    <mergeCell ref="U25:X25"/>
    <mergeCell ref="D11:E11"/>
    <mergeCell ref="U13:X13"/>
    <mergeCell ref="U20:X20"/>
    <mergeCell ref="B13:E13"/>
    <mergeCell ref="U22:X22"/>
    <mergeCell ref="B14:D14"/>
    <mergeCell ref="B15:D15"/>
    <mergeCell ref="B17:D17"/>
    <mergeCell ref="B19:E19"/>
    <mergeCell ref="B20:C20"/>
    <mergeCell ref="AD29:AH29"/>
    <mergeCell ref="U24:X24"/>
    <mergeCell ref="AI29:AM29"/>
    <mergeCell ref="J29:N29"/>
    <mergeCell ref="O29:S29"/>
    <mergeCell ref="T29:X29"/>
    <mergeCell ref="H37:I37"/>
    <mergeCell ref="B21:C21"/>
    <mergeCell ref="H30:I30"/>
    <mergeCell ref="B22:D22"/>
    <mergeCell ref="H31:I31"/>
    <mergeCell ref="B23:D23"/>
    <mergeCell ref="H32:I32"/>
    <mergeCell ref="H33:I33"/>
    <mergeCell ref="B25:E25"/>
    <mergeCell ref="H34:I34"/>
    <mergeCell ref="H35:I35"/>
    <mergeCell ref="H36:I36"/>
    <mergeCell ref="H49:I49"/>
    <mergeCell ref="H50:I50"/>
    <mergeCell ref="H51:I51"/>
    <mergeCell ref="H43:I43"/>
    <mergeCell ref="H44:I44"/>
    <mergeCell ref="H45:I45"/>
    <mergeCell ref="H46:I46"/>
    <mergeCell ref="H47:I47"/>
    <mergeCell ref="H48:I48"/>
    <mergeCell ref="H38:I38"/>
    <mergeCell ref="J41:AM41"/>
    <mergeCell ref="J42:N42"/>
    <mergeCell ref="O42:S42"/>
    <mergeCell ref="T42:X42"/>
    <mergeCell ref="Y42:AC42"/>
    <mergeCell ref="AD42:AH42"/>
  </mergeCells>
  <conditionalFormatting sqref="AF6:AF25">
    <cfRule type="expression" dxfId="113" priority="5">
      <formula>$AF6&gt;1</formula>
    </cfRule>
    <cfRule type="expression" dxfId="112" priority="6">
      <formula>$AF6=1</formula>
    </cfRule>
    <cfRule type="expression" dxfId="111" priority="7">
      <formula>$AF6&lt;1</formula>
    </cfRule>
  </conditionalFormatting>
  <conditionalFormatting sqref="AG6:AG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110" priority="2">
      <formula>$AM6&lt;1</formula>
    </cfRule>
    <cfRule type="expression" dxfId="109" priority="3">
      <formula>$AM6=1</formula>
    </cfRule>
    <cfRule type="expression" dxfId="108" priority="4">
      <formula>$AM6&gt;1</formula>
    </cfRule>
  </conditionalFormatting>
  <conditionalFormatting sqref="AM26:AN26">
    <cfRule type="colorScale" priority="1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9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107" priority="10">
      <formula>$AD6&gt;=$Z6</formula>
    </cfRule>
    <cfRule type="expression" dxfId="106" priority="11">
      <formula>$AD6&lt;$Z6</formula>
    </cfRule>
  </conditionalFormatting>
  <hyperlinks>
    <hyperlink ref="I11" r:id="rId1" xr:uid="{88BC2AFD-6BC9-7E42-B1A3-57BC41354B84}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10201-6B77-8849-BAE0-C85E1C843F88}">
  <sheetPr codeName="Sheet6"/>
  <dimension ref="A1:AR94"/>
  <sheetViews>
    <sheetView showGridLines="0" topLeftCell="J1" zoomScale="120" zoomScaleNormal="120" workbookViewId="0">
      <selection activeCell="AK6" sqref="AK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10.6640625" style="1" customWidth="1"/>
    <col min="9" max="9" width="11.6640625" style="1" customWidth="1"/>
    <col min="10" max="32" width="10.6640625" style="1" customWidth="1"/>
    <col min="33" max="39" width="10.6640625" customWidth="1"/>
  </cols>
  <sheetData>
    <row r="1" spans="1:42" ht="17" thickBot="1" x14ac:dyDescent="0.25"/>
    <row r="2" spans="1:42" ht="17" thickBot="1" x14ac:dyDescent="0.25">
      <c r="B2" s="644" t="s">
        <v>97</v>
      </c>
      <c r="C2" s="644"/>
      <c r="D2" s="644"/>
      <c r="E2" s="644"/>
      <c r="F2" s="29"/>
      <c r="G2" s="30"/>
      <c r="H2" s="622" t="s">
        <v>98</v>
      </c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</row>
    <row r="3" spans="1:4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133</v>
      </c>
      <c r="T3" s="650" t="s">
        <v>99</v>
      </c>
      <c r="U3" s="651" t="s">
        <v>6</v>
      </c>
      <c r="V3" s="652"/>
      <c r="W3" s="652"/>
      <c r="X3" s="653"/>
      <c r="Y3" s="653" t="s">
        <v>7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2" ht="16" customHeight="1" x14ac:dyDescent="0.2">
      <c r="B4" s="102" t="s">
        <v>13</v>
      </c>
      <c r="C4" s="4" t="s">
        <v>57</v>
      </c>
      <c r="D4" s="598" t="s">
        <v>15</v>
      </c>
      <c r="E4" s="624"/>
      <c r="F4" s="148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  <c r="AP4" s="698" t="s">
        <v>140</v>
      </c>
    </row>
    <row r="5" spans="1:42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  <c r="AP5" s="629"/>
    </row>
    <row r="6" spans="1:42" x14ac:dyDescent="0.2">
      <c r="B6" s="102" t="s">
        <v>19</v>
      </c>
      <c r="C6" s="4" t="s">
        <v>14</v>
      </c>
      <c r="D6" s="598" t="s">
        <v>71</v>
      </c>
      <c r="E6" s="624"/>
      <c r="F6" s="29"/>
      <c r="G6" s="30"/>
      <c r="H6" s="209" t="s">
        <v>178</v>
      </c>
      <c r="I6" s="109" t="s">
        <v>179</v>
      </c>
      <c r="J6" s="276" t="s">
        <v>180</v>
      </c>
      <c r="K6" s="277"/>
      <c r="L6" s="277"/>
      <c r="M6" s="277"/>
      <c r="N6" s="277"/>
      <c r="O6" s="277"/>
      <c r="P6" s="277"/>
      <c r="Q6" s="277"/>
      <c r="R6" s="278"/>
      <c r="S6" s="108" t="s">
        <v>149</v>
      </c>
      <c r="T6" s="52">
        <v>8</v>
      </c>
      <c r="U6" s="276" t="s">
        <v>144</v>
      </c>
      <c r="V6" s="277"/>
      <c r="W6" s="277"/>
      <c r="X6" s="549"/>
      <c r="Y6" s="115"/>
      <c r="Z6" s="169">
        <f t="shared" ref="Z6:Z7" si="0">IF(OR($E$37=0,T6=0),0,IF($E$37=0,0,ROUNDUP(T6*8/$E$37,0)))</f>
        <v>15</v>
      </c>
      <c r="AA6" s="569" cm="1">
        <f t="array" ref="AA6">CountUniquePeopleByTask($H6,$J$44:$AM$51,$H$44:$I$51)</f>
        <v>1</v>
      </c>
      <c r="AB6" s="84">
        <f t="shared" ref="AB6:AB25" si="1">COUNTIF($J$45:$AM$51,H6)</f>
        <v>0</v>
      </c>
      <c r="AC6" s="38">
        <f t="shared" ref="AC6:AC25" si="2">COUNTIF($J$44:$AM$44,H6)</f>
        <v>13</v>
      </c>
      <c r="AD6" s="38">
        <f t="shared" ref="AD6:AD21" si="3">AB6+AC6</f>
        <v>13</v>
      </c>
      <c r="AE6" s="87">
        <f t="shared" ref="AE6:AE24" si="4">AB6*$C$37+AC6*$D$37</f>
        <v>46.494117647058829</v>
      </c>
      <c r="AF6" s="110">
        <f t="shared" ref="AF6:AF25" si="5">IF(Z6=0,0,AD6/Z6)</f>
        <v>0.8666666666666667</v>
      </c>
      <c r="AG6" s="110">
        <f t="shared" ref="AG6:AG25" si="6">IF($AD$26=0,0,AD6/$AD$26)</f>
        <v>5.4166666666666669E-2</v>
      </c>
      <c r="AH6" s="578" cm="1">
        <f t="array" ref="AH6">CountUniquePeopleByTask($H6,$J$31:$AM$38,$H$31:$I$38)</f>
        <v>1</v>
      </c>
      <c r="AI6" s="84">
        <f t="shared" ref="AI6:AI25" si="7">COUNTIF($J$32:$AM$38,$H6)</f>
        <v>0</v>
      </c>
      <c r="AJ6" s="38">
        <f t="shared" ref="AJ6:AJ25" si="8">COUNTIF($J$31:$AM$31,$H6)</f>
        <v>11</v>
      </c>
      <c r="AK6" s="38">
        <f t="shared" ref="AK6:AK21" si="9">AI6+AJ6</f>
        <v>11</v>
      </c>
      <c r="AL6" s="87">
        <f t="shared" ref="AL6:AL24" si="10">AI6*$C$37+AJ6*$D$37</f>
        <v>39.341176470588245</v>
      </c>
      <c r="AM6" s="110">
        <f t="shared" ref="AM6:AM25" si="11">IF(AE6=0,0,AL6/AE6)</f>
        <v>0.84615384615384626</v>
      </c>
      <c r="AN6" s="81">
        <f t="shared" ref="AN6:AN25" si="12">IF(AD6=0,"Unplanned",((ABS(AK6-AD6)/AD6)))</f>
        <v>0.15384615384615385</v>
      </c>
      <c r="AP6" s="180" t="s">
        <v>26</v>
      </c>
    </row>
    <row r="7" spans="1:42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211" t="s">
        <v>181</v>
      </c>
      <c r="I7" s="11" t="s">
        <v>182</v>
      </c>
      <c r="J7" s="543" t="s">
        <v>183</v>
      </c>
      <c r="K7" s="400"/>
      <c r="L7" s="400"/>
      <c r="M7" s="400"/>
      <c r="N7" s="400"/>
      <c r="O7" s="400"/>
      <c r="P7" s="400"/>
      <c r="Q7" s="400"/>
      <c r="R7" s="544"/>
      <c r="S7" s="25" t="s">
        <v>149</v>
      </c>
      <c r="T7" s="52">
        <v>12</v>
      </c>
      <c r="U7" s="55" t="s">
        <v>144</v>
      </c>
      <c r="V7" s="56"/>
      <c r="W7" s="56"/>
      <c r="X7" s="116"/>
      <c r="Y7" s="113"/>
      <c r="Z7" s="170">
        <f t="shared" si="0"/>
        <v>23</v>
      </c>
      <c r="AA7" s="567" cm="1">
        <f t="array" ref="AA7">CountUniquePeopleByTask($H7,$J$44:$AM$51,$H$44:$I$51)</f>
        <v>2</v>
      </c>
      <c r="AB7" s="84">
        <f t="shared" si="1"/>
        <v>10</v>
      </c>
      <c r="AC7" s="38">
        <f t="shared" si="2"/>
        <v>13</v>
      </c>
      <c r="AD7" s="38">
        <f t="shared" si="3"/>
        <v>23</v>
      </c>
      <c r="AE7" s="87">
        <f t="shared" si="4"/>
        <v>96.141176470588249</v>
      </c>
      <c r="AF7" s="110">
        <f t="shared" si="5"/>
        <v>1</v>
      </c>
      <c r="AG7" s="79">
        <f t="shared" si="6"/>
        <v>9.583333333333334E-2</v>
      </c>
      <c r="AH7" s="579" cm="1">
        <f t="array" ref="AH7">CountUniquePeopleByTask($H7,$J$31:$AM$38,$H$31:$I$38)</f>
        <v>2</v>
      </c>
      <c r="AI7" s="84">
        <f t="shared" si="7"/>
        <v>10</v>
      </c>
      <c r="AJ7" s="38">
        <f t="shared" si="8"/>
        <v>14</v>
      </c>
      <c r="AK7" s="38">
        <f t="shared" si="9"/>
        <v>24</v>
      </c>
      <c r="AL7" s="87">
        <f t="shared" si="10"/>
        <v>99.717647058823545</v>
      </c>
      <c r="AM7" s="110">
        <f t="shared" si="11"/>
        <v>1.0372001957905042</v>
      </c>
      <c r="AN7" s="81">
        <f t="shared" si="12"/>
        <v>4.3478260869565216E-2</v>
      </c>
      <c r="AP7" s="181" t="s">
        <v>149</v>
      </c>
    </row>
    <row r="8" spans="1:42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104" t="s">
        <v>160</v>
      </c>
      <c r="I8" s="11" t="s">
        <v>184</v>
      </c>
      <c r="J8" s="23" t="s">
        <v>185</v>
      </c>
      <c r="K8" s="24"/>
      <c r="L8" s="24"/>
      <c r="M8" s="24"/>
      <c r="N8" s="24"/>
      <c r="O8" s="24"/>
      <c r="P8" s="24"/>
      <c r="Q8" s="24"/>
      <c r="R8" s="25"/>
      <c r="S8" s="25" t="s">
        <v>26</v>
      </c>
      <c r="T8" s="52">
        <v>7</v>
      </c>
      <c r="U8" s="55"/>
      <c r="V8" s="56"/>
      <c r="W8" s="56"/>
      <c r="X8" s="116"/>
      <c r="Y8" s="113"/>
      <c r="Z8" s="170">
        <v>3</v>
      </c>
      <c r="AA8" s="567" cm="1">
        <f t="array" ref="AA8">CountUniquePeopleByTask($H8,$J$44:$AM$51,$H$44:$I$51)</f>
        <v>1</v>
      </c>
      <c r="AB8" s="84">
        <f t="shared" si="1"/>
        <v>13</v>
      </c>
      <c r="AC8" s="38">
        <f t="shared" si="2"/>
        <v>0</v>
      </c>
      <c r="AD8" s="38">
        <f t="shared" si="3"/>
        <v>13</v>
      </c>
      <c r="AE8" s="87">
        <f t="shared" si="4"/>
        <v>64.541176470588255</v>
      </c>
      <c r="AF8" s="110">
        <f t="shared" si="5"/>
        <v>4.333333333333333</v>
      </c>
      <c r="AG8" s="81">
        <f t="shared" si="6"/>
        <v>5.4166666666666669E-2</v>
      </c>
      <c r="AH8" s="579" cm="1">
        <f t="array" ref="AH8">CountUniquePeopleByTask($H8,$J$31:$AM$38,$H$31:$I$38)</f>
        <v>1</v>
      </c>
      <c r="AI8" s="84">
        <f t="shared" si="7"/>
        <v>7</v>
      </c>
      <c r="AJ8" s="38">
        <f t="shared" si="8"/>
        <v>0</v>
      </c>
      <c r="AK8" s="38">
        <f t="shared" si="9"/>
        <v>7</v>
      </c>
      <c r="AL8" s="87">
        <f t="shared" si="10"/>
        <v>34.752941176470593</v>
      </c>
      <c r="AM8" s="110">
        <f t="shared" si="11"/>
        <v>0.53846153846153832</v>
      </c>
      <c r="AN8" s="81">
        <f t="shared" si="12"/>
        <v>0.46153846153846156</v>
      </c>
      <c r="AP8" s="181" t="s">
        <v>152</v>
      </c>
    </row>
    <row r="9" spans="1:42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213" t="s">
        <v>186</v>
      </c>
      <c r="I9" s="11" t="s">
        <v>187</v>
      </c>
      <c r="J9" s="23" t="s">
        <v>188</v>
      </c>
      <c r="K9" s="24"/>
      <c r="L9" s="24"/>
      <c r="M9" s="24"/>
      <c r="N9" s="24"/>
      <c r="O9" s="24"/>
      <c r="P9" s="24"/>
      <c r="Q9" s="24"/>
      <c r="R9" s="25"/>
      <c r="S9" s="25" t="s">
        <v>149</v>
      </c>
      <c r="T9" s="52">
        <v>16</v>
      </c>
      <c r="U9" s="690" t="s">
        <v>144</v>
      </c>
      <c r="V9" s="691"/>
      <c r="W9" s="691"/>
      <c r="X9" s="692"/>
      <c r="Y9" s="113"/>
      <c r="Z9" s="170">
        <f t="shared" ref="Z9:Z22" si="13">IF(OR($E$37=0,T9=0),0,IF($E$37=0,0,ROUNDUP(T9*8/$E$37,0)))</f>
        <v>30</v>
      </c>
      <c r="AA9" s="567" cm="1">
        <f t="array" ref="AA9">CountUniquePeopleByTask($H9,$J$44:$AM$51,$H$44:$I$51)</f>
        <v>2</v>
      </c>
      <c r="AB9" s="84">
        <f t="shared" si="1"/>
        <v>25</v>
      </c>
      <c r="AC9" s="38">
        <f t="shared" si="2"/>
        <v>0</v>
      </c>
      <c r="AD9" s="38">
        <f t="shared" si="3"/>
        <v>25</v>
      </c>
      <c r="AE9" s="87">
        <f t="shared" si="4"/>
        <v>124.11764705882355</v>
      </c>
      <c r="AF9" s="110">
        <f t="shared" si="5"/>
        <v>0.83333333333333337</v>
      </c>
      <c r="AG9" s="81">
        <f t="shared" si="6"/>
        <v>0.10416666666666667</v>
      </c>
      <c r="AH9" s="579" cm="1">
        <f t="array" ref="AH9">CountUniquePeopleByTask($H9,$J$31:$AM$38,$H$31:$I$38)</f>
        <v>1</v>
      </c>
      <c r="AI9" s="84">
        <f t="shared" si="7"/>
        <v>24</v>
      </c>
      <c r="AJ9" s="38">
        <f t="shared" si="8"/>
        <v>0</v>
      </c>
      <c r="AK9" s="38">
        <f t="shared" si="9"/>
        <v>24</v>
      </c>
      <c r="AL9" s="87">
        <f t="shared" si="10"/>
        <v>119.15294117647062</v>
      </c>
      <c r="AM9" s="110">
        <f t="shared" si="11"/>
        <v>0.96000000000000008</v>
      </c>
      <c r="AN9" s="81">
        <f t="shared" si="12"/>
        <v>0.04</v>
      </c>
      <c r="AP9" s="194" t="s">
        <v>29</v>
      </c>
    </row>
    <row r="10" spans="1:42" ht="17" thickBot="1" x14ac:dyDescent="0.25">
      <c r="A10" s="147"/>
      <c r="B10" s="146" t="s">
        <v>19</v>
      </c>
      <c r="C10" s="4" t="s">
        <v>14</v>
      </c>
      <c r="D10" s="598" t="s">
        <v>156</v>
      </c>
      <c r="E10" s="624"/>
      <c r="F10" s="29"/>
      <c r="G10" s="30"/>
      <c r="H10" s="211" t="s">
        <v>189</v>
      </c>
      <c r="I10" s="11" t="s">
        <v>190</v>
      </c>
      <c r="J10" s="23" t="s">
        <v>191</v>
      </c>
      <c r="K10" s="24"/>
      <c r="L10" s="24"/>
      <c r="M10" s="24"/>
      <c r="N10" s="24"/>
      <c r="O10" s="24"/>
      <c r="P10" s="24"/>
      <c r="Q10" s="24"/>
      <c r="R10" s="25"/>
      <c r="S10" s="25" t="s">
        <v>149</v>
      </c>
      <c r="T10" s="52">
        <v>5</v>
      </c>
      <c r="U10" s="690"/>
      <c r="V10" s="691"/>
      <c r="W10" s="691"/>
      <c r="X10" s="692"/>
      <c r="Y10" s="113"/>
      <c r="Z10" s="170">
        <f t="shared" si="13"/>
        <v>10</v>
      </c>
      <c r="AA10" s="567" cm="1">
        <f t="array" ref="AA10">CountUniquePeopleByTask($H10,$J$44:$AM$51,$H$44:$I$51)</f>
        <v>1</v>
      </c>
      <c r="AB10" s="49">
        <f t="shared" si="1"/>
        <v>5</v>
      </c>
      <c r="AC10" s="16">
        <f t="shared" si="2"/>
        <v>0</v>
      </c>
      <c r="AD10" s="16">
        <f t="shared" si="3"/>
        <v>5</v>
      </c>
      <c r="AE10" s="88">
        <f t="shared" si="4"/>
        <v>24.82352941176471</v>
      </c>
      <c r="AF10" s="110">
        <f t="shared" si="5"/>
        <v>0.5</v>
      </c>
      <c r="AG10" s="79">
        <f t="shared" si="6"/>
        <v>2.0833333333333332E-2</v>
      </c>
      <c r="AH10" s="579" cm="1">
        <f t="array" ref="AH10">CountUniquePeopleByTask($H10,$J$31:$AM$38,$H$31:$I$38)</f>
        <v>0</v>
      </c>
      <c r="AI10" s="49">
        <f t="shared" si="7"/>
        <v>0</v>
      </c>
      <c r="AJ10" s="16">
        <f t="shared" si="8"/>
        <v>0</v>
      </c>
      <c r="AK10" s="16">
        <f t="shared" si="9"/>
        <v>0</v>
      </c>
      <c r="AL10" s="88">
        <f t="shared" si="10"/>
        <v>0</v>
      </c>
      <c r="AM10" s="110">
        <f t="shared" si="11"/>
        <v>0</v>
      </c>
      <c r="AN10" s="81">
        <f t="shared" si="12"/>
        <v>1</v>
      </c>
      <c r="AP10" s="182" t="s">
        <v>23</v>
      </c>
    </row>
    <row r="11" spans="1:42" ht="17" thickBot="1" x14ac:dyDescent="0.25">
      <c r="B11" s="144" t="s">
        <v>19</v>
      </c>
      <c r="C11" s="145" t="s">
        <v>14</v>
      </c>
      <c r="D11" s="665" t="s">
        <v>115</v>
      </c>
      <c r="E11" s="666"/>
      <c r="F11" s="29"/>
      <c r="G11" s="30"/>
      <c r="H11" s="219" t="s">
        <v>192</v>
      </c>
      <c r="I11" s="11" t="s">
        <v>193</v>
      </c>
      <c r="J11" s="23" t="s">
        <v>194</v>
      </c>
      <c r="K11" s="24"/>
      <c r="L11" s="24"/>
      <c r="M11" s="24"/>
      <c r="N11" s="24"/>
      <c r="O11" s="24"/>
      <c r="P11" s="24"/>
      <c r="Q11" s="24"/>
      <c r="R11" s="25"/>
      <c r="S11" s="25" t="s">
        <v>149</v>
      </c>
      <c r="T11" s="52">
        <v>0</v>
      </c>
      <c r="U11" s="55"/>
      <c r="V11" s="56"/>
      <c r="W11" s="56"/>
      <c r="X11" s="116"/>
      <c r="Y11" s="113"/>
      <c r="Z11" s="170">
        <f t="shared" si="13"/>
        <v>0</v>
      </c>
      <c r="AA11" s="567" cm="1">
        <f t="array" ref="AA11">CountUniquePeopleByTask($H11,$J$44:$AM$51,$H$44:$I$51)</f>
        <v>1</v>
      </c>
      <c r="AB11" s="84">
        <f t="shared" si="1"/>
        <v>21</v>
      </c>
      <c r="AC11" s="38">
        <f t="shared" si="2"/>
        <v>0</v>
      </c>
      <c r="AD11" s="38">
        <f t="shared" si="3"/>
        <v>21</v>
      </c>
      <c r="AE11" s="87">
        <f t="shared" si="4"/>
        <v>104.25882352941179</v>
      </c>
      <c r="AF11" s="110">
        <f t="shared" si="5"/>
        <v>0</v>
      </c>
      <c r="AG11" s="81">
        <f t="shared" si="6"/>
        <v>8.7499999999999994E-2</v>
      </c>
      <c r="AH11" s="579" cm="1">
        <f t="array" ref="AH11">CountUniquePeopleByTask($H11,$J$31:$AM$38,$H$31:$I$38)</f>
        <v>1</v>
      </c>
      <c r="AI11" s="84">
        <f t="shared" si="7"/>
        <v>21</v>
      </c>
      <c r="AJ11" s="38">
        <f t="shared" si="8"/>
        <v>0</v>
      </c>
      <c r="AK11" s="38">
        <f t="shared" si="9"/>
        <v>21</v>
      </c>
      <c r="AL11" s="87">
        <f t="shared" si="10"/>
        <v>104.25882352941179</v>
      </c>
      <c r="AM11" s="110">
        <f t="shared" si="11"/>
        <v>1</v>
      </c>
      <c r="AN11" s="81">
        <f t="shared" si="12"/>
        <v>0</v>
      </c>
    </row>
    <row r="12" spans="1:42" ht="17" thickBot="1" x14ac:dyDescent="0.25">
      <c r="B12" s="7"/>
      <c r="C12" s="7"/>
      <c r="D12" s="1"/>
      <c r="F12" s="29"/>
      <c r="G12" s="30"/>
      <c r="H12" s="221" t="s">
        <v>195</v>
      </c>
      <c r="I12" s="11" t="s">
        <v>196</v>
      </c>
      <c r="J12" s="408" t="s">
        <v>197</v>
      </c>
      <c r="K12" s="400"/>
      <c r="L12" s="400"/>
      <c r="M12" s="400"/>
      <c r="N12" s="400"/>
      <c r="O12" s="400"/>
      <c r="P12" s="400"/>
      <c r="Q12" s="400"/>
      <c r="R12" s="544"/>
      <c r="S12" s="25" t="s">
        <v>149</v>
      </c>
      <c r="T12" s="52">
        <v>14</v>
      </c>
      <c r="U12" s="55"/>
      <c r="V12" s="56"/>
      <c r="W12" s="56"/>
      <c r="X12" s="116"/>
      <c r="Y12" s="113"/>
      <c r="Z12" s="170">
        <f t="shared" si="13"/>
        <v>26</v>
      </c>
      <c r="AA12" s="567" cm="1">
        <f t="array" ref="AA12">CountUniquePeopleByTask($H12,$J$44:$AM$51,$H$44:$I$51)</f>
        <v>1</v>
      </c>
      <c r="AB12" s="49">
        <f t="shared" si="1"/>
        <v>24</v>
      </c>
      <c r="AC12" s="16">
        <f t="shared" si="2"/>
        <v>0</v>
      </c>
      <c r="AD12" s="16">
        <f t="shared" si="3"/>
        <v>24</v>
      </c>
      <c r="AE12" s="88">
        <f t="shared" si="4"/>
        <v>119.15294117647062</v>
      </c>
      <c r="AF12" s="110">
        <f t="shared" si="5"/>
        <v>0.92307692307692313</v>
      </c>
      <c r="AG12" s="79">
        <f t="shared" si="6"/>
        <v>0.1</v>
      </c>
      <c r="AH12" s="579" cm="1">
        <f t="array" ref="AH12">CountUniquePeopleByTask($H12,$J$31:$AM$38,$H$31:$I$38)</f>
        <v>1</v>
      </c>
      <c r="AI12" s="49">
        <f t="shared" si="7"/>
        <v>24</v>
      </c>
      <c r="AJ12" s="16">
        <f t="shared" si="8"/>
        <v>0</v>
      </c>
      <c r="AK12" s="16">
        <f t="shared" si="9"/>
        <v>24</v>
      </c>
      <c r="AL12" s="88">
        <f t="shared" si="10"/>
        <v>119.15294117647062</v>
      </c>
      <c r="AM12" s="110">
        <f t="shared" si="11"/>
        <v>1</v>
      </c>
      <c r="AN12" s="81">
        <f t="shared" si="12"/>
        <v>0</v>
      </c>
    </row>
    <row r="13" spans="1:42" ht="17" thickBot="1" x14ac:dyDescent="0.25">
      <c r="B13" s="644" t="s">
        <v>98</v>
      </c>
      <c r="C13" s="644"/>
      <c r="D13" s="644"/>
      <c r="E13" s="644"/>
      <c r="F13" s="29"/>
      <c r="G13" s="30"/>
      <c r="H13" s="236" t="s">
        <v>198</v>
      </c>
      <c r="I13" s="11" t="s">
        <v>199</v>
      </c>
      <c r="J13" s="408" t="s">
        <v>200</v>
      </c>
      <c r="K13" s="400"/>
      <c r="L13" s="400"/>
      <c r="M13" s="400"/>
      <c r="N13" s="400"/>
      <c r="O13" s="400"/>
      <c r="P13" s="400"/>
      <c r="Q13" s="400"/>
      <c r="R13" s="544"/>
      <c r="S13" s="25" t="s">
        <v>26</v>
      </c>
      <c r="T13" s="52">
        <v>0</v>
      </c>
      <c r="U13" s="690" t="s">
        <v>144</v>
      </c>
      <c r="V13" s="691"/>
      <c r="W13" s="691"/>
      <c r="X13" s="692"/>
      <c r="Y13" s="113"/>
      <c r="Z13" s="170">
        <f t="shared" si="13"/>
        <v>0</v>
      </c>
      <c r="AA13" s="567" cm="1">
        <f t="array" ref="AA13">CountUniquePeopleByTask($H13,$J$44:$AM$51,$H$44:$I$51)</f>
        <v>0</v>
      </c>
      <c r="AB13" s="49">
        <f t="shared" si="1"/>
        <v>0</v>
      </c>
      <c r="AC13" s="16">
        <f t="shared" si="2"/>
        <v>0</v>
      </c>
      <c r="AD13" s="16">
        <f t="shared" si="3"/>
        <v>0</v>
      </c>
      <c r="AE13" s="88">
        <f t="shared" si="4"/>
        <v>0</v>
      </c>
      <c r="AF13" s="110">
        <f t="shared" si="5"/>
        <v>0</v>
      </c>
      <c r="AG13" s="79">
        <f t="shared" si="6"/>
        <v>0</v>
      </c>
      <c r="AH13" s="579" cm="1">
        <f t="array" ref="AH13">CountUniquePeopleByTask($H13,$J$31:$AM$38,$H$31:$I$38)</f>
        <v>1</v>
      </c>
      <c r="AI13" s="49">
        <f t="shared" si="7"/>
        <v>8</v>
      </c>
      <c r="AJ13" s="16">
        <f t="shared" si="8"/>
        <v>0</v>
      </c>
      <c r="AK13" s="16">
        <f t="shared" si="9"/>
        <v>8</v>
      </c>
      <c r="AL13" s="88">
        <f t="shared" si="10"/>
        <v>39.717647058823538</v>
      </c>
      <c r="AM13" s="110">
        <f t="shared" si="11"/>
        <v>0</v>
      </c>
      <c r="AN13" s="81" t="str">
        <f t="shared" si="12"/>
        <v>Unplanned</v>
      </c>
    </row>
    <row r="14" spans="1:42" x14ac:dyDescent="0.2">
      <c r="B14" s="670" t="s">
        <v>21</v>
      </c>
      <c r="C14" s="591"/>
      <c r="D14" s="591"/>
      <c r="E14" s="93">
        <v>7</v>
      </c>
      <c r="F14" s="29"/>
      <c r="G14" s="30"/>
      <c r="H14" s="492"/>
      <c r="I14" s="11"/>
      <c r="J14" s="408"/>
      <c r="K14" s="400"/>
      <c r="L14" s="400"/>
      <c r="M14" s="400"/>
      <c r="N14" s="400"/>
      <c r="O14" s="400"/>
      <c r="P14" s="400"/>
      <c r="Q14" s="400"/>
      <c r="R14" s="544"/>
      <c r="S14" s="25"/>
      <c r="T14" s="52"/>
      <c r="U14" s="55"/>
      <c r="V14" s="56"/>
      <c r="W14" s="56"/>
      <c r="X14" s="116"/>
      <c r="Y14" s="113"/>
      <c r="Z14" s="170">
        <f t="shared" si="13"/>
        <v>0</v>
      </c>
      <c r="AA14" s="567" t="str" cm="1">
        <f t="array" ref="AA14">CountUniquePeopleByTask($H14,$J$44:$AM$51,$H$44:$I$51)</f>
        <v>-</v>
      </c>
      <c r="AB14" s="49">
        <f t="shared" si="1"/>
        <v>0</v>
      </c>
      <c r="AC14" s="16">
        <f t="shared" si="2"/>
        <v>0</v>
      </c>
      <c r="AD14" s="16">
        <f t="shared" si="3"/>
        <v>0</v>
      </c>
      <c r="AE14" s="88">
        <f t="shared" si="4"/>
        <v>0</v>
      </c>
      <c r="AF14" s="110">
        <f t="shared" si="5"/>
        <v>0</v>
      </c>
      <c r="AG14" s="79">
        <f t="shared" si="6"/>
        <v>0</v>
      </c>
      <c r="AH14" s="579" t="str" cm="1">
        <f t="array" ref="AH14">CountUniquePeopleByTask($H14,$J$31:$AM$38,$H$31:$I$38)</f>
        <v>-</v>
      </c>
      <c r="AI14" s="49">
        <f t="shared" si="7"/>
        <v>0</v>
      </c>
      <c r="AJ14" s="16">
        <f t="shared" si="8"/>
        <v>0</v>
      </c>
      <c r="AK14" s="16">
        <f t="shared" si="9"/>
        <v>0</v>
      </c>
      <c r="AL14" s="88">
        <f t="shared" si="10"/>
        <v>0</v>
      </c>
      <c r="AM14" s="110">
        <f t="shared" si="11"/>
        <v>0</v>
      </c>
      <c r="AN14" s="81" t="str">
        <f t="shared" si="12"/>
        <v>Unplanned</v>
      </c>
    </row>
    <row r="15" spans="1:42" x14ac:dyDescent="0.2">
      <c r="B15" s="671" t="s">
        <v>22</v>
      </c>
      <c r="C15" s="596"/>
      <c r="D15" s="597"/>
      <c r="E15" s="94">
        <v>0.9</v>
      </c>
      <c r="F15" s="29"/>
      <c r="G15" s="30"/>
      <c r="H15" s="492"/>
      <c r="I15" s="11"/>
      <c r="J15" s="408"/>
      <c r="K15" s="400"/>
      <c r="L15" s="400"/>
      <c r="M15" s="400"/>
      <c r="N15" s="400"/>
      <c r="O15" s="400"/>
      <c r="P15" s="400"/>
      <c r="Q15" s="400"/>
      <c r="R15" s="544"/>
      <c r="S15" s="25"/>
      <c r="T15" s="52"/>
      <c r="U15" s="55"/>
      <c r="V15" s="56"/>
      <c r="W15" s="56"/>
      <c r="X15" s="116"/>
      <c r="Y15" s="113"/>
      <c r="Z15" s="170">
        <f t="shared" si="13"/>
        <v>0</v>
      </c>
      <c r="AA15" s="567" t="str" cm="1">
        <f t="array" ref="AA15">CountUniquePeopleByTask($H15,$J$44:$AM$51,$H$44:$I$51)</f>
        <v>-</v>
      </c>
      <c r="AB15" s="49">
        <f t="shared" si="1"/>
        <v>0</v>
      </c>
      <c r="AC15" s="16">
        <f t="shared" si="2"/>
        <v>0</v>
      </c>
      <c r="AD15" s="16">
        <f t="shared" si="3"/>
        <v>0</v>
      </c>
      <c r="AE15" s="88">
        <f t="shared" si="4"/>
        <v>0</v>
      </c>
      <c r="AF15" s="110">
        <f t="shared" si="5"/>
        <v>0</v>
      </c>
      <c r="AG15" s="79">
        <f t="shared" si="6"/>
        <v>0</v>
      </c>
      <c r="AH15" s="579" t="str" cm="1">
        <f t="array" ref="AH15">CountUniquePeopleByTask($H15,$J$31:$AM$38,$H$31:$I$38)</f>
        <v>-</v>
      </c>
      <c r="AI15" s="49">
        <f t="shared" si="7"/>
        <v>0</v>
      </c>
      <c r="AJ15" s="16">
        <f t="shared" si="8"/>
        <v>0</v>
      </c>
      <c r="AK15" s="16">
        <f t="shared" si="9"/>
        <v>0</v>
      </c>
      <c r="AL15" s="88">
        <f t="shared" si="10"/>
        <v>0</v>
      </c>
      <c r="AM15" s="110">
        <f t="shared" si="11"/>
        <v>0</v>
      </c>
      <c r="AN15" s="81" t="str">
        <f t="shared" si="12"/>
        <v>Unplanned</v>
      </c>
    </row>
    <row r="16" spans="1:42" x14ac:dyDescent="0.2">
      <c r="B16" s="671" t="s">
        <v>3</v>
      </c>
      <c r="C16" s="596"/>
      <c r="D16" s="597"/>
      <c r="E16" s="93">
        <v>1</v>
      </c>
      <c r="F16" s="29"/>
      <c r="G16" s="30"/>
      <c r="H16" s="208" t="s">
        <v>201</v>
      </c>
      <c r="I16" s="11"/>
      <c r="J16" s="408" t="s">
        <v>202</v>
      </c>
      <c r="K16" s="400"/>
      <c r="L16" s="400"/>
      <c r="M16" s="400"/>
      <c r="N16" s="400"/>
      <c r="O16" s="400"/>
      <c r="P16" s="400"/>
      <c r="Q16" s="400"/>
      <c r="R16" s="544"/>
      <c r="S16" s="25" t="s">
        <v>26</v>
      </c>
      <c r="T16" s="52">
        <v>0</v>
      </c>
      <c r="U16" s="55" t="s">
        <v>144</v>
      </c>
      <c r="V16" s="56"/>
      <c r="W16" s="56"/>
      <c r="X16" s="116"/>
      <c r="Y16" s="113"/>
      <c r="Z16" s="170">
        <f t="shared" si="13"/>
        <v>0</v>
      </c>
      <c r="AA16" s="567" cm="1">
        <f t="array" ref="AA16">CountUniquePeopleByTask($H16,$J$44:$AM$51,$H$44:$I$51)</f>
        <v>0</v>
      </c>
      <c r="AB16" s="49">
        <f t="shared" si="1"/>
        <v>0</v>
      </c>
      <c r="AC16" s="16">
        <f t="shared" si="2"/>
        <v>0</v>
      </c>
      <c r="AD16" s="16">
        <f t="shared" si="3"/>
        <v>0</v>
      </c>
      <c r="AE16" s="88">
        <f t="shared" si="4"/>
        <v>0</v>
      </c>
      <c r="AF16" s="110">
        <f t="shared" si="5"/>
        <v>0</v>
      </c>
      <c r="AG16" s="79">
        <f t="shared" si="6"/>
        <v>0</v>
      </c>
      <c r="AH16" s="579" cm="1">
        <f t="array" ref="AH16">CountUniquePeopleByTask($H16,$J$31:$AM$38,$H$31:$I$38)</f>
        <v>1</v>
      </c>
      <c r="AI16" s="49">
        <f t="shared" si="7"/>
        <v>7</v>
      </c>
      <c r="AJ16" s="16">
        <f t="shared" si="8"/>
        <v>0</v>
      </c>
      <c r="AK16" s="16">
        <f t="shared" si="9"/>
        <v>7</v>
      </c>
      <c r="AL16" s="88">
        <f t="shared" si="10"/>
        <v>34.752941176470593</v>
      </c>
      <c r="AM16" s="110">
        <f t="shared" si="11"/>
        <v>0</v>
      </c>
      <c r="AN16" s="81" t="str">
        <f t="shared" si="12"/>
        <v>Unplanned</v>
      </c>
    </row>
    <row r="17" spans="2:44" ht="17" thickBot="1" x14ac:dyDescent="0.25">
      <c r="B17" s="672" t="s">
        <v>34</v>
      </c>
      <c r="C17" s="673"/>
      <c r="D17" s="673"/>
      <c r="E17" s="95">
        <v>45425</v>
      </c>
      <c r="F17" s="29"/>
      <c r="G17" s="30"/>
      <c r="H17" s="208" t="s">
        <v>59</v>
      </c>
      <c r="I17" s="11" t="s">
        <v>203</v>
      </c>
      <c r="J17" s="23" t="s">
        <v>204</v>
      </c>
      <c r="K17" s="24"/>
      <c r="L17" s="24"/>
      <c r="M17" s="24"/>
      <c r="N17" s="24"/>
      <c r="O17" s="24"/>
      <c r="P17" s="24"/>
      <c r="Q17" s="24"/>
      <c r="R17" s="25"/>
      <c r="S17" s="25" t="s">
        <v>149</v>
      </c>
      <c r="T17" s="52">
        <v>0</v>
      </c>
      <c r="U17" s="55" t="s">
        <v>144</v>
      </c>
      <c r="V17" s="56"/>
      <c r="W17" s="56"/>
      <c r="X17" s="116"/>
      <c r="Y17" s="113"/>
      <c r="Z17" s="170">
        <f t="shared" si="13"/>
        <v>0</v>
      </c>
      <c r="AA17" s="567" cm="1">
        <f t="array" ref="AA17">CountUniquePeopleByTask($H17,$J$44:$AM$51,$H$44:$I$51)</f>
        <v>0</v>
      </c>
      <c r="AB17" s="49">
        <f t="shared" si="1"/>
        <v>0</v>
      </c>
      <c r="AC17" s="16">
        <f t="shared" si="2"/>
        <v>0</v>
      </c>
      <c r="AD17" s="16">
        <f t="shared" si="3"/>
        <v>0</v>
      </c>
      <c r="AE17" s="88">
        <f t="shared" si="4"/>
        <v>0</v>
      </c>
      <c r="AF17" s="110">
        <f t="shared" si="5"/>
        <v>0</v>
      </c>
      <c r="AG17" s="79">
        <f t="shared" si="6"/>
        <v>0</v>
      </c>
      <c r="AH17" s="579" cm="1">
        <f t="array" ref="AH17">CountUniquePeopleByTask($H17,$J$31:$AM$38,$H$31:$I$38)</f>
        <v>1</v>
      </c>
      <c r="AI17" s="49">
        <f t="shared" si="7"/>
        <v>2</v>
      </c>
      <c r="AJ17" s="16">
        <f t="shared" si="8"/>
        <v>0</v>
      </c>
      <c r="AK17" s="16">
        <f t="shared" si="9"/>
        <v>2</v>
      </c>
      <c r="AL17" s="88">
        <f t="shared" si="10"/>
        <v>9.9294117647058844</v>
      </c>
      <c r="AM17" s="110">
        <f t="shared" si="11"/>
        <v>0</v>
      </c>
      <c r="AN17" s="81" t="str">
        <f t="shared" si="12"/>
        <v>Unplanned</v>
      </c>
    </row>
    <row r="18" spans="2:44" ht="17" thickBot="1" x14ac:dyDescent="0.25">
      <c r="B18" s="19"/>
      <c r="C18" s="19"/>
      <c r="D18" s="19"/>
      <c r="E18" s="19"/>
      <c r="F18" s="29"/>
      <c r="G18" s="30"/>
      <c r="H18" s="208" t="s">
        <v>205</v>
      </c>
      <c r="I18" s="11"/>
      <c r="J18" s="23" t="s">
        <v>206</v>
      </c>
      <c r="K18" s="240" t="s">
        <v>207</v>
      </c>
      <c r="L18" s="24"/>
      <c r="M18" s="24"/>
      <c r="N18" s="24"/>
      <c r="O18" s="24"/>
      <c r="P18" s="24"/>
      <c r="Q18" s="24"/>
      <c r="R18" s="25"/>
      <c r="S18" s="25" t="s">
        <v>26</v>
      </c>
      <c r="T18" s="52">
        <v>0</v>
      </c>
      <c r="U18" s="55" t="s">
        <v>144</v>
      </c>
      <c r="V18" s="56"/>
      <c r="W18" s="56"/>
      <c r="X18" s="116"/>
      <c r="Y18" s="113"/>
      <c r="Z18" s="170">
        <f t="shared" si="13"/>
        <v>0</v>
      </c>
      <c r="AA18" s="567" cm="1">
        <f t="array" ref="AA18">CountUniquePeopleByTask($H18,$J$44:$AM$51,$H$44:$I$51)</f>
        <v>0</v>
      </c>
      <c r="AB18" s="85">
        <f t="shared" si="1"/>
        <v>0</v>
      </c>
      <c r="AC18" s="44">
        <f t="shared" si="2"/>
        <v>0</v>
      </c>
      <c r="AD18" s="44">
        <f t="shared" si="3"/>
        <v>0</v>
      </c>
      <c r="AE18" s="89">
        <f t="shared" si="4"/>
        <v>0</v>
      </c>
      <c r="AF18" s="110">
        <f t="shared" si="5"/>
        <v>0</v>
      </c>
      <c r="AG18" s="79">
        <f t="shared" si="6"/>
        <v>0</v>
      </c>
      <c r="AH18" s="579" cm="1">
        <f t="array" ref="AH18">CountUniquePeopleByTask($H18,$J$31:$AM$38,$H$31:$I$38)</f>
        <v>1</v>
      </c>
      <c r="AI18" s="85">
        <f t="shared" si="7"/>
        <v>5</v>
      </c>
      <c r="AJ18" s="44">
        <f t="shared" si="8"/>
        <v>0</v>
      </c>
      <c r="AK18" s="44">
        <f t="shared" si="9"/>
        <v>5</v>
      </c>
      <c r="AL18" s="89">
        <f t="shared" si="10"/>
        <v>24.82352941176471</v>
      </c>
      <c r="AM18" s="110">
        <f t="shared" si="11"/>
        <v>0</v>
      </c>
      <c r="AN18" s="81" t="str">
        <f t="shared" si="12"/>
        <v>Unplanned</v>
      </c>
    </row>
    <row r="19" spans="2:44" ht="17" thickBot="1" x14ac:dyDescent="0.25">
      <c r="B19" s="644" t="s">
        <v>128</v>
      </c>
      <c r="C19" s="644"/>
      <c r="D19" s="644"/>
      <c r="E19" s="644" t="s">
        <v>128</v>
      </c>
      <c r="F19" s="29"/>
      <c r="G19" s="30"/>
      <c r="H19" s="230" t="s">
        <v>208</v>
      </c>
      <c r="I19" s="11"/>
      <c r="J19" s="23" t="s">
        <v>209</v>
      </c>
      <c r="K19" s="24"/>
      <c r="L19" s="24"/>
      <c r="M19" s="24"/>
      <c r="N19" s="24"/>
      <c r="O19" s="24"/>
      <c r="P19" s="24"/>
      <c r="Q19" s="24"/>
      <c r="R19" s="25"/>
      <c r="S19" s="25" t="s">
        <v>26</v>
      </c>
      <c r="T19" s="52">
        <v>0</v>
      </c>
      <c r="U19" s="55" t="s">
        <v>144</v>
      </c>
      <c r="V19" s="56"/>
      <c r="W19" s="56"/>
      <c r="X19" s="116"/>
      <c r="Y19" s="113"/>
      <c r="Z19" s="170">
        <f t="shared" si="13"/>
        <v>0</v>
      </c>
      <c r="AA19" s="567" cm="1">
        <f t="array" ref="AA19">CountUniquePeopleByTask($H19,$J$44:$AM$51,$H$44:$I$51)</f>
        <v>2</v>
      </c>
      <c r="AB19" s="85">
        <f t="shared" si="1"/>
        <v>29</v>
      </c>
      <c r="AC19" s="44">
        <f t="shared" si="2"/>
        <v>0</v>
      </c>
      <c r="AD19" s="44">
        <f t="shared" si="3"/>
        <v>29</v>
      </c>
      <c r="AE19" s="89">
        <f t="shared" si="4"/>
        <v>143.97647058823532</v>
      </c>
      <c r="AF19" s="110">
        <f t="shared" si="5"/>
        <v>0</v>
      </c>
      <c r="AG19" s="79">
        <f t="shared" si="6"/>
        <v>0.12083333333333333</v>
      </c>
      <c r="AH19" s="579" cm="1">
        <f t="array" ref="AH19">CountUniquePeopleByTask($H19,$J$31:$AM$38,$H$31:$I$38)</f>
        <v>2</v>
      </c>
      <c r="AI19" s="85">
        <f t="shared" si="7"/>
        <v>12</v>
      </c>
      <c r="AJ19" s="44">
        <f t="shared" si="8"/>
        <v>0</v>
      </c>
      <c r="AK19" s="44">
        <f t="shared" si="9"/>
        <v>12</v>
      </c>
      <c r="AL19" s="89">
        <f t="shared" si="10"/>
        <v>59.57647058823531</v>
      </c>
      <c r="AM19" s="110">
        <f t="shared" si="11"/>
        <v>0.41379310344827591</v>
      </c>
      <c r="AN19" s="81">
        <f t="shared" si="12"/>
        <v>0.58620689655172409</v>
      </c>
    </row>
    <row r="20" spans="2:44" x14ac:dyDescent="0.2">
      <c r="B20" s="693" t="s">
        <v>175</v>
      </c>
      <c r="C20" s="694"/>
      <c r="D20" s="157">
        <v>0.25</v>
      </c>
      <c r="E20" s="156">
        <f>AK24</f>
        <v>0</v>
      </c>
      <c r="F20" s="29"/>
      <c r="G20" s="30"/>
      <c r="H20" s="161" t="s">
        <v>51</v>
      </c>
      <c r="I20" s="11"/>
      <c r="J20" s="408" t="s">
        <v>51</v>
      </c>
      <c r="K20" s="400"/>
      <c r="L20" s="400"/>
      <c r="M20" s="400"/>
      <c r="N20" s="400"/>
      <c r="O20" s="400"/>
      <c r="P20" s="400"/>
      <c r="Q20" s="400"/>
      <c r="R20" s="544"/>
      <c r="S20" s="25" t="s">
        <v>149</v>
      </c>
      <c r="T20" s="52">
        <v>0</v>
      </c>
      <c r="U20" s="690"/>
      <c r="V20" s="691"/>
      <c r="W20" s="691"/>
      <c r="X20" s="692"/>
      <c r="Y20" s="113"/>
      <c r="Z20" s="170">
        <f t="shared" si="13"/>
        <v>0</v>
      </c>
      <c r="AA20" s="567" cm="1">
        <f t="array" ref="AA20">CountUniquePeopleByTask($H20,$J$44:$AM$51,$H$44:$I$51)</f>
        <v>2</v>
      </c>
      <c r="AB20" s="85">
        <f t="shared" si="1"/>
        <v>18</v>
      </c>
      <c r="AC20" s="44">
        <f t="shared" si="2"/>
        <v>0</v>
      </c>
      <c r="AD20" s="44">
        <f t="shared" si="3"/>
        <v>18</v>
      </c>
      <c r="AE20" s="89">
        <f t="shared" si="4"/>
        <v>89.364705882352965</v>
      </c>
      <c r="AF20" s="110">
        <f t="shared" si="5"/>
        <v>0</v>
      </c>
      <c r="AG20" s="79">
        <f t="shared" si="6"/>
        <v>7.4999999999999997E-2</v>
      </c>
      <c r="AH20" s="579" cm="1">
        <f t="array" ref="AH20">CountUniquePeopleByTask($H20,$J$31:$AM$38,$H$31:$I$38)</f>
        <v>2</v>
      </c>
      <c r="AI20" s="85">
        <f t="shared" si="7"/>
        <v>19</v>
      </c>
      <c r="AJ20" s="44">
        <f t="shared" si="8"/>
        <v>0</v>
      </c>
      <c r="AK20" s="44">
        <f t="shared" si="9"/>
        <v>19</v>
      </c>
      <c r="AL20" s="89">
        <f t="shared" si="10"/>
        <v>94.329411764705895</v>
      </c>
      <c r="AM20" s="110">
        <f t="shared" si="11"/>
        <v>1.0555555555555554</v>
      </c>
      <c r="AN20" s="81">
        <f t="shared" si="12"/>
        <v>5.5555555555555552E-2</v>
      </c>
    </row>
    <row r="21" spans="2:44" x14ac:dyDescent="0.2">
      <c r="B21" s="684" t="s">
        <v>24</v>
      </c>
      <c r="C21" s="685"/>
      <c r="D21" s="26">
        <v>0.125</v>
      </c>
      <c r="E21" s="156">
        <f>AK23</f>
        <v>31</v>
      </c>
      <c r="F21" s="29"/>
      <c r="G21" s="30"/>
      <c r="H21" s="228" t="s">
        <v>62</v>
      </c>
      <c r="I21" s="11"/>
      <c r="J21" s="23" t="s">
        <v>62</v>
      </c>
      <c r="K21" s="24"/>
      <c r="L21" s="24"/>
      <c r="M21" s="24"/>
      <c r="N21" s="24"/>
      <c r="O21" s="24"/>
      <c r="P21" s="24"/>
      <c r="Q21" s="24"/>
      <c r="R21" s="25"/>
      <c r="S21" s="25" t="s">
        <v>26</v>
      </c>
      <c r="T21" s="52">
        <v>0</v>
      </c>
      <c r="U21" s="690"/>
      <c r="V21" s="691"/>
      <c r="W21" s="691"/>
      <c r="X21" s="692"/>
      <c r="Y21" s="113"/>
      <c r="Z21" s="170">
        <f t="shared" si="13"/>
        <v>0</v>
      </c>
      <c r="AA21" s="567" cm="1">
        <f t="array" ref="AA21">CountUniquePeopleByTask($H21,$J$44:$AM$51,$H$44:$I$51)</f>
        <v>3</v>
      </c>
      <c r="AB21" s="85">
        <f t="shared" si="1"/>
        <v>9</v>
      </c>
      <c r="AC21" s="44">
        <f t="shared" si="2"/>
        <v>0</v>
      </c>
      <c r="AD21" s="44">
        <f t="shared" si="3"/>
        <v>9</v>
      </c>
      <c r="AE21" s="89">
        <f t="shared" si="4"/>
        <v>44.682352941176482</v>
      </c>
      <c r="AF21" s="110">
        <f t="shared" si="5"/>
        <v>0</v>
      </c>
      <c r="AG21" s="79">
        <f t="shared" si="6"/>
        <v>3.7499999999999999E-2</v>
      </c>
      <c r="AH21" s="579" cm="1">
        <f t="array" ref="AH21">CountUniquePeopleByTask($H21,$J$31:$AM$38,$H$31:$I$38)</f>
        <v>3</v>
      </c>
      <c r="AI21" s="85">
        <f t="shared" si="7"/>
        <v>13</v>
      </c>
      <c r="AJ21" s="44">
        <f t="shared" si="8"/>
        <v>0</v>
      </c>
      <c r="AK21" s="44">
        <f t="shared" si="9"/>
        <v>13</v>
      </c>
      <c r="AL21" s="89">
        <f t="shared" si="10"/>
        <v>64.541176470588255</v>
      </c>
      <c r="AM21" s="110">
        <f t="shared" si="11"/>
        <v>1.4444444444444444</v>
      </c>
      <c r="AN21" s="81">
        <f t="shared" si="12"/>
        <v>0.44444444444444442</v>
      </c>
    </row>
    <row r="22" spans="2:44" x14ac:dyDescent="0.2">
      <c r="B22" s="684" t="s">
        <v>28</v>
      </c>
      <c r="C22" s="685"/>
      <c r="D22" s="686"/>
      <c r="E22" s="93">
        <v>2</v>
      </c>
      <c r="F22" s="29"/>
      <c r="G22" s="30"/>
      <c r="H22" s="158" t="s">
        <v>85</v>
      </c>
      <c r="I22" s="11"/>
      <c r="J22" s="408" t="s">
        <v>85</v>
      </c>
      <c r="K22" s="400"/>
      <c r="L22" s="400"/>
      <c r="M22" s="400"/>
      <c r="N22" s="400"/>
      <c r="O22" s="400"/>
      <c r="P22" s="400"/>
      <c r="Q22" s="400"/>
      <c r="R22" s="544"/>
      <c r="S22" s="25" t="s">
        <v>152</v>
      </c>
      <c r="T22" s="52">
        <v>0</v>
      </c>
      <c r="U22" s="690"/>
      <c r="V22" s="691"/>
      <c r="W22" s="691"/>
      <c r="X22" s="692"/>
      <c r="Y22" s="113"/>
      <c r="Z22" s="170">
        <f t="shared" si="13"/>
        <v>0</v>
      </c>
      <c r="AA22" s="567" cm="1">
        <f t="array" ref="AA22">CountUniquePeopleByTask($H22,$J$44:$AM$51,$H$44:$I$51)</f>
        <v>0</v>
      </c>
      <c r="AB22" s="85">
        <f t="shared" si="1"/>
        <v>0</v>
      </c>
      <c r="AC22" s="44">
        <f t="shared" si="2"/>
        <v>0</v>
      </c>
      <c r="AD22" s="16">
        <f>AB22+AC22</f>
        <v>0</v>
      </c>
      <c r="AE22" s="90">
        <f t="shared" si="4"/>
        <v>0</v>
      </c>
      <c r="AF22" s="110">
        <f t="shared" si="5"/>
        <v>0</v>
      </c>
      <c r="AG22" s="80">
        <f t="shared" si="6"/>
        <v>0</v>
      </c>
      <c r="AH22" s="579" cm="1">
        <f t="array" ref="AH22">CountUniquePeopleByTask($H22,$J$31:$AM$38,$H$31:$I$38)</f>
        <v>0</v>
      </c>
      <c r="AI22" s="85">
        <f t="shared" si="7"/>
        <v>0</v>
      </c>
      <c r="AJ22" s="44">
        <f t="shared" si="8"/>
        <v>0</v>
      </c>
      <c r="AK22" s="16">
        <f>AI22+AJ22</f>
        <v>0</v>
      </c>
      <c r="AL22" s="90">
        <f t="shared" si="10"/>
        <v>0</v>
      </c>
      <c r="AM22" s="110">
        <f t="shared" si="11"/>
        <v>0</v>
      </c>
      <c r="AN22" s="81" t="str">
        <f t="shared" si="12"/>
        <v>Unplanned</v>
      </c>
    </row>
    <row r="23" spans="2:44" ht="17" thickBot="1" x14ac:dyDescent="0.25">
      <c r="B23" s="687" t="s">
        <v>32</v>
      </c>
      <c r="C23" s="688"/>
      <c r="D23" s="689"/>
      <c r="E23" s="96">
        <v>2</v>
      </c>
      <c r="F23" s="29"/>
      <c r="G23" s="30"/>
      <c r="H23" s="103" t="s">
        <v>23</v>
      </c>
      <c r="I23" s="11"/>
      <c r="J23" s="408" t="s">
        <v>24</v>
      </c>
      <c r="K23" s="400"/>
      <c r="L23" s="400"/>
      <c r="M23" s="400"/>
      <c r="N23" s="400"/>
      <c r="O23" s="400"/>
      <c r="P23" s="400"/>
      <c r="Q23" s="400"/>
      <c r="R23" s="544"/>
      <c r="S23" s="25" t="s">
        <v>23</v>
      </c>
      <c r="T23" s="52">
        <v>0</v>
      </c>
      <c r="U23" s="55"/>
      <c r="V23" s="56"/>
      <c r="W23" s="56"/>
      <c r="X23" s="116"/>
      <c r="Y23" s="113"/>
      <c r="Z23" s="242">
        <v>25</v>
      </c>
      <c r="AA23" s="567" cm="1">
        <f t="array" ref="AA23">CountUniquePeopleByTask($H23,$J$44:$AM$51,$H$44:$I$51)</f>
        <v>7</v>
      </c>
      <c r="AB23" s="49">
        <f t="shared" si="1"/>
        <v>27</v>
      </c>
      <c r="AC23" s="16">
        <f t="shared" si="2"/>
        <v>3</v>
      </c>
      <c r="AD23" s="38">
        <f>AB23+AC23</f>
        <v>30</v>
      </c>
      <c r="AE23" s="87">
        <f t="shared" si="4"/>
        <v>144.7764705882353</v>
      </c>
      <c r="AF23" s="110">
        <f t="shared" si="5"/>
        <v>1.2</v>
      </c>
      <c r="AG23" s="79">
        <f t="shared" si="6"/>
        <v>0.125</v>
      </c>
      <c r="AH23" s="579" cm="1">
        <f t="array" ref="AH23">CountUniquePeopleByTask($H23,$J$31:$AM$38,$H$31:$I$38)</f>
        <v>8</v>
      </c>
      <c r="AI23" s="49">
        <f t="shared" si="7"/>
        <v>28</v>
      </c>
      <c r="AJ23" s="16">
        <f t="shared" si="8"/>
        <v>3</v>
      </c>
      <c r="AK23" s="38">
        <f>AI23+AJ23</f>
        <v>31</v>
      </c>
      <c r="AL23" s="87">
        <f t="shared" si="10"/>
        <v>149.74117647058824</v>
      </c>
      <c r="AM23" s="110">
        <f t="shared" si="11"/>
        <v>1.0342922151795872</v>
      </c>
      <c r="AN23" s="81">
        <f t="shared" si="12"/>
        <v>3.3333333333333333E-2</v>
      </c>
    </row>
    <row r="24" spans="2:44" ht="17" thickBot="1" x14ac:dyDescent="0.25">
      <c r="B24" s="19"/>
      <c r="C24" s="19"/>
      <c r="D24" s="19"/>
      <c r="E24" s="19"/>
      <c r="F24" s="29"/>
      <c r="G24" s="30"/>
      <c r="H24" s="104" t="s">
        <v>126</v>
      </c>
      <c r="I24" s="11"/>
      <c r="J24" s="408" t="s">
        <v>27</v>
      </c>
      <c r="K24" s="400"/>
      <c r="L24" s="400"/>
      <c r="M24" s="400"/>
      <c r="N24" s="400"/>
      <c r="O24" s="400"/>
      <c r="P24" s="400"/>
      <c r="Q24" s="400"/>
      <c r="R24" s="544"/>
      <c r="S24" s="25" t="s">
        <v>26</v>
      </c>
      <c r="T24" s="52">
        <v>0</v>
      </c>
      <c r="U24" s="690"/>
      <c r="V24" s="691"/>
      <c r="W24" s="691"/>
      <c r="X24" s="692"/>
      <c r="Y24" s="113"/>
      <c r="Z24" s="170">
        <f>T24</f>
        <v>0</v>
      </c>
      <c r="AA24" s="567" cm="1">
        <f t="array" ref="AA24">CountUniquePeopleByTask($H24,$J$44:$AM$51,$H$44:$I$51)</f>
        <v>0</v>
      </c>
      <c r="AB24" s="49">
        <f t="shared" si="1"/>
        <v>0</v>
      </c>
      <c r="AC24" s="16">
        <f t="shared" si="2"/>
        <v>0</v>
      </c>
      <c r="AD24" s="16">
        <f>AB24+AC24</f>
        <v>0</v>
      </c>
      <c r="AE24" s="88">
        <f t="shared" si="4"/>
        <v>0</v>
      </c>
      <c r="AF24" s="110">
        <f t="shared" si="5"/>
        <v>0</v>
      </c>
      <c r="AG24" s="79">
        <f t="shared" si="6"/>
        <v>0</v>
      </c>
      <c r="AH24" s="579" cm="1">
        <f t="array" ref="AH24">CountUniquePeopleByTask($H24,$J$31:$AM$38,$H$31:$I$38)</f>
        <v>0</v>
      </c>
      <c r="AI24" s="49">
        <f t="shared" si="7"/>
        <v>0</v>
      </c>
      <c r="AJ24" s="16">
        <f t="shared" si="8"/>
        <v>0</v>
      </c>
      <c r="AK24" s="16">
        <f>AI24+AJ24</f>
        <v>0</v>
      </c>
      <c r="AL24" s="88">
        <f t="shared" si="10"/>
        <v>0</v>
      </c>
      <c r="AM24" s="110">
        <f t="shared" si="11"/>
        <v>0</v>
      </c>
      <c r="AN24" s="81" t="str">
        <f t="shared" si="12"/>
        <v>Unplanned</v>
      </c>
    </row>
    <row r="25" spans="2:44" ht="17" thickBot="1" x14ac:dyDescent="0.25">
      <c r="B25" s="677" t="s">
        <v>54</v>
      </c>
      <c r="C25" s="678"/>
      <c r="D25" s="678"/>
      <c r="E25" s="679"/>
      <c r="F25" s="29"/>
      <c r="G25" s="30"/>
      <c r="H25" s="105" t="s">
        <v>29</v>
      </c>
      <c r="I25" s="106"/>
      <c r="J25" s="409" t="s">
        <v>30</v>
      </c>
      <c r="K25" s="410"/>
      <c r="L25" s="410"/>
      <c r="M25" s="410"/>
      <c r="N25" s="410"/>
      <c r="O25" s="410"/>
      <c r="P25" s="410"/>
      <c r="Q25" s="410"/>
      <c r="R25" s="548"/>
      <c r="S25" s="107" t="s">
        <v>29</v>
      </c>
      <c r="T25" s="127">
        <v>0</v>
      </c>
      <c r="U25" s="680"/>
      <c r="V25" s="681"/>
      <c r="W25" s="681"/>
      <c r="X25" s="682"/>
      <c r="Y25" s="114"/>
      <c r="Z25" s="41">
        <f>T25</f>
        <v>0</v>
      </c>
      <c r="AA25" s="568" cm="1">
        <f t="array" ref="AA25">CountUniquePeopleByTask($H25,$J$44:$AM$51,$H$44:$I$51)</f>
        <v>8</v>
      </c>
      <c r="AB25" s="86">
        <f t="shared" si="1"/>
        <v>29</v>
      </c>
      <c r="AC25" s="41">
        <f t="shared" si="2"/>
        <v>1</v>
      </c>
      <c r="AD25" s="41">
        <f>AB25+AC25</f>
        <v>30</v>
      </c>
      <c r="AE25" s="91">
        <f>AB25*8+AC25*6</f>
        <v>238</v>
      </c>
      <c r="AF25" s="43">
        <f t="shared" si="5"/>
        <v>0</v>
      </c>
      <c r="AG25" s="174">
        <f t="shared" si="6"/>
        <v>0.125</v>
      </c>
      <c r="AH25" s="580" cm="1">
        <f t="array" ref="AH25">CountUniquePeopleByTask($H25,$J$31:$AM$38,$H$31:$I$38)</f>
        <v>8</v>
      </c>
      <c r="AI25" s="86">
        <f t="shared" si="7"/>
        <v>30</v>
      </c>
      <c r="AJ25" s="41">
        <f t="shared" si="8"/>
        <v>2</v>
      </c>
      <c r="AK25" s="41">
        <f>AI25+AJ25</f>
        <v>32</v>
      </c>
      <c r="AL25" s="91">
        <f>AI25*8+AJ25*6</f>
        <v>252</v>
      </c>
      <c r="AM25" s="43">
        <f t="shared" si="11"/>
        <v>1.0588235294117647</v>
      </c>
      <c r="AN25" s="81">
        <f t="shared" si="12"/>
        <v>6.6666666666666666E-2</v>
      </c>
    </row>
    <row r="26" spans="2:44" ht="17" thickBot="1" x14ac:dyDescent="0.25">
      <c r="B26" s="97"/>
      <c r="C26" s="92" t="s">
        <v>37</v>
      </c>
      <c r="D26" s="75" t="s">
        <v>38</v>
      </c>
      <c r="E26" s="98" t="s">
        <v>39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132</v>
      </c>
      <c r="AA26"/>
      <c r="AB26"/>
      <c r="AC26"/>
      <c r="AD26" s="82">
        <f>SUM(AD6:AD25)</f>
        <v>240</v>
      </c>
      <c r="AE26" s="83">
        <f>SUM(AE6:AE25)</f>
        <v>1240.329411764706</v>
      </c>
      <c r="AF26"/>
      <c r="AK26" s="82">
        <f>SUM(AK6:AK25)</f>
        <v>240</v>
      </c>
      <c r="AL26" s="83">
        <f>SUM(AL6:AL25)</f>
        <v>1245.7882352941178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0.45833333333333337</v>
      </c>
    </row>
    <row r="27" spans="2:44" x14ac:dyDescent="0.2">
      <c r="B27" s="97" t="s">
        <v>177</v>
      </c>
      <c r="C27" s="16">
        <f>COUNTIF($B$4:$B$11,"=D")</f>
        <v>7</v>
      </c>
      <c r="D27" s="36">
        <f>COUNTIF($B$4:$B$11,"=I")</f>
        <v>1</v>
      </c>
      <c r="E27" s="99">
        <f>C27+D27</f>
        <v>8</v>
      </c>
      <c r="F27" s="29"/>
      <c r="G27" s="30"/>
      <c r="V27" s="1" t="s">
        <v>120</v>
      </c>
    </row>
    <row r="28" spans="2:44" x14ac:dyDescent="0.2">
      <c r="B28" s="100" t="s">
        <v>42</v>
      </c>
      <c r="C28" s="16">
        <f>($E$14*5*$C$27)-($C$27*$E$16)</f>
        <v>238</v>
      </c>
      <c r="D28" s="36">
        <f>($E$14*5*$D$27)-($D$27*$E$16)</f>
        <v>34</v>
      </c>
      <c r="E28" s="99">
        <f t="shared" ref="E28:E35" si="14">C28+D28</f>
        <v>272</v>
      </c>
      <c r="F28" s="29"/>
      <c r="G28" s="30"/>
      <c r="J28" s="697" t="s">
        <v>41</v>
      </c>
      <c r="K28" s="697"/>
      <c r="L28" s="697"/>
      <c r="M28" s="697"/>
      <c r="N28" s="697"/>
      <c r="O28" s="697"/>
      <c r="P28" s="697"/>
      <c r="Q28" s="697"/>
      <c r="R28" s="697"/>
      <c r="S28" s="697"/>
      <c r="T28" s="697"/>
      <c r="U28" s="697"/>
      <c r="V28" s="697"/>
      <c r="W28" s="697"/>
      <c r="X28" s="697"/>
      <c r="Y28" s="697"/>
      <c r="Z28" s="697"/>
      <c r="AA28" s="697"/>
      <c r="AB28" s="697"/>
      <c r="AC28" s="697"/>
      <c r="AD28" s="697"/>
      <c r="AE28" s="697"/>
      <c r="AF28" s="697"/>
      <c r="AG28" s="697"/>
      <c r="AH28" s="697"/>
      <c r="AI28" s="697"/>
      <c r="AJ28" s="697"/>
      <c r="AK28" s="697"/>
      <c r="AL28" s="697"/>
      <c r="AM28" s="697"/>
      <c r="AN28" s="697"/>
      <c r="AO28" s="697"/>
      <c r="AP28" s="697"/>
      <c r="AQ28" s="697"/>
      <c r="AR28" s="697"/>
    </row>
    <row r="29" spans="2:44" x14ac:dyDescent="0.2">
      <c r="B29" s="97" t="s">
        <v>48</v>
      </c>
      <c r="C29" s="16">
        <f>8*$E$15</f>
        <v>7.2</v>
      </c>
      <c r="D29" s="36">
        <f>6*$E$15</f>
        <v>5.4</v>
      </c>
      <c r="E29" s="99">
        <f>C27*C29+D27*D29</f>
        <v>55.8</v>
      </c>
      <c r="F29" s="29"/>
      <c r="G29" s="30"/>
      <c r="H29"/>
      <c r="I29" s="7"/>
      <c r="J29" s="600" t="s">
        <v>43</v>
      </c>
      <c r="K29" s="601"/>
      <c r="L29" s="601"/>
      <c r="M29" s="601"/>
      <c r="N29" s="602"/>
      <c r="O29" s="600" t="s">
        <v>44</v>
      </c>
      <c r="P29" s="601"/>
      <c r="Q29" s="601"/>
      <c r="R29" s="601"/>
      <c r="S29" s="602"/>
      <c r="T29" s="600" t="s">
        <v>45</v>
      </c>
      <c r="U29" s="601"/>
      <c r="V29" s="601"/>
      <c r="W29" s="601"/>
      <c r="X29" s="602"/>
      <c r="Y29" s="600" t="s">
        <v>46</v>
      </c>
      <c r="Z29" s="601"/>
      <c r="AA29" s="601"/>
      <c r="AB29" s="601"/>
      <c r="AC29" s="602"/>
      <c r="AD29" s="600" t="s">
        <v>47</v>
      </c>
      <c r="AE29" s="601"/>
      <c r="AF29" s="601"/>
      <c r="AG29" s="601"/>
      <c r="AH29" s="602"/>
      <c r="AI29" s="600" t="s">
        <v>83</v>
      </c>
      <c r="AJ29" s="601"/>
      <c r="AK29" s="601"/>
      <c r="AL29" s="601"/>
      <c r="AM29" s="602"/>
      <c r="AN29" s="600" t="s">
        <v>210</v>
      </c>
      <c r="AO29" s="601"/>
      <c r="AP29" s="601"/>
      <c r="AQ29" s="601"/>
      <c r="AR29" s="602"/>
    </row>
    <row r="30" spans="2:44" x14ac:dyDescent="0.2">
      <c r="B30" s="97" t="s">
        <v>50</v>
      </c>
      <c r="C30" s="16">
        <f>C28*C29</f>
        <v>1713.6000000000001</v>
      </c>
      <c r="D30" s="36">
        <f>D28*D29</f>
        <v>183.60000000000002</v>
      </c>
      <c r="E30" s="99">
        <f>C30+D30</f>
        <v>1897.2000000000003</v>
      </c>
      <c r="F30" s="29"/>
      <c r="G30" s="30"/>
      <c r="H30" s="600" t="s">
        <v>49</v>
      </c>
      <c r="I30" s="602"/>
      <c r="J30" s="15">
        <f t="shared" ref="J30:AR30" si="15">$E$17+(7*ROUNDDOWN((COLUMN(J$31)-COLUMN($J$31))/5,0))+MOD(COLUMN(J$31)-COLUMN($J$31),5)</f>
        <v>45425</v>
      </c>
      <c r="K30" s="15">
        <f t="shared" si="15"/>
        <v>45426</v>
      </c>
      <c r="L30" s="15">
        <f t="shared" si="15"/>
        <v>45427</v>
      </c>
      <c r="M30" s="15">
        <f t="shared" si="15"/>
        <v>45428</v>
      </c>
      <c r="N30" s="15">
        <f t="shared" si="15"/>
        <v>45429</v>
      </c>
      <c r="O30" s="15">
        <f t="shared" si="15"/>
        <v>45432</v>
      </c>
      <c r="P30" s="15">
        <f t="shared" si="15"/>
        <v>45433</v>
      </c>
      <c r="Q30" s="15">
        <f t="shared" si="15"/>
        <v>45434</v>
      </c>
      <c r="R30" s="15">
        <f t="shared" si="15"/>
        <v>45435</v>
      </c>
      <c r="S30" s="15">
        <f t="shared" si="15"/>
        <v>45436</v>
      </c>
      <c r="T30" s="15">
        <f t="shared" si="15"/>
        <v>45439</v>
      </c>
      <c r="U30" s="15">
        <f t="shared" si="15"/>
        <v>45440</v>
      </c>
      <c r="V30" s="15">
        <f t="shared" si="15"/>
        <v>45441</v>
      </c>
      <c r="W30" s="15">
        <f t="shared" si="15"/>
        <v>45442</v>
      </c>
      <c r="X30" s="15">
        <f t="shared" si="15"/>
        <v>45443</v>
      </c>
      <c r="Y30" s="15">
        <f t="shared" si="15"/>
        <v>45446</v>
      </c>
      <c r="Z30" s="15">
        <f t="shared" si="15"/>
        <v>45447</v>
      </c>
      <c r="AA30" s="15">
        <f t="shared" si="15"/>
        <v>45448</v>
      </c>
      <c r="AB30" s="15">
        <f t="shared" si="15"/>
        <v>45449</v>
      </c>
      <c r="AC30" s="15">
        <f t="shared" si="15"/>
        <v>45450</v>
      </c>
      <c r="AD30" s="15">
        <f t="shared" si="15"/>
        <v>45453</v>
      </c>
      <c r="AE30" s="15">
        <f t="shared" si="15"/>
        <v>45454</v>
      </c>
      <c r="AF30" s="15">
        <f t="shared" si="15"/>
        <v>45455</v>
      </c>
      <c r="AG30" s="15">
        <f t="shared" si="15"/>
        <v>45456</v>
      </c>
      <c r="AH30" s="15">
        <f t="shared" si="15"/>
        <v>45457</v>
      </c>
      <c r="AI30" s="15">
        <f t="shared" si="15"/>
        <v>45460</v>
      </c>
      <c r="AJ30" s="15">
        <f t="shared" si="15"/>
        <v>45461</v>
      </c>
      <c r="AK30" s="15">
        <f t="shared" si="15"/>
        <v>45462</v>
      </c>
      <c r="AL30" s="15">
        <f t="shared" si="15"/>
        <v>45463</v>
      </c>
      <c r="AM30" s="15">
        <f t="shared" si="15"/>
        <v>45464</v>
      </c>
      <c r="AN30" s="15">
        <f t="shared" si="15"/>
        <v>45467</v>
      </c>
      <c r="AO30" s="15">
        <f t="shared" si="15"/>
        <v>45468</v>
      </c>
      <c r="AP30" s="15">
        <f t="shared" si="15"/>
        <v>45469</v>
      </c>
      <c r="AQ30" s="15">
        <f t="shared" si="15"/>
        <v>45470</v>
      </c>
      <c r="AR30" s="15">
        <f t="shared" si="15"/>
        <v>45471</v>
      </c>
    </row>
    <row r="31" spans="2:44" x14ac:dyDescent="0.2">
      <c r="B31" s="97" t="s">
        <v>51</v>
      </c>
      <c r="C31" s="16">
        <f>$E$14*$E$22*C27</f>
        <v>98</v>
      </c>
      <c r="D31" s="36">
        <f>$E$14*$E$22*D27</f>
        <v>14</v>
      </c>
      <c r="E31" s="99">
        <f t="shared" si="14"/>
        <v>112</v>
      </c>
      <c r="F31" s="29"/>
      <c r="G31" s="30"/>
      <c r="H31" s="593" t="str">
        <f t="shared" ref="H31:H38" si="16">$D4</f>
        <v>Arthur Mota</v>
      </c>
      <c r="I31" s="683"/>
      <c r="J31" s="210" t="s">
        <v>181</v>
      </c>
      <c r="K31" s="210" t="s">
        <v>181</v>
      </c>
      <c r="L31" s="210" t="s">
        <v>181</v>
      </c>
      <c r="M31" s="210" t="s">
        <v>181</v>
      </c>
      <c r="N31" s="210" t="s">
        <v>181</v>
      </c>
      <c r="O31" s="210" t="s">
        <v>181</v>
      </c>
      <c r="P31" s="210" t="s">
        <v>181</v>
      </c>
      <c r="Q31" s="210" t="s">
        <v>181</v>
      </c>
      <c r="R31" s="210" t="s">
        <v>181</v>
      </c>
      <c r="S31" s="210" t="s">
        <v>181</v>
      </c>
      <c r="T31" s="210" t="s">
        <v>181</v>
      </c>
      <c r="U31" s="210" t="s">
        <v>181</v>
      </c>
      <c r="V31" s="210" t="s">
        <v>181</v>
      </c>
      <c r="W31" s="28" t="s">
        <v>29</v>
      </c>
      <c r="X31" s="202" t="s">
        <v>29</v>
      </c>
      <c r="Y31" s="235" t="s">
        <v>181</v>
      </c>
      <c r="Z31" s="200" t="s">
        <v>23</v>
      </c>
      <c r="AA31" s="54" t="s">
        <v>23</v>
      </c>
      <c r="AB31" s="217" t="s">
        <v>178</v>
      </c>
      <c r="AC31" s="54" t="s">
        <v>23</v>
      </c>
      <c r="AD31" s="217" t="s">
        <v>178</v>
      </c>
      <c r="AE31" s="217" t="s">
        <v>178</v>
      </c>
      <c r="AF31" s="217" t="s">
        <v>178</v>
      </c>
      <c r="AG31" s="217" t="s">
        <v>178</v>
      </c>
      <c r="AH31" s="217" t="s">
        <v>178</v>
      </c>
      <c r="AI31" s="217" t="s">
        <v>178</v>
      </c>
      <c r="AJ31" s="217" t="s">
        <v>178</v>
      </c>
      <c r="AK31" s="217" t="s">
        <v>178</v>
      </c>
      <c r="AL31" s="217" t="s">
        <v>178</v>
      </c>
      <c r="AM31" s="217" t="s">
        <v>178</v>
      </c>
      <c r="AN31" s="54" t="s">
        <v>23</v>
      </c>
      <c r="AO31" s="217" t="s">
        <v>178</v>
      </c>
      <c r="AP31" s="54" t="s">
        <v>23</v>
      </c>
      <c r="AQ31" s="217" t="s">
        <v>178</v>
      </c>
      <c r="AR31" s="54" t="s">
        <v>23</v>
      </c>
    </row>
    <row r="32" spans="2:44" x14ac:dyDescent="0.2">
      <c r="B32" s="97" t="s">
        <v>1</v>
      </c>
      <c r="C32" s="16">
        <f>$E$14*$E$23*COUNTIF($C$4:$C$11,"=Y")</f>
        <v>98</v>
      </c>
      <c r="D32" s="36">
        <v>0</v>
      </c>
      <c r="E32" s="99">
        <f t="shared" si="14"/>
        <v>98</v>
      </c>
      <c r="F32" s="29"/>
      <c r="G32" s="30"/>
      <c r="H32" s="593" t="str">
        <f t="shared" si="16"/>
        <v>Andréa</v>
      </c>
      <c r="I32" s="683"/>
      <c r="J32" s="54" t="s">
        <v>23</v>
      </c>
      <c r="K32" s="212" t="s">
        <v>160</v>
      </c>
      <c r="L32" s="54" t="s">
        <v>23</v>
      </c>
      <c r="M32" s="212" t="s">
        <v>160</v>
      </c>
      <c r="N32" s="54" t="s">
        <v>23</v>
      </c>
      <c r="O32" s="200" t="s">
        <v>23</v>
      </c>
      <c r="P32" s="238" t="s">
        <v>205</v>
      </c>
      <c r="Q32" s="238" t="s">
        <v>205</v>
      </c>
      <c r="R32" s="238" t="s">
        <v>205</v>
      </c>
      <c r="S32" s="238" t="s">
        <v>205</v>
      </c>
      <c r="T32" s="238" t="s">
        <v>205</v>
      </c>
      <c r="U32" s="212" t="s">
        <v>160</v>
      </c>
      <c r="V32" s="212" t="s">
        <v>160</v>
      </c>
      <c r="W32" s="28" t="s">
        <v>29</v>
      </c>
      <c r="X32" s="28" t="s">
        <v>29</v>
      </c>
      <c r="Y32" s="212" t="s">
        <v>160</v>
      </c>
      <c r="Z32" s="212" t="s">
        <v>160</v>
      </c>
      <c r="AA32" s="212" t="s">
        <v>160</v>
      </c>
      <c r="AB32" s="238" t="s">
        <v>201</v>
      </c>
      <c r="AC32" s="238" t="s">
        <v>201</v>
      </c>
      <c r="AD32" s="238" t="s">
        <v>201</v>
      </c>
      <c r="AE32" s="238" t="s">
        <v>201</v>
      </c>
      <c r="AF32" s="238" t="s">
        <v>201</v>
      </c>
      <c r="AG32" s="238" t="s">
        <v>201</v>
      </c>
      <c r="AH32" s="238" t="s">
        <v>201</v>
      </c>
      <c r="AI32" s="28" t="s">
        <v>29</v>
      </c>
      <c r="AJ32" s="28" t="s">
        <v>29</v>
      </c>
      <c r="AK32" s="28" t="s">
        <v>29</v>
      </c>
      <c r="AL32" s="28" t="s">
        <v>29</v>
      </c>
      <c r="AM32" s="28" t="s">
        <v>29</v>
      </c>
      <c r="AN32" s="166" t="s">
        <v>189</v>
      </c>
      <c r="AO32" s="166" t="s">
        <v>189</v>
      </c>
      <c r="AP32" s="166" t="s">
        <v>189</v>
      </c>
      <c r="AQ32" s="166" t="s">
        <v>189</v>
      </c>
      <c r="AR32" s="166" t="s">
        <v>189</v>
      </c>
    </row>
    <row r="33" spans="1:44" x14ac:dyDescent="0.2">
      <c r="B33" s="97" t="s">
        <v>52</v>
      </c>
      <c r="C33" s="16">
        <f>(0.25*$C$28)+($C$27*$E$14)+$C$27</f>
        <v>115.5</v>
      </c>
      <c r="D33" s="16">
        <f>(0.25*$D$28)+($D$27*$E$14)+$D$27</f>
        <v>16.5</v>
      </c>
      <c r="E33" s="99">
        <f t="shared" si="14"/>
        <v>132</v>
      </c>
      <c r="F33" s="29"/>
      <c r="G33" s="30"/>
      <c r="H33" s="593" t="str">
        <f t="shared" si="16"/>
        <v>André</v>
      </c>
      <c r="I33" s="683"/>
      <c r="J33" s="214" t="s">
        <v>186</v>
      </c>
      <c r="K33" s="214" t="s">
        <v>186</v>
      </c>
      <c r="L33" s="214" t="s">
        <v>186</v>
      </c>
      <c r="M33" s="214" t="s">
        <v>186</v>
      </c>
      <c r="N33" s="214" t="s">
        <v>186</v>
      </c>
      <c r="O33" s="54" t="s">
        <v>23</v>
      </c>
      <c r="P33" s="214" t="s">
        <v>186</v>
      </c>
      <c r="Q33" s="54" t="s">
        <v>23</v>
      </c>
      <c r="R33" s="214" t="s">
        <v>186</v>
      </c>
      <c r="S33" s="54" t="s">
        <v>23</v>
      </c>
      <c r="T33" s="214" t="s">
        <v>186</v>
      </c>
      <c r="U33" s="214" t="s">
        <v>186</v>
      </c>
      <c r="V33" s="214" t="s">
        <v>186</v>
      </c>
      <c r="W33" s="28" t="s">
        <v>29</v>
      </c>
      <c r="X33" s="28" t="s">
        <v>29</v>
      </c>
      <c r="Y33" s="214" t="s">
        <v>186</v>
      </c>
      <c r="Z33" s="214" t="s">
        <v>186</v>
      </c>
      <c r="AA33" s="214" t="s">
        <v>186</v>
      </c>
      <c r="AB33" s="214" t="s">
        <v>186</v>
      </c>
      <c r="AC33" s="214" t="s">
        <v>186</v>
      </c>
      <c r="AD33" s="214" t="s">
        <v>186</v>
      </c>
      <c r="AE33" s="214" t="s">
        <v>186</v>
      </c>
      <c r="AF33" s="54" t="s">
        <v>23</v>
      </c>
      <c r="AG33" s="214" t="s">
        <v>186</v>
      </c>
      <c r="AH33" s="214" t="s">
        <v>186</v>
      </c>
      <c r="AI33" s="214" t="s">
        <v>186</v>
      </c>
      <c r="AJ33" s="214" t="s">
        <v>186</v>
      </c>
      <c r="AK33" s="214" t="s">
        <v>186</v>
      </c>
      <c r="AL33" s="214" t="s">
        <v>186</v>
      </c>
      <c r="AM33" s="214" t="s">
        <v>186</v>
      </c>
      <c r="AN33" s="28" t="s">
        <v>29</v>
      </c>
      <c r="AO33" s="28" t="s">
        <v>29</v>
      </c>
      <c r="AP33" s="28" t="s">
        <v>29</v>
      </c>
      <c r="AQ33" s="28" t="s">
        <v>29</v>
      </c>
      <c r="AR33" s="28" t="s">
        <v>29</v>
      </c>
    </row>
    <row r="34" spans="1:44" x14ac:dyDescent="0.2">
      <c r="B34" s="97" t="s">
        <v>129</v>
      </c>
      <c r="C34" s="16">
        <f>(4*$E$14*$C$27)+($C$27*($E$14/2))</f>
        <v>220.5</v>
      </c>
      <c r="D34" s="16">
        <f>(4*$E$14*$D$27)+($D$27*($E$14/2))</f>
        <v>31.5</v>
      </c>
      <c r="E34" s="99">
        <f>C34+D34</f>
        <v>252</v>
      </c>
      <c r="F34" s="29"/>
      <c r="G34" s="30"/>
      <c r="H34" s="593" t="str">
        <f t="shared" si="16"/>
        <v>Marcela</v>
      </c>
      <c r="I34" s="683"/>
      <c r="J34" s="210" t="s">
        <v>181</v>
      </c>
      <c r="K34" s="210" t="s">
        <v>181</v>
      </c>
      <c r="L34" s="210" t="s">
        <v>181</v>
      </c>
      <c r="M34" s="210" t="s">
        <v>181</v>
      </c>
      <c r="N34" s="210" t="s">
        <v>181</v>
      </c>
      <c r="O34" s="210" t="s">
        <v>181</v>
      </c>
      <c r="P34" s="210" t="s">
        <v>181</v>
      </c>
      <c r="Q34" s="210" t="s">
        <v>181</v>
      </c>
      <c r="R34" s="210" t="s">
        <v>181</v>
      </c>
      <c r="S34" s="210" t="s">
        <v>181</v>
      </c>
      <c r="T34" s="234" t="s">
        <v>59</v>
      </c>
      <c r="U34" s="234" t="s">
        <v>59</v>
      </c>
      <c r="V34" s="54" t="s">
        <v>23</v>
      </c>
      <c r="W34" s="28" t="s">
        <v>29</v>
      </c>
      <c r="X34" s="28" t="s">
        <v>29</v>
      </c>
      <c r="Y34" s="28" t="s">
        <v>29</v>
      </c>
      <c r="Z34" s="28" t="s">
        <v>29</v>
      </c>
      <c r="AA34" s="28" t="s">
        <v>29</v>
      </c>
      <c r="AB34" s="28" t="s">
        <v>29</v>
      </c>
      <c r="AC34" s="28" t="s">
        <v>29</v>
      </c>
      <c r="AD34" s="28" t="s">
        <v>29</v>
      </c>
      <c r="AE34" s="28" t="s">
        <v>29</v>
      </c>
      <c r="AF34" s="28" t="s">
        <v>29</v>
      </c>
      <c r="AG34" s="28" t="s">
        <v>29</v>
      </c>
      <c r="AH34" s="28" t="s">
        <v>29</v>
      </c>
      <c r="AI34" s="28" t="s">
        <v>29</v>
      </c>
      <c r="AJ34" s="54" t="s">
        <v>23</v>
      </c>
      <c r="AK34" s="54" t="s">
        <v>23</v>
      </c>
      <c r="AL34" s="54" t="s">
        <v>23</v>
      </c>
      <c r="AM34" s="54" t="s">
        <v>23</v>
      </c>
      <c r="AN34" s="239" t="s">
        <v>189</v>
      </c>
      <c r="AO34" s="239" t="s">
        <v>189</v>
      </c>
      <c r="AP34" s="202" t="s">
        <v>29</v>
      </c>
      <c r="AQ34" s="202" t="s">
        <v>29</v>
      </c>
      <c r="AR34" s="202" t="s">
        <v>29</v>
      </c>
    </row>
    <row r="35" spans="1:44" x14ac:dyDescent="0.2">
      <c r="B35" s="97" t="s">
        <v>53</v>
      </c>
      <c r="C35" s="16">
        <f>C30-C31-C32-C33-C34</f>
        <v>1181.6000000000001</v>
      </c>
      <c r="D35" s="36">
        <f>D30-D31-D32-D33-D34</f>
        <v>121.60000000000002</v>
      </c>
      <c r="E35" s="99">
        <f t="shared" si="14"/>
        <v>1303.2000000000003</v>
      </c>
      <c r="F35" s="29"/>
      <c r="G35" s="30"/>
      <c r="H35" s="593" t="str">
        <f t="shared" si="16"/>
        <v>Josiel</v>
      </c>
      <c r="I35" s="594"/>
      <c r="J35" s="222" t="s">
        <v>195</v>
      </c>
      <c r="K35" s="54" t="s">
        <v>23</v>
      </c>
      <c r="L35" s="222" t="s">
        <v>195</v>
      </c>
      <c r="M35" s="54" t="s">
        <v>23</v>
      </c>
      <c r="N35" s="222" t="s">
        <v>195</v>
      </c>
      <c r="O35" s="222" t="s">
        <v>195</v>
      </c>
      <c r="P35" s="222" t="s">
        <v>195</v>
      </c>
      <c r="Q35" s="222" t="s">
        <v>195</v>
      </c>
      <c r="R35" s="222" t="s">
        <v>195</v>
      </c>
      <c r="S35" s="222" t="s">
        <v>195</v>
      </c>
      <c r="T35" s="222" t="s">
        <v>195</v>
      </c>
      <c r="U35" s="222" t="s">
        <v>195</v>
      </c>
      <c r="V35" s="222" t="s">
        <v>195</v>
      </c>
      <c r="W35" s="28" t="s">
        <v>29</v>
      </c>
      <c r="X35" s="28" t="s">
        <v>29</v>
      </c>
      <c r="Y35" s="222" t="s">
        <v>195</v>
      </c>
      <c r="Z35" s="54" t="s">
        <v>23</v>
      </c>
      <c r="AA35" s="222" t="s">
        <v>195</v>
      </c>
      <c r="AB35" s="54" t="s">
        <v>23</v>
      </c>
      <c r="AC35" s="222" t="s">
        <v>195</v>
      </c>
      <c r="AD35" s="222" t="s">
        <v>195</v>
      </c>
      <c r="AE35" s="222" t="s">
        <v>195</v>
      </c>
      <c r="AF35" s="222" t="s">
        <v>195</v>
      </c>
      <c r="AG35" s="222" t="s">
        <v>195</v>
      </c>
      <c r="AH35" s="222" t="s">
        <v>195</v>
      </c>
      <c r="AI35" s="222" t="s">
        <v>195</v>
      </c>
      <c r="AJ35" s="222" t="s">
        <v>195</v>
      </c>
      <c r="AK35" s="222" t="s">
        <v>195</v>
      </c>
      <c r="AL35" s="222" t="s">
        <v>195</v>
      </c>
      <c r="AM35" s="222" t="s">
        <v>195</v>
      </c>
      <c r="AN35" s="222" t="s">
        <v>195</v>
      </c>
      <c r="AO35" s="54" t="s">
        <v>23</v>
      </c>
      <c r="AP35" s="222" t="s">
        <v>195</v>
      </c>
      <c r="AQ35" s="54" t="s">
        <v>23</v>
      </c>
      <c r="AR35" s="222" t="s">
        <v>195</v>
      </c>
    </row>
    <row r="36" spans="1:44" x14ac:dyDescent="0.2">
      <c r="B36" s="101" t="s">
        <v>130</v>
      </c>
      <c r="C36" s="76">
        <v>1</v>
      </c>
      <c r="D36" s="119">
        <v>0.8</v>
      </c>
      <c r="E36" s="120" t="s">
        <v>31</v>
      </c>
      <c r="F36" s="29"/>
      <c r="G36" s="30"/>
      <c r="H36" s="593" t="str">
        <f t="shared" si="16"/>
        <v>Fernando</v>
      </c>
      <c r="I36" s="594"/>
      <c r="J36" s="226" t="s">
        <v>62</v>
      </c>
      <c r="K36" s="226" t="s">
        <v>62</v>
      </c>
      <c r="L36" s="226" t="s">
        <v>62</v>
      </c>
      <c r="M36" s="220" t="s">
        <v>192</v>
      </c>
      <c r="N36" s="220" t="s">
        <v>192</v>
      </c>
      <c r="O36" s="220" t="s">
        <v>192</v>
      </c>
      <c r="P36" s="54" t="s">
        <v>23</v>
      </c>
      <c r="Q36" s="220" t="s">
        <v>192</v>
      </c>
      <c r="R36" s="54" t="s">
        <v>23</v>
      </c>
      <c r="S36" s="220" t="s">
        <v>192</v>
      </c>
      <c r="T36" s="200" t="s">
        <v>23</v>
      </c>
      <c r="U36" s="220" t="s">
        <v>192</v>
      </c>
      <c r="V36" s="200" t="s">
        <v>23</v>
      </c>
      <c r="W36" s="28" t="s">
        <v>29</v>
      </c>
      <c r="X36" s="232" t="s">
        <v>29</v>
      </c>
      <c r="Y36" s="220" t="s">
        <v>192</v>
      </c>
      <c r="Z36" s="220" t="s">
        <v>192</v>
      </c>
      <c r="AA36" s="220" t="s">
        <v>192</v>
      </c>
      <c r="AB36" s="220" t="s">
        <v>192</v>
      </c>
      <c r="AC36" s="220" t="s">
        <v>192</v>
      </c>
      <c r="AD36" s="220" t="s">
        <v>192</v>
      </c>
      <c r="AE36" s="220" t="s">
        <v>192</v>
      </c>
      <c r="AF36" s="220" t="s">
        <v>192</v>
      </c>
      <c r="AG36" s="220" t="s">
        <v>192</v>
      </c>
      <c r="AH36" s="220" t="s">
        <v>192</v>
      </c>
      <c r="AI36" s="220" t="s">
        <v>192</v>
      </c>
      <c r="AJ36" s="220" t="s">
        <v>192</v>
      </c>
      <c r="AK36" s="220" t="s">
        <v>192</v>
      </c>
      <c r="AL36" s="220" t="s">
        <v>192</v>
      </c>
      <c r="AM36" s="220" t="s">
        <v>192</v>
      </c>
      <c r="AN36" s="220" t="s">
        <v>192</v>
      </c>
      <c r="AO36" s="220" t="s">
        <v>192</v>
      </c>
      <c r="AP36" s="200" t="s">
        <v>23</v>
      </c>
      <c r="AQ36" s="200" t="s">
        <v>23</v>
      </c>
      <c r="AR36" s="200" t="s">
        <v>23</v>
      </c>
    </row>
    <row r="37" spans="1:44" x14ac:dyDescent="0.2">
      <c r="B37" s="101" t="s">
        <v>131</v>
      </c>
      <c r="C37" s="76">
        <f>IF(C28=0,0,C35/C28)</f>
        <v>4.9647058823529422</v>
      </c>
      <c r="D37" s="119">
        <f>IF(D28=0,0,D35/D28)</f>
        <v>3.5764705882352947</v>
      </c>
      <c r="E37" s="121">
        <f>((C37*C36)+(D37*D36))/(C36+D36)</f>
        <v>4.347712418300655</v>
      </c>
      <c r="F37" s="29"/>
      <c r="G37" s="30"/>
      <c r="H37" s="593" t="str">
        <f t="shared" si="16"/>
        <v>Elias</v>
      </c>
      <c r="I37" s="594"/>
      <c r="J37" s="226" t="s">
        <v>62</v>
      </c>
      <c r="K37" s="226" t="s">
        <v>62</v>
      </c>
      <c r="L37" s="226" t="s">
        <v>62</v>
      </c>
      <c r="M37" s="233" t="s">
        <v>62</v>
      </c>
      <c r="N37" s="233" t="s">
        <v>62</v>
      </c>
      <c r="O37" s="162" t="s">
        <v>51</v>
      </c>
      <c r="P37" s="162" t="s">
        <v>51</v>
      </c>
      <c r="Q37" s="162" t="s">
        <v>51</v>
      </c>
      <c r="R37" s="162" t="s">
        <v>51</v>
      </c>
      <c r="S37" s="162" t="s">
        <v>51</v>
      </c>
      <c r="T37" s="201" t="s">
        <v>51</v>
      </c>
      <c r="U37" s="162" t="s">
        <v>51</v>
      </c>
      <c r="V37" s="201" t="s">
        <v>51</v>
      </c>
      <c r="W37" s="28" t="s">
        <v>29</v>
      </c>
      <c r="X37" s="232" t="s">
        <v>29</v>
      </c>
      <c r="Y37" s="237" t="s">
        <v>198</v>
      </c>
      <c r="Z37" s="237" t="s">
        <v>198</v>
      </c>
      <c r="AA37" s="237" t="s">
        <v>198</v>
      </c>
      <c r="AB37" s="237" t="s">
        <v>198</v>
      </c>
      <c r="AC37" s="237" t="s">
        <v>198</v>
      </c>
      <c r="AD37" s="237" t="s">
        <v>198</v>
      </c>
      <c r="AE37" s="200" t="s">
        <v>23</v>
      </c>
      <c r="AF37" s="237" t="s">
        <v>198</v>
      </c>
      <c r="AG37" s="200" t="s">
        <v>23</v>
      </c>
      <c r="AH37" s="237" t="s">
        <v>198</v>
      </c>
      <c r="AI37" s="54" t="s">
        <v>23</v>
      </c>
      <c r="AJ37" s="229" t="s">
        <v>208</v>
      </c>
      <c r="AK37" s="229" t="s">
        <v>208</v>
      </c>
      <c r="AL37" s="54" t="s">
        <v>23</v>
      </c>
      <c r="AM37" s="229" t="s">
        <v>208</v>
      </c>
      <c r="AN37" s="201" t="s">
        <v>51</v>
      </c>
      <c r="AO37" s="201" t="s">
        <v>51</v>
      </c>
      <c r="AP37" s="201" t="s">
        <v>51</v>
      </c>
      <c r="AQ37" s="201" t="s">
        <v>51</v>
      </c>
      <c r="AR37" s="201" t="s">
        <v>51</v>
      </c>
    </row>
    <row r="38" spans="1:44" ht="17" thickBot="1" x14ac:dyDescent="0.25">
      <c r="B38" s="122" t="s">
        <v>132</v>
      </c>
      <c r="C38" s="123">
        <v>1</v>
      </c>
      <c r="D38" s="124">
        <f>C37/D37</f>
        <v>1.3881578947368423</v>
      </c>
      <c r="E38" s="125" t="s">
        <v>31</v>
      </c>
      <c r="F38" s="29"/>
      <c r="G38" s="30"/>
      <c r="H38" s="593" t="str">
        <f t="shared" si="16"/>
        <v>Ricardo</v>
      </c>
      <c r="I38" s="594"/>
      <c r="J38" s="226" t="s">
        <v>62</v>
      </c>
      <c r="K38" s="226" t="s">
        <v>62</v>
      </c>
      <c r="L38" s="226" t="s">
        <v>62</v>
      </c>
      <c r="M38" s="233" t="s">
        <v>62</v>
      </c>
      <c r="N38" s="233" t="s">
        <v>62</v>
      </c>
      <c r="O38" s="200" t="s">
        <v>23</v>
      </c>
      <c r="P38" s="200" t="s">
        <v>23</v>
      </c>
      <c r="Q38" s="200" t="s">
        <v>23</v>
      </c>
      <c r="R38" s="162" t="s">
        <v>51</v>
      </c>
      <c r="S38" s="162" t="s">
        <v>51</v>
      </c>
      <c r="T38" s="162" t="s">
        <v>51</v>
      </c>
      <c r="U38" s="162" t="s">
        <v>51</v>
      </c>
      <c r="V38" s="162" t="s">
        <v>51</v>
      </c>
      <c r="W38" s="28" t="s">
        <v>29</v>
      </c>
      <c r="X38" s="202" t="s">
        <v>29</v>
      </c>
      <c r="Y38" s="201" t="s">
        <v>51</v>
      </c>
      <c r="Z38" s="201" t="s">
        <v>51</v>
      </c>
      <c r="AA38" s="201" t="s">
        <v>51</v>
      </c>
      <c r="AB38" s="201" t="s">
        <v>51</v>
      </c>
      <c r="AC38" s="201" t="s">
        <v>51</v>
      </c>
      <c r="AD38" s="201" t="s">
        <v>51</v>
      </c>
      <c r="AE38" s="229" t="s">
        <v>208</v>
      </c>
      <c r="AF38" s="229" t="s">
        <v>208</v>
      </c>
      <c r="AG38" s="229" t="s">
        <v>208</v>
      </c>
      <c r="AH38" s="229" t="s">
        <v>208</v>
      </c>
      <c r="AI38" s="229" t="s">
        <v>208</v>
      </c>
      <c r="AJ38" s="229" t="s">
        <v>208</v>
      </c>
      <c r="AK38" s="229" t="s">
        <v>208</v>
      </c>
      <c r="AL38" s="229" t="s">
        <v>208</v>
      </c>
      <c r="AM38" s="229" t="s">
        <v>208</v>
      </c>
      <c r="AN38" s="229" t="s">
        <v>208</v>
      </c>
      <c r="AO38" s="229" t="s">
        <v>208</v>
      </c>
      <c r="AP38" s="229" t="s">
        <v>208</v>
      </c>
      <c r="AQ38" s="229" t="s">
        <v>208</v>
      </c>
      <c r="AR38" s="229" t="s">
        <v>208</v>
      </c>
    </row>
    <row r="39" spans="1:44" x14ac:dyDescent="0.2">
      <c r="B39" s="7"/>
      <c r="F39" s="29"/>
      <c r="G39" s="30"/>
      <c r="H39"/>
      <c r="I39" s="7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44" x14ac:dyDescent="0.2">
      <c r="F40" s="29"/>
      <c r="G40" s="30"/>
    </row>
    <row r="41" spans="1:44" x14ac:dyDescent="0.2">
      <c r="F41" s="29"/>
      <c r="G41" s="30"/>
      <c r="J41" s="697" t="s">
        <v>96</v>
      </c>
      <c r="K41" s="697"/>
      <c r="L41" s="697"/>
      <c r="M41" s="697"/>
      <c r="N41" s="697"/>
      <c r="O41" s="697"/>
      <c r="P41" s="697"/>
      <c r="Q41" s="697"/>
      <c r="R41" s="697"/>
      <c r="S41" s="697"/>
      <c r="T41" s="697"/>
      <c r="U41" s="697"/>
      <c r="V41" s="697"/>
      <c r="W41" s="697"/>
      <c r="X41" s="697"/>
      <c r="Y41" s="697"/>
      <c r="Z41" s="697"/>
      <c r="AA41" s="697"/>
      <c r="AB41" s="697"/>
      <c r="AC41" s="697"/>
      <c r="AD41" s="697"/>
      <c r="AE41" s="697"/>
      <c r="AF41" s="697"/>
      <c r="AG41" s="697"/>
      <c r="AH41" s="697"/>
      <c r="AI41" s="697"/>
      <c r="AJ41" s="697"/>
      <c r="AK41" s="697"/>
      <c r="AL41" s="697"/>
      <c r="AM41" s="697"/>
      <c r="AN41" s="697"/>
      <c r="AO41" s="697"/>
      <c r="AP41" s="697"/>
      <c r="AQ41" s="697"/>
      <c r="AR41" s="697"/>
    </row>
    <row r="42" spans="1:44" x14ac:dyDescent="0.2">
      <c r="F42" s="29"/>
      <c r="G42" s="30"/>
      <c r="H42"/>
      <c r="I42" s="7"/>
      <c r="J42" s="600" t="s">
        <v>43</v>
      </c>
      <c r="K42" s="601"/>
      <c r="L42" s="601"/>
      <c r="M42" s="601"/>
      <c r="N42" s="602"/>
      <c r="O42" s="600" t="s">
        <v>44</v>
      </c>
      <c r="P42" s="601"/>
      <c r="Q42" s="601"/>
      <c r="R42" s="601"/>
      <c r="S42" s="602"/>
      <c r="T42" s="600" t="s">
        <v>45</v>
      </c>
      <c r="U42" s="601"/>
      <c r="V42" s="601"/>
      <c r="W42" s="601"/>
      <c r="X42" s="602"/>
      <c r="Y42" s="600" t="s">
        <v>46</v>
      </c>
      <c r="Z42" s="601"/>
      <c r="AA42" s="601"/>
      <c r="AB42" s="601"/>
      <c r="AC42" s="602"/>
      <c r="AD42" s="600" t="s">
        <v>47</v>
      </c>
      <c r="AE42" s="601"/>
      <c r="AF42" s="601"/>
      <c r="AG42" s="601"/>
      <c r="AH42" s="602"/>
      <c r="AI42" s="600" t="s">
        <v>83</v>
      </c>
      <c r="AJ42" s="601"/>
      <c r="AK42" s="601"/>
      <c r="AL42" s="601"/>
      <c r="AM42" s="602"/>
      <c r="AN42" s="600" t="s">
        <v>210</v>
      </c>
      <c r="AO42" s="601"/>
      <c r="AP42" s="601"/>
      <c r="AQ42" s="601"/>
      <c r="AR42" s="602"/>
    </row>
    <row r="43" spans="1:44" x14ac:dyDescent="0.2">
      <c r="F43" s="29"/>
      <c r="G43" s="30"/>
      <c r="H43" s="600" t="s">
        <v>49</v>
      </c>
      <c r="I43" s="602"/>
      <c r="J43" s="15">
        <f t="shared" ref="J43:AR43" si="17">$E$17+(7*ROUNDDOWN((COLUMN(J$30)-COLUMN($J$30))/5,0))+MOD(COLUMN(J$30)-COLUMN($J$30),5)</f>
        <v>45425</v>
      </c>
      <c r="K43" s="15">
        <f t="shared" si="17"/>
        <v>45426</v>
      </c>
      <c r="L43" s="15">
        <f t="shared" si="17"/>
        <v>45427</v>
      </c>
      <c r="M43" s="15">
        <f t="shared" si="17"/>
        <v>45428</v>
      </c>
      <c r="N43" s="15">
        <f t="shared" si="17"/>
        <v>45429</v>
      </c>
      <c r="O43" s="15">
        <f t="shared" si="17"/>
        <v>45432</v>
      </c>
      <c r="P43" s="15">
        <f t="shared" si="17"/>
        <v>45433</v>
      </c>
      <c r="Q43" s="15">
        <f t="shared" si="17"/>
        <v>45434</v>
      </c>
      <c r="R43" s="15">
        <f t="shared" si="17"/>
        <v>45435</v>
      </c>
      <c r="S43" s="15">
        <f t="shared" si="17"/>
        <v>45436</v>
      </c>
      <c r="T43" s="15">
        <f t="shared" si="17"/>
        <v>45439</v>
      </c>
      <c r="U43" s="15">
        <f t="shared" si="17"/>
        <v>45440</v>
      </c>
      <c r="V43" s="15">
        <f t="shared" si="17"/>
        <v>45441</v>
      </c>
      <c r="W43" s="15">
        <f t="shared" si="17"/>
        <v>45442</v>
      </c>
      <c r="X43" s="15">
        <f t="shared" si="17"/>
        <v>45443</v>
      </c>
      <c r="Y43" s="15">
        <f t="shared" si="17"/>
        <v>45446</v>
      </c>
      <c r="Z43" s="15">
        <f t="shared" si="17"/>
        <v>45447</v>
      </c>
      <c r="AA43" s="15">
        <f t="shared" si="17"/>
        <v>45448</v>
      </c>
      <c r="AB43" s="15">
        <f t="shared" si="17"/>
        <v>45449</v>
      </c>
      <c r="AC43" s="15">
        <f t="shared" si="17"/>
        <v>45450</v>
      </c>
      <c r="AD43" s="15">
        <f t="shared" si="17"/>
        <v>45453</v>
      </c>
      <c r="AE43" s="15">
        <f t="shared" si="17"/>
        <v>45454</v>
      </c>
      <c r="AF43" s="15">
        <f t="shared" si="17"/>
        <v>45455</v>
      </c>
      <c r="AG43" s="15">
        <f t="shared" si="17"/>
        <v>45456</v>
      </c>
      <c r="AH43" s="15">
        <f t="shared" si="17"/>
        <v>45457</v>
      </c>
      <c r="AI43" s="15">
        <f t="shared" si="17"/>
        <v>45460</v>
      </c>
      <c r="AJ43" s="15">
        <f t="shared" si="17"/>
        <v>45461</v>
      </c>
      <c r="AK43" s="15">
        <f t="shared" si="17"/>
        <v>45462</v>
      </c>
      <c r="AL43" s="15">
        <f t="shared" si="17"/>
        <v>45463</v>
      </c>
      <c r="AM43" s="15">
        <f t="shared" si="17"/>
        <v>45464</v>
      </c>
      <c r="AN43" s="15">
        <f t="shared" si="17"/>
        <v>45467</v>
      </c>
      <c r="AO43" s="15">
        <f t="shared" si="17"/>
        <v>45468</v>
      </c>
      <c r="AP43" s="15">
        <f t="shared" si="17"/>
        <v>45469</v>
      </c>
      <c r="AQ43" s="15">
        <f t="shared" si="17"/>
        <v>45470</v>
      </c>
      <c r="AR43" s="15">
        <f t="shared" si="17"/>
        <v>45471</v>
      </c>
    </row>
    <row r="44" spans="1:44" x14ac:dyDescent="0.2">
      <c r="F44" s="29"/>
      <c r="G44" s="30"/>
      <c r="H44" s="593" t="str">
        <f t="shared" ref="H44:H51" si="18">$D4</f>
        <v>Arthur Mota</v>
      </c>
      <c r="I44" s="594"/>
      <c r="J44" s="210" t="s">
        <v>181</v>
      </c>
      <c r="K44" s="210" t="s">
        <v>181</v>
      </c>
      <c r="L44" s="210" t="s">
        <v>181</v>
      </c>
      <c r="M44" s="210" t="s">
        <v>181</v>
      </c>
      <c r="N44" s="210" t="s">
        <v>181</v>
      </c>
      <c r="O44" s="210" t="s">
        <v>181</v>
      </c>
      <c r="P44" s="210" t="s">
        <v>181</v>
      </c>
      <c r="Q44" s="210" t="s">
        <v>181</v>
      </c>
      <c r="R44" s="210" t="s">
        <v>181</v>
      </c>
      <c r="S44" s="210" t="s">
        <v>181</v>
      </c>
      <c r="T44" s="210" t="s">
        <v>181</v>
      </c>
      <c r="U44" s="210" t="s">
        <v>181</v>
      </c>
      <c r="V44" s="210" t="s">
        <v>181</v>
      </c>
      <c r="W44" s="215" t="s">
        <v>29</v>
      </c>
      <c r="X44" s="217" t="s">
        <v>178</v>
      </c>
      <c r="Y44" s="216" t="s">
        <v>23</v>
      </c>
      <c r="Z44" s="217" t="s">
        <v>178</v>
      </c>
      <c r="AA44" s="103" t="s">
        <v>23</v>
      </c>
      <c r="AB44" s="217" t="s">
        <v>178</v>
      </c>
      <c r="AC44" s="103" t="s">
        <v>23</v>
      </c>
      <c r="AD44" s="217" t="s">
        <v>178</v>
      </c>
      <c r="AE44" s="217" t="s">
        <v>178</v>
      </c>
      <c r="AF44" s="217" t="s">
        <v>178</v>
      </c>
      <c r="AG44" s="217" t="s">
        <v>178</v>
      </c>
      <c r="AH44" s="217" t="s">
        <v>178</v>
      </c>
      <c r="AI44" s="217" t="s">
        <v>178</v>
      </c>
      <c r="AJ44" s="217" t="s">
        <v>178</v>
      </c>
      <c r="AK44" s="217" t="s">
        <v>178</v>
      </c>
      <c r="AL44" s="217" t="s">
        <v>178</v>
      </c>
      <c r="AM44" s="217" t="s">
        <v>178</v>
      </c>
      <c r="AN44" s="103" t="s">
        <v>23</v>
      </c>
      <c r="AO44" s="217" t="s">
        <v>178</v>
      </c>
      <c r="AP44" s="103" t="s">
        <v>23</v>
      </c>
      <c r="AQ44" s="217" t="s">
        <v>178</v>
      </c>
      <c r="AR44" s="103" t="s">
        <v>23</v>
      </c>
    </row>
    <row r="45" spans="1:44" x14ac:dyDescent="0.2">
      <c r="F45" s="29"/>
      <c r="G45" s="30"/>
      <c r="H45" s="593" t="str">
        <f t="shared" si="18"/>
        <v>Andréa</v>
      </c>
      <c r="I45" s="683"/>
      <c r="J45" s="54" t="s">
        <v>23</v>
      </c>
      <c r="K45" s="212" t="s">
        <v>160</v>
      </c>
      <c r="L45" s="54" t="s">
        <v>23</v>
      </c>
      <c r="M45" s="212" t="s">
        <v>160</v>
      </c>
      <c r="N45" s="54" t="s">
        <v>23</v>
      </c>
      <c r="O45" s="212" t="s">
        <v>160</v>
      </c>
      <c r="P45" s="212" t="s">
        <v>160</v>
      </c>
      <c r="Q45" s="212" t="s">
        <v>160</v>
      </c>
      <c r="R45" s="212" t="s">
        <v>160</v>
      </c>
      <c r="S45" s="212" t="s">
        <v>160</v>
      </c>
      <c r="T45" s="212" t="s">
        <v>160</v>
      </c>
      <c r="U45" s="212" t="s">
        <v>160</v>
      </c>
      <c r="V45" s="212" t="s">
        <v>160</v>
      </c>
      <c r="W45" s="28" t="s">
        <v>29</v>
      </c>
      <c r="X45" s="28" t="s">
        <v>29</v>
      </c>
      <c r="Y45" s="218" t="s">
        <v>160</v>
      </c>
      <c r="Z45" s="218" t="s">
        <v>160</v>
      </c>
      <c r="AA45" s="218" t="s">
        <v>160</v>
      </c>
      <c r="AB45" s="166" t="s">
        <v>189</v>
      </c>
      <c r="AC45" s="166" t="s">
        <v>189</v>
      </c>
      <c r="AD45" s="103" t="s">
        <v>23</v>
      </c>
      <c r="AE45" s="166" t="s">
        <v>189</v>
      </c>
      <c r="AF45" s="166" t="s">
        <v>189</v>
      </c>
      <c r="AG45" s="166" t="s">
        <v>189</v>
      </c>
      <c r="AH45" s="103" t="s">
        <v>23</v>
      </c>
      <c r="AI45" s="28" t="s">
        <v>29</v>
      </c>
      <c r="AJ45" s="28" t="s">
        <v>29</v>
      </c>
      <c r="AK45" s="28" t="s">
        <v>29</v>
      </c>
      <c r="AL45" s="28" t="s">
        <v>29</v>
      </c>
      <c r="AM45" s="28" t="s">
        <v>29</v>
      </c>
      <c r="AN45" s="166" t="s">
        <v>189</v>
      </c>
      <c r="AO45" s="166" t="s">
        <v>189</v>
      </c>
      <c r="AP45" s="166" t="s">
        <v>189</v>
      </c>
      <c r="AQ45" s="166" t="s">
        <v>189</v>
      </c>
      <c r="AR45" s="166" t="s">
        <v>189</v>
      </c>
    </row>
    <row r="46" spans="1:44" x14ac:dyDescent="0.2">
      <c r="F46" s="29"/>
      <c r="G46" s="30"/>
      <c r="H46" s="593" t="str">
        <f t="shared" si="18"/>
        <v>André</v>
      </c>
      <c r="I46" s="683"/>
      <c r="J46" s="214" t="s">
        <v>186</v>
      </c>
      <c r="K46" s="214" t="s">
        <v>186</v>
      </c>
      <c r="L46" s="214" t="s">
        <v>186</v>
      </c>
      <c r="M46" s="214" t="s">
        <v>186</v>
      </c>
      <c r="N46" s="214" t="s">
        <v>186</v>
      </c>
      <c r="O46" s="54" t="s">
        <v>23</v>
      </c>
      <c r="P46" s="214" t="s">
        <v>186</v>
      </c>
      <c r="Q46" s="54" t="s">
        <v>23</v>
      </c>
      <c r="R46" s="214" t="s">
        <v>186</v>
      </c>
      <c r="S46" s="54" t="s">
        <v>23</v>
      </c>
      <c r="T46" s="214" t="s">
        <v>186</v>
      </c>
      <c r="U46" s="214" t="s">
        <v>186</v>
      </c>
      <c r="V46" s="214" t="s">
        <v>186</v>
      </c>
      <c r="W46" s="28" t="s">
        <v>29</v>
      </c>
      <c r="X46" s="28" t="s">
        <v>29</v>
      </c>
      <c r="Y46" s="214" t="s">
        <v>186</v>
      </c>
      <c r="Z46" s="214" t="s">
        <v>186</v>
      </c>
      <c r="AA46" s="214" t="s">
        <v>186</v>
      </c>
      <c r="AB46" s="214" t="s">
        <v>186</v>
      </c>
      <c r="AC46" s="214" t="s">
        <v>186</v>
      </c>
      <c r="AD46" s="214" t="s">
        <v>186</v>
      </c>
      <c r="AE46" s="214" t="s">
        <v>186</v>
      </c>
      <c r="AF46" s="103" t="s">
        <v>23</v>
      </c>
      <c r="AG46" s="214" t="s">
        <v>186</v>
      </c>
      <c r="AH46" s="214" t="s">
        <v>186</v>
      </c>
      <c r="AI46" s="214" t="s">
        <v>186</v>
      </c>
      <c r="AJ46" s="214" t="s">
        <v>186</v>
      </c>
      <c r="AK46" s="214" t="s">
        <v>186</v>
      </c>
      <c r="AL46" s="214" t="s">
        <v>186</v>
      </c>
      <c r="AM46" s="214" t="s">
        <v>186</v>
      </c>
      <c r="AN46" s="28" t="s">
        <v>29</v>
      </c>
      <c r="AO46" s="28" t="s">
        <v>29</v>
      </c>
      <c r="AP46" s="28" t="s">
        <v>29</v>
      </c>
      <c r="AQ46" s="28" t="s">
        <v>29</v>
      </c>
      <c r="AR46" s="28" t="s">
        <v>29</v>
      </c>
    </row>
    <row r="47" spans="1:44" x14ac:dyDescent="0.2">
      <c r="F47" s="29"/>
      <c r="G47" s="30"/>
      <c r="H47" s="593" t="str">
        <f t="shared" si="18"/>
        <v>Marcela</v>
      </c>
      <c r="I47" s="594"/>
      <c r="J47" s="223" t="s">
        <v>181</v>
      </c>
      <c r="K47" s="210" t="s">
        <v>181</v>
      </c>
      <c r="L47" s="210" t="s">
        <v>181</v>
      </c>
      <c r="M47" s="210" t="s">
        <v>181</v>
      </c>
      <c r="N47" s="210" t="s">
        <v>181</v>
      </c>
      <c r="O47" s="210" t="s">
        <v>181</v>
      </c>
      <c r="P47" s="210" t="s">
        <v>181</v>
      </c>
      <c r="Q47" s="210" t="s">
        <v>181</v>
      </c>
      <c r="R47" s="210" t="s">
        <v>181</v>
      </c>
      <c r="S47" s="223" t="s">
        <v>181</v>
      </c>
      <c r="T47" s="54" t="s">
        <v>23</v>
      </c>
      <c r="U47" s="54" t="s">
        <v>23</v>
      </c>
      <c r="V47" s="54" t="s">
        <v>23</v>
      </c>
      <c r="W47" s="28" t="s">
        <v>29</v>
      </c>
      <c r="X47" s="28" t="s">
        <v>29</v>
      </c>
      <c r="Y47" s="28" t="s">
        <v>29</v>
      </c>
      <c r="Z47" s="28" t="s">
        <v>29</v>
      </c>
      <c r="AA47" s="28" t="s">
        <v>29</v>
      </c>
      <c r="AB47" s="28" t="s">
        <v>29</v>
      </c>
      <c r="AC47" s="28" t="s">
        <v>29</v>
      </c>
      <c r="AD47" s="28" t="s">
        <v>29</v>
      </c>
      <c r="AE47" s="28" t="s">
        <v>29</v>
      </c>
      <c r="AF47" s="28" t="s">
        <v>29</v>
      </c>
      <c r="AG47" s="28" t="s">
        <v>29</v>
      </c>
      <c r="AH47" s="28" t="s">
        <v>29</v>
      </c>
      <c r="AI47" s="28" t="s">
        <v>29</v>
      </c>
      <c r="AJ47" s="54" t="s">
        <v>23</v>
      </c>
      <c r="AK47" s="54" t="s">
        <v>23</v>
      </c>
      <c r="AL47" s="214" t="s">
        <v>186</v>
      </c>
      <c r="AM47" s="54" t="s">
        <v>23</v>
      </c>
      <c r="AN47" s="214" t="s">
        <v>186</v>
      </c>
      <c r="AO47" s="214" t="s">
        <v>186</v>
      </c>
      <c r="AP47" s="214" t="s">
        <v>186</v>
      </c>
      <c r="AQ47" s="214" t="s">
        <v>186</v>
      </c>
      <c r="AR47" s="214" t="s">
        <v>186</v>
      </c>
    </row>
    <row r="48" spans="1:44" ht="16" customHeight="1" x14ac:dyDescent="0.2">
      <c r="A48" s="8"/>
      <c r="F48" s="29"/>
      <c r="G48" s="30"/>
      <c r="H48" s="593" t="str">
        <f t="shared" si="18"/>
        <v>Josiel</v>
      </c>
      <c r="I48" s="594"/>
      <c r="J48" s="225" t="s">
        <v>195</v>
      </c>
      <c r="K48" s="54" t="s">
        <v>23</v>
      </c>
      <c r="L48" s="225" t="s">
        <v>195</v>
      </c>
      <c r="M48" s="54" t="s">
        <v>23</v>
      </c>
      <c r="N48" s="225" t="s">
        <v>195</v>
      </c>
      <c r="O48" s="225" t="s">
        <v>195</v>
      </c>
      <c r="P48" s="225" t="s">
        <v>195</v>
      </c>
      <c r="Q48" s="225" t="s">
        <v>195</v>
      </c>
      <c r="R48" s="225" t="s">
        <v>195</v>
      </c>
      <c r="S48" s="225" t="s">
        <v>195</v>
      </c>
      <c r="T48" s="225" t="s">
        <v>195</v>
      </c>
      <c r="U48" s="225" t="s">
        <v>195</v>
      </c>
      <c r="V48" s="225" t="s">
        <v>195</v>
      </c>
      <c r="W48" s="28" t="s">
        <v>29</v>
      </c>
      <c r="X48" s="28" t="s">
        <v>29</v>
      </c>
      <c r="Y48" s="225" t="s">
        <v>195</v>
      </c>
      <c r="Z48" s="54" t="s">
        <v>23</v>
      </c>
      <c r="AA48" s="225" t="s">
        <v>195</v>
      </c>
      <c r="AB48" s="54" t="s">
        <v>23</v>
      </c>
      <c r="AC48" s="225" t="s">
        <v>195</v>
      </c>
      <c r="AD48" s="225" t="s">
        <v>195</v>
      </c>
      <c r="AE48" s="225" t="s">
        <v>195</v>
      </c>
      <c r="AF48" s="225" t="s">
        <v>195</v>
      </c>
      <c r="AG48" s="225" t="s">
        <v>195</v>
      </c>
      <c r="AH48" s="225" t="s">
        <v>195</v>
      </c>
      <c r="AI48" s="222" t="s">
        <v>195</v>
      </c>
      <c r="AJ48" s="222" t="s">
        <v>195</v>
      </c>
      <c r="AK48" s="222" t="s">
        <v>195</v>
      </c>
      <c r="AL48" s="222" t="s">
        <v>195</v>
      </c>
      <c r="AM48" s="222" t="s">
        <v>195</v>
      </c>
      <c r="AN48" s="225" t="s">
        <v>195</v>
      </c>
      <c r="AO48" s="54" t="s">
        <v>23</v>
      </c>
      <c r="AP48" s="225" t="s">
        <v>195</v>
      </c>
      <c r="AQ48" s="54" t="s">
        <v>23</v>
      </c>
      <c r="AR48" s="225" t="s">
        <v>195</v>
      </c>
    </row>
    <row r="49" spans="1:44" x14ac:dyDescent="0.2">
      <c r="A49" s="8"/>
      <c r="F49" s="31"/>
      <c r="G49" s="32"/>
      <c r="H49" s="593" t="str">
        <f t="shared" si="18"/>
        <v>Fernando</v>
      </c>
      <c r="I49" s="683"/>
      <c r="J49" s="226" t="s">
        <v>62</v>
      </c>
      <c r="K49" s="226" t="s">
        <v>62</v>
      </c>
      <c r="L49" s="226" t="s">
        <v>62</v>
      </c>
      <c r="M49" s="220" t="s">
        <v>192</v>
      </c>
      <c r="N49" s="220" t="s">
        <v>192</v>
      </c>
      <c r="O49" s="224" t="s">
        <v>192</v>
      </c>
      <c r="P49" s="54" t="s">
        <v>23</v>
      </c>
      <c r="Q49" s="220" t="s">
        <v>192</v>
      </c>
      <c r="R49" s="54" t="s">
        <v>23</v>
      </c>
      <c r="S49" s="220" t="s">
        <v>192</v>
      </c>
      <c r="T49" s="220" t="s">
        <v>192</v>
      </c>
      <c r="U49" s="220" t="s">
        <v>192</v>
      </c>
      <c r="V49" s="220" t="s">
        <v>192</v>
      </c>
      <c r="W49" s="28" t="s">
        <v>29</v>
      </c>
      <c r="X49" s="232" t="s">
        <v>29</v>
      </c>
      <c r="Y49" s="220" t="s">
        <v>192</v>
      </c>
      <c r="Z49" s="220" t="s">
        <v>192</v>
      </c>
      <c r="AA49" s="220" t="s">
        <v>192</v>
      </c>
      <c r="AB49" s="220" t="s">
        <v>192</v>
      </c>
      <c r="AC49" s="220" t="s">
        <v>192</v>
      </c>
      <c r="AD49" s="220" t="s">
        <v>192</v>
      </c>
      <c r="AE49" s="54" t="s">
        <v>23</v>
      </c>
      <c r="AF49" s="220" t="s">
        <v>192</v>
      </c>
      <c r="AG49" s="54" t="s">
        <v>23</v>
      </c>
      <c r="AH49" s="220" t="s">
        <v>192</v>
      </c>
      <c r="AI49" s="220" t="s">
        <v>192</v>
      </c>
      <c r="AJ49" s="220" t="s">
        <v>192</v>
      </c>
      <c r="AK49" s="220" t="s">
        <v>192</v>
      </c>
      <c r="AL49" s="220" t="s">
        <v>192</v>
      </c>
      <c r="AM49" s="220" t="s">
        <v>192</v>
      </c>
      <c r="AN49" s="220" t="s">
        <v>192</v>
      </c>
      <c r="AO49" s="220" t="s">
        <v>192</v>
      </c>
      <c r="AP49" s="220" t="s">
        <v>192</v>
      </c>
      <c r="AQ49" s="220" t="s">
        <v>192</v>
      </c>
      <c r="AR49" s="220" t="s">
        <v>192</v>
      </c>
    </row>
    <row r="50" spans="1:44" x14ac:dyDescent="0.2">
      <c r="A50" s="8"/>
      <c r="F50" s="29"/>
      <c r="G50" s="30"/>
      <c r="H50" s="593" t="str">
        <f t="shared" si="18"/>
        <v>Elias</v>
      </c>
      <c r="I50" s="683"/>
      <c r="J50" s="226" t="s">
        <v>62</v>
      </c>
      <c r="K50" s="226" t="s">
        <v>62</v>
      </c>
      <c r="L50" s="227" t="s">
        <v>62</v>
      </c>
      <c r="M50" s="162" t="s">
        <v>51</v>
      </c>
      <c r="N50" s="162" t="s">
        <v>51</v>
      </c>
      <c r="O50" s="162" t="s">
        <v>51</v>
      </c>
      <c r="P50" s="162" t="s">
        <v>51</v>
      </c>
      <c r="Q50" s="162" t="s">
        <v>51</v>
      </c>
      <c r="R50" s="162" t="s">
        <v>51</v>
      </c>
      <c r="S50" s="162" t="s">
        <v>51</v>
      </c>
      <c r="T50" s="54" t="s">
        <v>23</v>
      </c>
      <c r="U50" s="162" t="s">
        <v>51</v>
      </c>
      <c r="V50" s="54" t="s">
        <v>23</v>
      </c>
      <c r="W50" s="28" t="s">
        <v>29</v>
      </c>
      <c r="X50" s="232" t="s">
        <v>29</v>
      </c>
      <c r="Y50" s="229" t="s">
        <v>208</v>
      </c>
      <c r="Z50" s="229" t="s">
        <v>208</v>
      </c>
      <c r="AA50" s="229" t="s">
        <v>208</v>
      </c>
      <c r="AB50" s="229" t="s">
        <v>208</v>
      </c>
      <c r="AC50" s="229" t="s">
        <v>208</v>
      </c>
      <c r="AD50" s="229" t="s">
        <v>208</v>
      </c>
      <c r="AE50" s="229" t="s">
        <v>208</v>
      </c>
      <c r="AF50" s="229" t="s">
        <v>208</v>
      </c>
      <c r="AG50" s="229" t="s">
        <v>208</v>
      </c>
      <c r="AH50" s="229" t="s">
        <v>208</v>
      </c>
      <c r="AI50" s="54" t="s">
        <v>23</v>
      </c>
      <c r="AJ50" s="229" t="s">
        <v>208</v>
      </c>
      <c r="AK50" s="229" t="s">
        <v>208</v>
      </c>
      <c r="AL50" s="54" t="s">
        <v>23</v>
      </c>
      <c r="AM50" s="229" t="s">
        <v>208</v>
      </c>
      <c r="AN50" s="229" t="s">
        <v>208</v>
      </c>
      <c r="AO50" s="229" t="s">
        <v>208</v>
      </c>
      <c r="AP50" s="229" t="s">
        <v>208</v>
      </c>
      <c r="AQ50" s="229" t="s">
        <v>208</v>
      </c>
      <c r="AR50" s="229" t="s">
        <v>208</v>
      </c>
    </row>
    <row r="51" spans="1:44" x14ac:dyDescent="0.2">
      <c r="F51" s="29"/>
      <c r="G51" s="30"/>
      <c r="H51" s="593" t="str">
        <f t="shared" si="18"/>
        <v>Ricardo</v>
      </c>
      <c r="I51" s="594"/>
      <c r="J51" s="226" t="s">
        <v>62</v>
      </c>
      <c r="K51" s="226" t="s">
        <v>62</v>
      </c>
      <c r="L51" s="226" t="s">
        <v>62</v>
      </c>
      <c r="M51" s="162" t="s">
        <v>51</v>
      </c>
      <c r="N51" s="162" t="s">
        <v>51</v>
      </c>
      <c r="O51" s="162" t="s">
        <v>51</v>
      </c>
      <c r="P51" s="162" t="s">
        <v>51</v>
      </c>
      <c r="Q51" s="162" t="s">
        <v>51</v>
      </c>
      <c r="R51" s="162" t="s">
        <v>51</v>
      </c>
      <c r="S51" s="162" t="s">
        <v>51</v>
      </c>
      <c r="T51" s="162" t="s">
        <v>51</v>
      </c>
      <c r="U51" s="162" t="s">
        <v>51</v>
      </c>
      <c r="V51" s="162" t="s">
        <v>51</v>
      </c>
      <c r="W51" s="28" t="s">
        <v>29</v>
      </c>
      <c r="X51" s="229" t="s">
        <v>208</v>
      </c>
      <c r="Y51" s="229" t="s">
        <v>208</v>
      </c>
      <c r="Z51" s="229" t="s">
        <v>208</v>
      </c>
      <c r="AA51" s="229" t="s">
        <v>208</v>
      </c>
      <c r="AB51" s="229" t="s">
        <v>208</v>
      </c>
      <c r="AC51" s="229" t="s">
        <v>208</v>
      </c>
      <c r="AD51" s="229" t="s">
        <v>208</v>
      </c>
      <c r="AE51" s="229" t="s">
        <v>208</v>
      </c>
      <c r="AF51" s="229" t="s">
        <v>208</v>
      </c>
      <c r="AG51" s="229" t="s">
        <v>208</v>
      </c>
      <c r="AH51" s="229" t="s">
        <v>208</v>
      </c>
      <c r="AI51" s="229" t="s">
        <v>208</v>
      </c>
      <c r="AJ51" s="229" t="s">
        <v>208</v>
      </c>
      <c r="AK51" s="229" t="s">
        <v>208</v>
      </c>
      <c r="AL51" s="229" t="s">
        <v>208</v>
      </c>
      <c r="AM51" s="229" t="s">
        <v>208</v>
      </c>
      <c r="AN51" s="229" t="s">
        <v>208</v>
      </c>
      <c r="AO51" s="229" t="s">
        <v>208</v>
      </c>
      <c r="AP51" s="229" t="s">
        <v>208</v>
      </c>
      <c r="AQ51" s="229" t="s">
        <v>208</v>
      </c>
      <c r="AR51" s="229" t="s">
        <v>208</v>
      </c>
    </row>
    <row r="52" spans="1:44" ht="17" thickBot="1" x14ac:dyDescent="0.25">
      <c r="F52" s="33"/>
      <c r="G52" s="30"/>
      <c r="S52"/>
      <c r="T52"/>
      <c r="U52"/>
      <c r="V52"/>
      <c r="X52"/>
      <c r="Y52"/>
      <c r="Z52"/>
      <c r="AA52"/>
      <c r="AB52"/>
      <c r="AC52"/>
      <c r="AD52"/>
      <c r="AE52"/>
      <c r="AF52"/>
    </row>
    <row r="53" spans="1:44" x14ac:dyDescent="0.2">
      <c r="F53" s="33"/>
      <c r="G53" s="30"/>
      <c r="J53" s="186" t="str">
        <f>AP6</f>
        <v>Eng</v>
      </c>
      <c r="K53" s="187" cm="1">
        <f t="array" ref="K53:K57">SUMIFS(AD6:AD25, S6:S25, AP6:AP10)</f>
        <v>51</v>
      </c>
      <c r="L53" s="183">
        <f>IF($K$58=0,0,K53/$K$58)</f>
        <v>0.21249999999999999</v>
      </c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44" x14ac:dyDescent="0.2">
      <c r="F54" s="33"/>
      <c r="G54" s="30"/>
      <c r="J54" s="188" t="str">
        <f>AP7</f>
        <v>Prod</v>
      </c>
      <c r="K54" s="189">
        <v>129</v>
      </c>
      <c r="L54" s="191">
        <f t="shared" ref="L54:L57" si="19">IF($K$58=0,0,K54/$K$58)</f>
        <v>0.53749999999999998</v>
      </c>
      <c r="AA54"/>
      <c r="AD54"/>
      <c r="AE54"/>
      <c r="AF54"/>
    </row>
    <row r="55" spans="1:44" x14ac:dyDescent="0.2">
      <c r="F55" s="33"/>
      <c r="G55" s="30"/>
      <c r="H55"/>
      <c r="J55" s="188" t="str">
        <f>AP8</f>
        <v>Day-by-Day</v>
      </c>
      <c r="K55" s="189">
        <v>0</v>
      </c>
      <c r="L55" s="191">
        <f t="shared" si="19"/>
        <v>0</v>
      </c>
      <c r="N55"/>
      <c r="O55"/>
      <c r="P55"/>
      <c r="R55"/>
      <c r="S55"/>
      <c r="T55"/>
      <c r="U55"/>
      <c r="V55"/>
      <c r="X55"/>
      <c r="Y55"/>
      <c r="Z55"/>
      <c r="AB55"/>
      <c r="AC55"/>
      <c r="AD55"/>
      <c r="AE55"/>
      <c r="AF55"/>
    </row>
    <row r="56" spans="1:44" x14ac:dyDescent="0.2">
      <c r="F56" s="33"/>
      <c r="G56" s="30"/>
      <c r="H56"/>
      <c r="I56" s="7"/>
      <c r="J56" s="184" t="str">
        <f>AP9</f>
        <v>Out</v>
      </c>
      <c r="K56" s="189">
        <v>30</v>
      </c>
      <c r="L56" s="192">
        <f t="shared" si="19"/>
        <v>0.125</v>
      </c>
      <c r="M56"/>
      <c r="N56"/>
      <c r="O56"/>
      <c r="P56"/>
      <c r="R56"/>
      <c r="S56"/>
      <c r="T56"/>
      <c r="U56"/>
      <c r="V56"/>
      <c r="X56"/>
      <c r="Y56"/>
      <c r="Z56"/>
      <c r="AA56"/>
      <c r="AB56"/>
      <c r="AC56"/>
      <c r="AD56"/>
      <c r="AE56"/>
      <c r="AF56"/>
    </row>
    <row r="57" spans="1:44" ht="17" thickBot="1" x14ac:dyDescent="0.25">
      <c r="F57" s="33"/>
      <c r="G57" s="30"/>
      <c r="H57"/>
      <c r="I57" s="7"/>
      <c r="J57" s="190" t="str">
        <f>AP10</f>
        <v>Bug</v>
      </c>
      <c r="K57" s="193">
        <v>30</v>
      </c>
      <c r="L57" s="185">
        <f t="shared" si="19"/>
        <v>0.125</v>
      </c>
      <c r="M57"/>
      <c r="Q57"/>
      <c r="R57"/>
      <c r="S57"/>
      <c r="T57"/>
      <c r="U57"/>
      <c r="V57"/>
      <c r="X57"/>
      <c r="Y57"/>
      <c r="Z57"/>
      <c r="AA57"/>
      <c r="AB57"/>
      <c r="AC57"/>
      <c r="AD57"/>
      <c r="AE57"/>
      <c r="AF57"/>
    </row>
    <row r="58" spans="1:44" x14ac:dyDescent="0.2">
      <c r="F58" s="33"/>
      <c r="G58" s="30"/>
      <c r="H58"/>
      <c r="I58" s="7"/>
      <c r="J58"/>
      <c r="K58" s="231">
        <f>SUM(_xlfn.ANCHORARRAY(K53))</f>
        <v>240</v>
      </c>
      <c r="L58"/>
      <c r="M58"/>
      <c r="Q58"/>
      <c r="R58"/>
      <c r="S58"/>
      <c r="T58"/>
      <c r="U58"/>
      <c r="V58"/>
      <c r="X58"/>
      <c r="Y58"/>
      <c r="Z58"/>
      <c r="AA58"/>
      <c r="AB58"/>
      <c r="AC58"/>
      <c r="AD58"/>
      <c r="AE58"/>
      <c r="AF58"/>
    </row>
    <row r="59" spans="1:44" x14ac:dyDescent="0.2">
      <c r="F59" s="33"/>
      <c r="G59" s="30"/>
      <c r="H59"/>
      <c r="I59" s="7"/>
      <c r="M59"/>
      <c r="Q59"/>
      <c r="R59"/>
      <c r="S59"/>
      <c r="T59"/>
      <c r="U59"/>
      <c r="V59"/>
      <c r="X59"/>
      <c r="Y59"/>
      <c r="Z59"/>
      <c r="AA59"/>
      <c r="AB59"/>
      <c r="AC59"/>
      <c r="AD59"/>
      <c r="AE59"/>
      <c r="AF59"/>
    </row>
    <row r="60" spans="1:44" x14ac:dyDescent="0.2">
      <c r="F60" s="33"/>
      <c r="G60" s="30"/>
      <c r="H60"/>
      <c r="I60" s="7"/>
      <c r="M60"/>
      <c r="Q60"/>
      <c r="R60"/>
      <c r="S60"/>
      <c r="T60"/>
      <c r="U60"/>
      <c r="V60"/>
      <c r="X60"/>
      <c r="Y60"/>
      <c r="Z60"/>
      <c r="AA60"/>
      <c r="AB60"/>
      <c r="AC60"/>
      <c r="AD60"/>
      <c r="AE60"/>
      <c r="AF60"/>
    </row>
    <row r="61" spans="1:44" x14ac:dyDescent="0.2">
      <c r="F61" s="33"/>
      <c r="G61" s="34"/>
      <c r="H61"/>
      <c r="I61" s="7"/>
      <c r="M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44" x14ac:dyDescent="0.2">
      <c r="F62" s="33"/>
      <c r="G62" s="34"/>
      <c r="H62"/>
      <c r="I62" s="7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44" x14ac:dyDescent="0.2">
      <c r="G63"/>
      <c r="H63"/>
      <c r="I63" s="7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44" x14ac:dyDescent="0.2">
      <c r="H64"/>
      <c r="I64" s="7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2:44" x14ac:dyDescent="0.2">
      <c r="F65"/>
      <c r="H65"/>
      <c r="I65" s="7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2:44" x14ac:dyDescent="0.2">
      <c r="F66"/>
      <c r="H66"/>
      <c r="I66" s="7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2:44" s="1" customFormat="1" x14ac:dyDescent="0.2">
      <c r="B67"/>
      <c r="C67"/>
      <c r="D67"/>
      <c r="F67"/>
      <c r="G67" s="7"/>
      <c r="H67"/>
      <c r="I67" s="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2:44" s="1" customFormat="1" x14ac:dyDescent="0.2">
      <c r="B68"/>
      <c r="C68"/>
      <c r="D68"/>
      <c r="F68" s="7"/>
      <c r="G68" s="7"/>
      <c r="H68"/>
      <c r="I68" s="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2:44" s="1" customFormat="1" x14ac:dyDescent="0.2">
      <c r="B69"/>
      <c r="C69"/>
      <c r="D69"/>
      <c r="F69" s="7"/>
      <c r="G69" s="7"/>
      <c r="H69"/>
      <c r="I69" s="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2:44" s="1" customFormat="1" x14ac:dyDescent="0.2">
      <c r="B70"/>
      <c r="C70"/>
      <c r="D70"/>
      <c r="F70" s="7"/>
      <c r="G70" s="7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44" s="1" customFormat="1" x14ac:dyDescent="0.2">
      <c r="B71"/>
      <c r="C71"/>
      <c r="D71"/>
      <c r="F71" s="7"/>
      <c r="G71" s="7"/>
      <c r="K71" s="1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44" s="1" customFormat="1" x14ac:dyDescent="0.2">
      <c r="B72"/>
      <c r="C72"/>
      <c r="D72"/>
      <c r="F72" s="7"/>
      <c r="G72" s="7"/>
      <c r="K72" s="19"/>
      <c r="N72" s="19"/>
      <c r="Q72"/>
      <c r="AA72"/>
      <c r="AG72"/>
      <c r="AH72"/>
      <c r="AI72"/>
      <c r="AJ72"/>
      <c r="AK72"/>
      <c r="AL72"/>
      <c r="AM72"/>
    </row>
    <row r="73" spans="2:44" s="1" customFormat="1" x14ac:dyDescent="0.2">
      <c r="B73"/>
      <c r="C73"/>
      <c r="D73"/>
      <c r="F73" s="7"/>
      <c r="G73" s="7"/>
      <c r="N73" s="19"/>
      <c r="Q73"/>
      <c r="AG73"/>
      <c r="AH73"/>
      <c r="AI73"/>
      <c r="AJ73"/>
      <c r="AK73"/>
      <c r="AL73"/>
      <c r="AM73"/>
    </row>
    <row r="74" spans="2:44" s="1" customFormat="1" x14ac:dyDescent="0.2">
      <c r="B74"/>
      <c r="C74"/>
      <c r="D74"/>
      <c r="F74" s="7"/>
      <c r="G74" s="7"/>
      <c r="K74" s="19"/>
      <c r="AG74"/>
      <c r="AH74"/>
      <c r="AI74"/>
      <c r="AJ74"/>
      <c r="AK74"/>
      <c r="AL74"/>
      <c r="AM74"/>
    </row>
    <row r="75" spans="2:44" s="1" customFormat="1" x14ac:dyDescent="0.2">
      <c r="B75"/>
      <c r="C75"/>
      <c r="D75"/>
      <c r="F75" s="7"/>
      <c r="G75" s="7"/>
      <c r="AG75"/>
      <c r="AH75"/>
      <c r="AI75"/>
      <c r="AJ75"/>
      <c r="AK75"/>
      <c r="AL75"/>
      <c r="AM75"/>
    </row>
    <row r="76" spans="2:44" s="1" customFormat="1" x14ac:dyDescent="0.2">
      <c r="B76"/>
      <c r="C76"/>
      <c r="D76"/>
      <c r="F76" s="7"/>
      <c r="G76" s="7"/>
      <c r="AG76"/>
      <c r="AH76"/>
      <c r="AI76"/>
      <c r="AJ76"/>
      <c r="AK76"/>
      <c r="AL76"/>
      <c r="AM76"/>
    </row>
    <row r="77" spans="2:44" x14ac:dyDescent="0.2">
      <c r="AN77" s="1"/>
      <c r="AO77" s="1"/>
      <c r="AP77" s="1"/>
      <c r="AQ77" s="1"/>
      <c r="AR77" s="1"/>
    </row>
    <row r="78" spans="2:44" x14ac:dyDescent="0.2">
      <c r="AN78" s="1"/>
      <c r="AO78" s="1"/>
      <c r="AP78" s="1"/>
      <c r="AQ78" s="1"/>
      <c r="AR78" s="1"/>
    </row>
    <row r="79" spans="2:44" x14ac:dyDescent="0.2">
      <c r="AN79" s="1"/>
    </row>
    <row r="85" spans="36:39" x14ac:dyDescent="0.2">
      <c r="AJ85" s="1"/>
      <c r="AK85" s="1"/>
      <c r="AL85" s="1"/>
      <c r="AM85" s="1"/>
    </row>
    <row r="86" spans="36:39" x14ac:dyDescent="0.2">
      <c r="AJ86" s="1"/>
      <c r="AK86" s="1"/>
      <c r="AL86" s="1"/>
      <c r="AM86" s="1"/>
    </row>
    <row r="87" spans="36:39" x14ac:dyDescent="0.2">
      <c r="AJ87" s="1"/>
      <c r="AK87" s="1"/>
      <c r="AL87" s="1"/>
      <c r="AM87" s="1"/>
    </row>
    <row r="88" spans="36:39" x14ac:dyDescent="0.2">
      <c r="AJ88" s="1"/>
      <c r="AK88" s="1"/>
      <c r="AL88" s="1"/>
      <c r="AM88" s="1"/>
    </row>
    <row r="89" spans="36:39" x14ac:dyDescent="0.2">
      <c r="AJ89" s="1"/>
      <c r="AK89" s="1"/>
      <c r="AL89" s="1"/>
      <c r="AM89" s="1"/>
    </row>
    <row r="90" spans="36:39" x14ac:dyDescent="0.2">
      <c r="AJ90" s="1"/>
      <c r="AK90" s="1"/>
      <c r="AL90" s="1"/>
      <c r="AM90" s="1"/>
    </row>
    <row r="91" spans="36:39" x14ac:dyDescent="0.2">
      <c r="AJ91" s="1"/>
      <c r="AK91" s="1"/>
      <c r="AL91" s="1"/>
      <c r="AM91" s="1"/>
    </row>
    <row r="92" spans="36:39" x14ac:dyDescent="0.2">
      <c r="AJ92" s="1"/>
      <c r="AK92" s="1"/>
      <c r="AL92" s="1"/>
      <c r="AM92" s="1"/>
    </row>
    <row r="93" spans="36:39" x14ac:dyDescent="0.2">
      <c r="AJ93" s="1"/>
      <c r="AK93" s="1"/>
      <c r="AL93" s="1"/>
      <c r="AM93" s="1"/>
    </row>
    <row r="94" spans="36:39" x14ac:dyDescent="0.2">
      <c r="AJ94" s="1"/>
      <c r="AK94" s="1"/>
      <c r="AL94" s="1"/>
      <c r="AM94" s="1"/>
    </row>
  </sheetData>
  <mergeCells count="90">
    <mergeCell ref="B2:E2"/>
    <mergeCell ref="D3:E3"/>
    <mergeCell ref="H3:R3"/>
    <mergeCell ref="S3:S5"/>
    <mergeCell ref="T3:T5"/>
    <mergeCell ref="D4:E4"/>
    <mergeCell ref="H2:AN2"/>
    <mergeCell ref="U9:X9"/>
    <mergeCell ref="D10:E10"/>
    <mergeCell ref="U10:X10"/>
    <mergeCell ref="AA4:AA5"/>
    <mergeCell ref="AD4:AD5"/>
    <mergeCell ref="U3:X5"/>
    <mergeCell ref="Y3:Y5"/>
    <mergeCell ref="Z3:Z5"/>
    <mergeCell ref="I4:I5"/>
    <mergeCell ref="J4:R5"/>
    <mergeCell ref="D11:E11"/>
    <mergeCell ref="AP4:AP5"/>
    <mergeCell ref="D5:E5"/>
    <mergeCell ref="D6:E6"/>
    <mergeCell ref="AF4:AF5"/>
    <mergeCell ref="AG4:AG5"/>
    <mergeCell ref="AH4:AH5"/>
    <mergeCell ref="AI4:AI5"/>
    <mergeCell ref="AJ4:AJ5"/>
    <mergeCell ref="AK4:AK5"/>
    <mergeCell ref="AB4:AB5"/>
    <mergeCell ref="AC4:AC5"/>
    <mergeCell ref="D7:E7"/>
    <mergeCell ref="D8:E8"/>
    <mergeCell ref="D9:E9"/>
    <mergeCell ref="H4:H5"/>
    <mergeCell ref="B16:D16"/>
    <mergeCell ref="B13:E13"/>
    <mergeCell ref="U13:X13"/>
    <mergeCell ref="B14:D14"/>
    <mergeCell ref="B15:D15"/>
    <mergeCell ref="U24:X24"/>
    <mergeCell ref="B23:D23"/>
    <mergeCell ref="U25:X25"/>
    <mergeCell ref="B20:C20"/>
    <mergeCell ref="U22:X22"/>
    <mergeCell ref="B21:C21"/>
    <mergeCell ref="B25:E25"/>
    <mergeCell ref="B17:D17"/>
    <mergeCell ref="U20:X20"/>
    <mergeCell ref="B19:E19"/>
    <mergeCell ref="U21:X21"/>
    <mergeCell ref="B22:D22"/>
    <mergeCell ref="H49:I49"/>
    <mergeCell ref="H38:I38"/>
    <mergeCell ref="J42:N42"/>
    <mergeCell ref="O42:S42"/>
    <mergeCell ref="J28:AR28"/>
    <mergeCell ref="AD29:AH29"/>
    <mergeCell ref="Y29:AC29"/>
    <mergeCell ref="Y42:AC42"/>
    <mergeCell ref="J29:N29"/>
    <mergeCell ref="O29:S29"/>
    <mergeCell ref="T29:X29"/>
    <mergeCell ref="H48:I48"/>
    <mergeCell ref="H30:I30"/>
    <mergeCell ref="H31:I31"/>
    <mergeCell ref="H32:I32"/>
    <mergeCell ref="H33:I33"/>
    <mergeCell ref="H34:I34"/>
    <mergeCell ref="T42:X42"/>
    <mergeCell ref="H50:I50"/>
    <mergeCell ref="H51:I51"/>
    <mergeCell ref="AI29:AM29"/>
    <mergeCell ref="AI42:AM42"/>
    <mergeCell ref="J41:AR41"/>
    <mergeCell ref="AN42:AR42"/>
    <mergeCell ref="H43:I43"/>
    <mergeCell ref="H44:I44"/>
    <mergeCell ref="H45:I45"/>
    <mergeCell ref="H46:I46"/>
    <mergeCell ref="H47:I47"/>
    <mergeCell ref="H35:I35"/>
    <mergeCell ref="H36:I36"/>
    <mergeCell ref="H37:I37"/>
    <mergeCell ref="AD42:AH42"/>
    <mergeCell ref="AN29:AR29"/>
    <mergeCell ref="AA3:AG3"/>
    <mergeCell ref="AH3:AN3"/>
    <mergeCell ref="AM4:AM5"/>
    <mergeCell ref="AN4:AN5"/>
    <mergeCell ref="AE4:AE5"/>
    <mergeCell ref="AL4:AL5"/>
  </mergeCells>
  <conditionalFormatting sqref="AF6:AF25">
    <cfRule type="expression" dxfId="105" priority="5">
      <formula>$AF6&gt;1</formula>
    </cfRule>
    <cfRule type="expression" dxfId="104" priority="6">
      <formula>$AF6=1</formula>
    </cfRule>
    <cfRule type="expression" dxfId="103" priority="7">
      <formula>$AF6&lt;1</formula>
    </cfRule>
  </conditionalFormatting>
  <conditionalFormatting sqref="AG6:AG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102" priority="2">
      <formula>$AM6&lt;1</formula>
    </cfRule>
    <cfRule type="expression" dxfId="101" priority="3">
      <formula>$AM6=1</formula>
    </cfRule>
    <cfRule type="expression" dxfId="100" priority="4">
      <formula>$AM6&gt;1</formula>
    </cfRule>
  </conditionalFormatting>
  <conditionalFormatting sqref="AM26:AN26">
    <cfRule type="colorScale" priority="1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9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99" priority="10">
      <formula>$AD6&gt;=$Z6</formula>
    </cfRule>
    <cfRule type="expression" dxfId="98" priority="11">
      <formula>$AD6&lt;$Z6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A7061-196C-854E-B48A-CFA207A498F8}">
  <sheetPr codeName="Sheet7"/>
  <dimension ref="A1:AP94"/>
  <sheetViews>
    <sheetView showGridLines="0" topLeftCell="E1" zoomScale="130" zoomScaleNormal="130" workbookViewId="0">
      <selection activeCell="AH6" sqref="AH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10.6640625" style="1" customWidth="1"/>
    <col min="9" max="9" width="11.6640625" style="1" customWidth="1"/>
    <col min="10" max="32" width="10.6640625" style="1" customWidth="1"/>
    <col min="33" max="39" width="10.6640625" customWidth="1"/>
  </cols>
  <sheetData>
    <row r="1" spans="1:42" ht="17" thickBot="1" x14ac:dyDescent="0.25"/>
    <row r="2" spans="1:42" ht="17" thickBot="1" x14ac:dyDescent="0.25">
      <c r="B2" s="644" t="s">
        <v>97</v>
      </c>
      <c r="C2" s="644"/>
      <c r="D2" s="644"/>
      <c r="E2" s="644"/>
      <c r="F2" s="29"/>
      <c r="G2" s="30"/>
      <c r="H2" s="575" t="s">
        <v>98</v>
      </c>
      <c r="I2" s="576"/>
      <c r="J2" s="576"/>
      <c r="K2" s="576"/>
      <c r="L2" s="576"/>
      <c r="M2" s="576"/>
      <c r="N2" s="576"/>
      <c r="O2" s="576"/>
      <c r="P2" s="576"/>
      <c r="Q2" s="576"/>
      <c r="R2" s="576"/>
      <c r="S2" s="576"/>
      <c r="T2" s="576"/>
      <c r="U2" s="576"/>
      <c r="V2" s="576"/>
      <c r="W2" s="576"/>
      <c r="X2" s="576"/>
      <c r="Y2" s="576"/>
      <c r="Z2" s="576"/>
      <c r="AA2" s="576"/>
      <c r="AB2" s="576"/>
      <c r="AC2" s="576"/>
      <c r="AD2" s="576"/>
      <c r="AE2" s="576"/>
      <c r="AF2" s="576"/>
      <c r="AG2" s="576"/>
      <c r="AH2" s="576"/>
      <c r="AI2" s="576"/>
      <c r="AJ2" s="576"/>
      <c r="AK2" s="576"/>
      <c r="AL2" s="576"/>
      <c r="AM2" s="576"/>
      <c r="AN2" s="577"/>
    </row>
    <row r="3" spans="1:4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133</v>
      </c>
      <c r="T3" s="650" t="s">
        <v>99</v>
      </c>
      <c r="U3" s="651" t="s">
        <v>6</v>
      </c>
      <c r="V3" s="652"/>
      <c r="W3" s="652"/>
      <c r="X3" s="653"/>
      <c r="Y3" s="653" t="s">
        <v>7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2" ht="16" customHeight="1" x14ac:dyDescent="0.2">
      <c r="B4" s="102" t="s">
        <v>13</v>
      </c>
      <c r="C4" s="4" t="s">
        <v>57</v>
      </c>
      <c r="D4" s="598" t="s">
        <v>15</v>
      </c>
      <c r="E4" s="624"/>
      <c r="F4" s="29"/>
      <c r="G4" s="30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  <c r="AP4" s="695" t="s">
        <v>140</v>
      </c>
    </row>
    <row r="5" spans="1:42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  <c r="AP5" s="696"/>
    </row>
    <row r="6" spans="1:42" ht="16" customHeight="1" x14ac:dyDescent="0.2">
      <c r="B6" s="102" t="s">
        <v>19</v>
      </c>
      <c r="C6" s="4" t="s">
        <v>14</v>
      </c>
      <c r="D6" s="598" t="s">
        <v>71</v>
      </c>
      <c r="E6" s="624"/>
      <c r="F6" s="29"/>
      <c r="G6" s="30"/>
      <c r="H6" s="258" t="s">
        <v>211</v>
      </c>
      <c r="I6" s="109" t="s">
        <v>212</v>
      </c>
      <c r="J6" s="276" t="s">
        <v>213</v>
      </c>
      <c r="K6" s="277"/>
      <c r="L6" s="277"/>
      <c r="M6" s="277"/>
      <c r="N6" s="277"/>
      <c r="O6" s="277"/>
      <c r="P6" s="277"/>
      <c r="Q6" s="277"/>
      <c r="R6" s="278"/>
      <c r="S6" s="108" t="s">
        <v>149</v>
      </c>
      <c r="T6" s="52">
        <v>9</v>
      </c>
      <c r="U6" s="545"/>
      <c r="V6" s="546"/>
      <c r="W6" s="546"/>
      <c r="X6" s="551"/>
      <c r="Y6" s="115"/>
      <c r="Z6" s="169">
        <f t="shared" ref="Z6:Z22" si="0">IF(OR($E$37=0,T6=0),0,IF($E$37=0,0,ROUNDUP(T6*8/$E$37,0)))</f>
        <v>17</v>
      </c>
      <c r="AA6" s="569" cm="1">
        <f t="array" ref="AA6">CountUniquePeopleByTask($H6,$J$44:$AM$51,$H$44:$I$51)</f>
        <v>1</v>
      </c>
      <c r="AB6" s="84">
        <f t="shared" ref="AB6:AB25" si="1">COUNTIF($J$45:$AM$51,H6)</f>
        <v>16</v>
      </c>
      <c r="AC6" s="38">
        <f t="shared" ref="AC6:AC25" si="2">COUNTIF($J$44:$AM$44,H6)</f>
        <v>0</v>
      </c>
      <c r="AD6" s="38">
        <f t="shared" ref="AD6:AD21" si="3">AB6+AC6</f>
        <v>16</v>
      </c>
      <c r="AE6" s="87">
        <f t="shared" ref="AE6:AE24" si="4">AB6*$C$37+AC6*$D$37</f>
        <v>80.266666666666666</v>
      </c>
      <c r="AF6" s="110">
        <f t="shared" ref="AF6:AF25" si="5">IF(Z6=0,0,AD6/Z6)</f>
        <v>0.94117647058823528</v>
      </c>
      <c r="AG6" s="110">
        <f t="shared" ref="AG6:AG25" si="6">IF($AD$26=0,0,AD6/$AD$26)</f>
        <v>6.8965517241379309E-2</v>
      </c>
      <c r="AH6" s="578" cm="1">
        <f t="array" ref="AH6">CountUniquePeopleByTask($H6,$J$31:$AM$38,$H$31:$I$38)</f>
        <v>1</v>
      </c>
      <c r="AI6" s="84">
        <f t="shared" ref="AI6:AI25" si="7">COUNTIF($J$32:$AM$38,$H6)</f>
        <v>14</v>
      </c>
      <c r="AJ6" s="38">
        <f t="shared" ref="AJ6:AJ25" si="8">COUNTIF($J$31:$AM$31,$H6)</f>
        <v>0</v>
      </c>
      <c r="AK6" s="38">
        <f t="shared" ref="AK6:AK21" si="9">AI6+AJ6</f>
        <v>14</v>
      </c>
      <c r="AL6" s="87">
        <f t="shared" ref="AL6:AL24" si="10">AI6*$C$37+AJ6*$D$37</f>
        <v>70.233333333333334</v>
      </c>
      <c r="AM6" s="110">
        <f t="shared" ref="AM6:AM25" si="11">IF(AE6=0,0,AL6/AE6)</f>
        <v>0.875</v>
      </c>
      <c r="AN6" s="81">
        <f t="shared" ref="AN6:AN25" si="12">IF(AD6=0,"Unplanned",((ABS(AK6-AD6)/AD6)))</f>
        <v>0.125</v>
      </c>
      <c r="AP6" s="180" t="s">
        <v>26</v>
      </c>
    </row>
    <row r="7" spans="1:42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263" t="s">
        <v>214</v>
      </c>
      <c r="I7" s="11" t="s">
        <v>215</v>
      </c>
      <c r="J7" s="276" t="s">
        <v>216</v>
      </c>
      <c r="K7" s="277"/>
      <c r="L7" s="277"/>
      <c r="M7" s="277"/>
      <c r="N7" s="277"/>
      <c r="O7" s="277"/>
      <c r="P7" s="277"/>
      <c r="Q7" s="277"/>
      <c r="R7" s="278"/>
      <c r="S7" s="25" t="s">
        <v>149</v>
      </c>
      <c r="T7" s="52">
        <v>10</v>
      </c>
      <c r="U7" s="55"/>
      <c r="V7" s="56"/>
      <c r="W7" s="56"/>
      <c r="X7" s="116"/>
      <c r="Y7" s="113"/>
      <c r="Z7" s="170">
        <f t="shared" si="0"/>
        <v>19</v>
      </c>
      <c r="AA7" s="567" cm="1">
        <f t="array" ref="AA7">CountUniquePeopleByTask($H7,$J$44:$AM$51,$H$44:$I$51)</f>
        <v>2</v>
      </c>
      <c r="AB7" s="84">
        <f t="shared" si="1"/>
        <v>11</v>
      </c>
      <c r="AC7" s="38">
        <f t="shared" si="2"/>
        <v>0</v>
      </c>
      <c r="AD7" s="38">
        <f t="shared" si="3"/>
        <v>11</v>
      </c>
      <c r="AE7" s="87">
        <f t="shared" si="4"/>
        <v>55.18333333333333</v>
      </c>
      <c r="AF7" s="110">
        <f t="shared" si="5"/>
        <v>0.57894736842105265</v>
      </c>
      <c r="AG7" s="79">
        <f t="shared" si="6"/>
        <v>4.7413793103448273E-2</v>
      </c>
      <c r="AH7" s="579" cm="1">
        <f t="array" ref="AH7">CountUniquePeopleByTask($H7,$J$31:$AM$38,$H$31:$I$38)</f>
        <v>1</v>
      </c>
      <c r="AI7" s="84">
        <f t="shared" si="7"/>
        <v>6</v>
      </c>
      <c r="AJ7" s="38">
        <f t="shared" si="8"/>
        <v>0</v>
      </c>
      <c r="AK7" s="38">
        <f t="shared" si="9"/>
        <v>6</v>
      </c>
      <c r="AL7" s="87">
        <f t="shared" si="10"/>
        <v>30.1</v>
      </c>
      <c r="AM7" s="110">
        <f t="shared" si="11"/>
        <v>0.54545454545454553</v>
      </c>
      <c r="AN7" s="81">
        <f t="shared" si="12"/>
        <v>0.45454545454545453</v>
      </c>
      <c r="AP7" s="181" t="s">
        <v>149</v>
      </c>
    </row>
    <row r="8" spans="1:42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245" t="s">
        <v>167</v>
      </c>
      <c r="I8" s="11" t="s">
        <v>217</v>
      </c>
      <c r="J8" s="276" t="s">
        <v>218</v>
      </c>
      <c r="K8" s="277"/>
      <c r="L8" s="277"/>
      <c r="M8" s="277"/>
      <c r="N8" s="277"/>
      <c r="O8" s="277"/>
      <c r="P8" s="277"/>
      <c r="Q8" s="277"/>
      <c r="R8" s="278"/>
      <c r="S8" s="25" t="s">
        <v>149</v>
      </c>
      <c r="T8" s="52">
        <v>2</v>
      </c>
      <c r="U8" s="55"/>
      <c r="V8" s="56" t="s">
        <v>144</v>
      </c>
      <c r="W8" s="56"/>
      <c r="X8" s="116"/>
      <c r="Y8" s="113"/>
      <c r="Z8" s="170">
        <v>3</v>
      </c>
      <c r="AA8" s="567" cm="1">
        <f t="array" ref="AA8">CountUniquePeopleByTask($H8,$J$44:$AM$51,$H$44:$I$51)</f>
        <v>1</v>
      </c>
      <c r="AB8" s="84">
        <f t="shared" si="1"/>
        <v>3</v>
      </c>
      <c r="AC8" s="38">
        <f t="shared" si="2"/>
        <v>0</v>
      </c>
      <c r="AD8" s="38">
        <f t="shared" si="3"/>
        <v>3</v>
      </c>
      <c r="AE8" s="87">
        <f t="shared" si="4"/>
        <v>15.05</v>
      </c>
      <c r="AF8" s="110">
        <f t="shared" si="5"/>
        <v>1</v>
      </c>
      <c r="AG8" s="81">
        <f t="shared" si="6"/>
        <v>1.2931034482758621E-2</v>
      </c>
      <c r="AH8" s="579" cm="1">
        <f t="array" ref="AH8">CountUniquePeopleByTask($H8,$J$31:$AM$38,$H$31:$I$38)</f>
        <v>1</v>
      </c>
      <c r="AI8" s="84">
        <f t="shared" si="7"/>
        <v>3</v>
      </c>
      <c r="AJ8" s="38">
        <f t="shared" si="8"/>
        <v>0</v>
      </c>
      <c r="AK8" s="38">
        <f t="shared" si="9"/>
        <v>3</v>
      </c>
      <c r="AL8" s="87">
        <f t="shared" si="10"/>
        <v>15.05</v>
      </c>
      <c r="AM8" s="110">
        <f t="shared" si="11"/>
        <v>1</v>
      </c>
      <c r="AN8" s="81">
        <f t="shared" si="12"/>
        <v>0</v>
      </c>
      <c r="AP8" s="181" t="s">
        <v>152</v>
      </c>
    </row>
    <row r="9" spans="1:42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261" t="s">
        <v>219</v>
      </c>
      <c r="I9" s="11" t="s">
        <v>220</v>
      </c>
      <c r="J9" s="276" t="s">
        <v>221</v>
      </c>
      <c r="K9" s="277"/>
      <c r="L9" s="277"/>
      <c r="M9" s="277"/>
      <c r="N9" s="277"/>
      <c r="O9" s="277"/>
      <c r="P9" s="277"/>
      <c r="Q9" s="277"/>
      <c r="R9" s="278"/>
      <c r="S9" s="25" t="s">
        <v>149</v>
      </c>
      <c r="T9" s="52">
        <v>20</v>
      </c>
      <c r="U9" s="55"/>
      <c r="V9" s="56"/>
      <c r="W9" s="56"/>
      <c r="X9" s="116"/>
      <c r="Y9" s="113"/>
      <c r="Z9" s="170">
        <f t="shared" si="0"/>
        <v>37</v>
      </c>
      <c r="AA9" s="567" cm="1">
        <f t="array" ref="AA9">CountUniquePeopleByTask($H9,$J$44:$AM$51,$H$44:$I$51)</f>
        <v>1</v>
      </c>
      <c r="AB9" s="84">
        <f t="shared" si="1"/>
        <v>18</v>
      </c>
      <c r="AC9" s="38">
        <f t="shared" si="2"/>
        <v>0</v>
      </c>
      <c r="AD9" s="38">
        <f t="shared" si="3"/>
        <v>18</v>
      </c>
      <c r="AE9" s="87">
        <f t="shared" si="4"/>
        <v>90.3</v>
      </c>
      <c r="AF9" s="110">
        <f t="shared" si="5"/>
        <v>0.48648648648648651</v>
      </c>
      <c r="AG9" s="81">
        <f t="shared" si="6"/>
        <v>7.7586206896551727E-2</v>
      </c>
      <c r="AH9" s="579" cm="1">
        <f t="array" ref="AH9">CountUniquePeopleByTask($H9,$J$31:$AM$38,$H$31:$I$38)</f>
        <v>1</v>
      </c>
      <c r="AI9" s="84">
        <f t="shared" si="7"/>
        <v>18</v>
      </c>
      <c r="AJ9" s="38">
        <f t="shared" si="8"/>
        <v>0</v>
      </c>
      <c r="AK9" s="38">
        <f t="shared" si="9"/>
        <v>18</v>
      </c>
      <c r="AL9" s="87">
        <f t="shared" si="10"/>
        <v>90.3</v>
      </c>
      <c r="AM9" s="110">
        <f t="shared" si="11"/>
        <v>1</v>
      </c>
      <c r="AN9" s="81">
        <f t="shared" si="12"/>
        <v>0</v>
      </c>
      <c r="AP9" s="194" t="s">
        <v>29</v>
      </c>
    </row>
    <row r="10" spans="1:42" ht="17" thickBot="1" x14ac:dyDescent="0.25">
      <c r="A10" s="147"/>
      <c r="B10" s="146" t="s">
        <v>19</v>
      </c>
      <c r="C10" s="4" t="s">
        <v>14</v>
      </c>
      <c r="D10" s="598" t="s">
        <v>156</v>
      </c>
      <c r="E10" s="624"/>
      <c r="F10" s="29"/>
      <c r="G10" s="30"/>
      <c r="H10" s="254" t="s">
        <v>222</v>
      </c>
      <c r="I10" s="11" t="s">
        <v>223</v>
      </c>
      <c r="J10" s="276" t="s">
        <v>224</v>
      </c>
      <c r="K10" s="277"/>
      <c r="L10" s="277"/>
      <c r="M10" s="277"/>
      <c r="N10" s="277"/>
      <c r="O10" s="277"/>
      <c r="P10" s="277"/>
      <c r="Q10" s="277"/>
      <c r="R10" s="278"/>
      <c r="S10" s="25" t="s">
        <v>26</v>
      </c>
      <c r="T10" s="52">
        <v>5</v>
      </c>
      <c r="U10" s="55"/>
      <c r="V10" s="56" t="s">
        <v>144</v>
      </c>
      <c r="W10" s="56"/>
      <c r="X10" s="116"/>
      <c r="Y10" s="113"/>
      <c r="Z10" s="170">
        <f t="shared" si="0"/>
        <v>10</v>
      </c>
      <c r="AA10" s="567" cm="1">
        <f t="array" ref="AA10">CountUniquePeopleByTask($H10,$J$44:$AM$51,$H$44:$I$51)</f>
        <v>2</v>
      </c>
      <c r="AB10" s="49">
        <f t="shared" si="1"/>
        <v>8</v>
      </c>
      <c r="AC10" s="16">
        <f t="shared" si="2"/>
        <v>3</v>
      </c>
      <c r="AD10" s="16">
        <f t="shared" si="3"/>
        <v>11</v>
      </c>
      <c r="AE10" s="88">
        <f t="shared" si="4"/>
        <v>50.983333333333334</v>
      </c>
      <c r="AF10" s="110">
        <f t="shared" si="5"/>
        <v>1.1000000000000001</v>
      </c>
      <c r="AG10" s="79">
        <f t="shared" si="6"/>
        <v>4.7413793103448273E-2</v>
      </c>
      <c r="AH10" s="579" cm="1">
        <f t="array" ref="AH10">CountUniquePeopleByTask($H10,$J$31:$AM$38,$H$31:$I$38)</f>
        <v>1</v>
      </c>
      <c r="AI10" s="49">
        <f t="shared" si="7"/>
        <v>8</v>
      </c>
      <c r="AJ10" s="16">
        <f t="shared" si="8"/>
        <v>0</v>
      </c>
      <c r="AK10" s="16">
        <f t="shared" si="9"/>
        <v>8</v>
      </c>
      <c r="AL10" s="88">
        <f t="shared" si="10"/>
        <v>40.133333333333333</v>
      </c>
      <c r="AM10" s="110">
        <f t="shared" si="11"/>
        <v>0.78718535469107553</v>
      </c>
      <c r="AN10" s="81">
        <f t="shared" si="12"/>
        <v>0.27272727272727271</v>
      </c>
      <c r="AP10" s="182" t="s">
        <v>23</v>
      </c>
    </row>
    <row r="11" spans="1:42" ht="17" thickBot="1" x14ac:dyDescent="0.25">
      <c r="B11" s="144" t="s">
        <v>19</v>
      </c>
      <c r="C11" s="145" t="s">
        <v>14</v>
      </c>
      <c r="D11" s="665" t="s">
        <v>115</v>
      </c>
      <c r="E11" s="666"/>
      <c r="F11" s="29"/>
      <c r="G11" s="30"/>
      <c r="H11" s="261" t="s">
        <v>225</v>
      </c>
      <c r="I11" s="11" t="s">
        <v>226</v>
      </c>
      <c r="J11" s="276" t="s">
        <v>227</v>
      </c>
      <c r="K11" s="277"/>
      <c r="L11" s="277"/>
      <c r="M11" s="277"/>
      <c r="N11" s="277"/>
      <c r="O11" s="277"/>
      <c r="P11" s="277"/>
      <c r="Q11" s="277"/>
      <c r="R11" s="278"/>
      <c r="S11" s="25" t="s">
        <v>149</v>
      </c>
      <c r="T11" s="52">
        <v>9</v>
      </c>
      <c r="U11" s="55"/>
      <c r="V11" s="56"/>
      <c r="W11" s="56"/>
      <c r="X11" s="116"/>
      <c r="Y11" s="113"/>
      <c r="Z11" s="170">
        <f t="shared" si="0"/>
        <v>17</v>
      </c>
      <c r="AA11" s="567" cm="1">
        <f t="array" ref="AA11">CountUniquePeopleByTask($H11,$J$44:$AM$51,$H$44:$I$51)</f>
        <v>1</v>
      </c>
      <c r="AB11" s="84">
        <f t="shared" si="1"/>
        <v>17</v>
      </c>
      <c r="AC11" s="38">
        <f t="shared" si="2"/>
        <v>0</v>
      </c>
      <c r="AD11" s="38">
        <f t="shared" ref="AD11" si="13">AB11+AC11</f>
        <v>17</v>
      </c>
      <c r="AE11" s="87">
        <f t="shared" ref="AE11" si="14">AB11*$C$37+AC11*$D$37</f>
        <v>85.283333333333331</v>
      </c>
      <c r="AF11" s="110">
        <f t="shared" si="5"/>
        <v>1</v>
      </c>
      <c r="AG11" s="81">
        <f t="shared" si="6"/>
        <v>7.3275862068965511E-2</v>
      </c>
      <c r="AH11" s="579" cm="1">
        <f t="array" ref="AH11">CountUniquePeopleByTask($H11,$J$31:$AM$38,$H$31:$I$38)</f>
        <v>1</v>
      </c>
      <c r="AI11" s="84">
        <f t="shared" si="7"/>
        <v>4</v>
      </c>
      <c r="AJ11" s="38">
        <f t="shared" si="8"/>
        <v>0</v>
      </c>
      <c r="AK11" s="38">
        <f t="shared" ref="AK11" si="15">AI11+AJ11</f>
        <v>4</v>
      </c>
      <c r="AL11" s="87">
        <f t="shared" ref="AL11" si="16">AI11*$C$37+AJ11*$D$37</f>
        <v>20.066666666666666</v>
      </c>
      <c r="AM11" s="110">
        <f t="shared" si="11"/>
        <v>0.23529411764705882</v>
      </c>
      <c r="AN11" s="81">
        <f t="shared" si="12"/>
        <v>0.76470588235294112</v>
      </c>
    </row>
    <row r="12" spans="1:42" ht="17" customHeight="1" thickBot="1" x14ac:dyDescent="0.25">
      <c r="B12" s="7"/>
      <c r="C12" s="7"/>
      <c r="D12" s="1"/>
      <c r="F12" s="29"/>
      <c r="G12" s="30"/>
      <c r="H12" s="256" t="s">
        <v>228</v>
      </c>
      <c r="I12" s="11" t="s">
        <v>229</v>
      </c>
      <c r="J12" s="276" t="s">
        <v>230</v>
      </c>
      <c r="K12" s="277"/>
      <c r="L12" s="277"/>
      <c r="M12" s="277"/>
      <c r="N12" s="277"/>
      <c r="O12" s="277"/>
      <c r="P12" s="277"/>
      <c r="Q12" s="277"/>
      <c r="R12" s="278"/>
      <c r="S12" s="25" t="s">
        <v>149</v>
      </c>
      <c r="T12" s="52">
        <v>1</v>
      </c>
      <c r="U12" s="55"/>
      <c r="V12" s="56" t="s">
        <v>144</v>
      </c>
      <c r="W12" s="56"/>
      <c r="X12" s="116"/>
      <c r="Y12" s="113"/>
      <c r="Z12" s="170">
        <f t="shared" si="0"/>
        <v>2</v>
      </c>
      <c r="AA12" s="567" cm="1">
        <f t="array" ref="AA12">CountUniquePeopleByTask($H12,$J$44:$AM$51,$H$44:$I$51)</f>
        <v>1</v>
      </c>
      <c r="AB12" s="49">
        <f t="shared" si="1"/>
        <v>0</v>
      </c>
      <c r="AC12" s="16">
        <f t="shared" si="2"/>
        <v>2</v>
      </c>
      <c r="AD12" s="16">
        <f t="shared" si="3"/>
        <v>2</v>
      </c>
      <c r="AE12" s="88">
        <f t="shared" si="4"/>
        <v>7.2333333333333334</v>
      </c>
      <c r="AF12" s="110">
        <f t="shared" si="5"/>
        <v>1</v>
      </c>
      <c r="AG12" s="79">
        <f t="shared" si="6"/>
        <v>8.6206896551724137E-3</v>
      </c>
      <c r="AH12" s="579" cm="1">
        <f t="array" ref="AH12">CountUniquePeopleByTask($H12,$J$31:$AM$38,$H$31:$I$38)</f>
        <v>1</v>
      </c>
      <c r="AI12" s="49">
        <f t="shared" si="7"/>
        <v>0</v>
      </c>
      <c r="AJ12" s="16">
        <f t="shared" si="8"/>
        <v>4</v>
      </c>
      <c r="AK12" s="16">
        <f t="shared" si="9"/>
        <v>4</v>
      </c>
      <c r="AL12" s="88">
        <f t="shared" si="10"/>
        <v>14.466666666666667</v>
      </c>
      <c r="AM12" s="110">
        <f t="shared" si="11"/>
        <v>2</v>
      </c>
      <c r="AN12" s="81">
        <f t="shared" si="12"/>
        <v>1</v>
      </c>
    </row>
    <row r="13" spans="1:42" ht="17" thickBot="1" x14ac:dyDescent="0.25">
      <c r="B13" s="644" t="s">
        <v>98</v>
      </c>
      <c r="C13" s="644"/>
      <c r="D13" s="644"/>
      <c r="E13" s="644"/>
      <c r="F13" s="29"/>
      <c r="G13" s="30"/>
      <c r="H13" s="267" t="s">
        <v>231</v>
      </c>
      <c r="I13" s="11" t="s">
        <v>232</v>
      </c>
      <c r="J13" s="276" t="s">
        <v>233</v>
      </c>
      <c r="K13" s="277"/>
      <c r="L13" s="277"/>
      <c r="M13" s="277"/>
      <c r="N13" s="277"/>
      <c r="O13" s="277"/>
      <c r="P13" s="277"/>
      <c r="Q13" s="277"/>
      <c r="R13" s="278"/>
      <c r="S13" s="25" t="s">
        <v>149</v>
      </c>
      <c r="T13" s="52">
        <v>10</v>
      </c>
      <c r="U13" s="55"/>
      <c r="V13" s="56" t="s">
        <v>234</v>
      </c>
      <c r="W13" s="56"/>
      <c r="X13" s="116"/>
      <c r="Y13" s="113"/>
      <c r="Z13" s="170">
        <f t="shared" si="0"/>
        <v>19</v>
      </c>
      <c r="AA13" s="567" cm="1">
        <f t="array" ref="AA13">CountUniquePeopleByTask($H13,$J$44:$AM$51,$H$44:$I$51)</f>
        <v>1</v>
      </c>
      <c r="AB13" s="49">
        <f t="shared" si="1"/>
        <v>19</v>
      </c>
      <c r="AC13" s="16">
        <f t="shared" si="2"/>
        <v>0</v>
      </c>
      <c r="AD13" s="16">
        <f t="shared" si="3"/>
        <v>19</v>
      </c>
      <c r="AE13" s="88">
        <f t="shared" si="4"/>
        <v>95.316666666666663</v>
      </c>
      <c r="AF13" s="110">
        <f t="shared" si="5"/>
        <v>1</v>
      </c>
      <c r="AG13" s="79">
        <f t="shared" si="6"/>
        <v>8.1896551724137928E-2</v>
      </c>
      <c r="AH13" s="579" cm="1">
        <f t="array" ref="AH13">CountUniquePeopleByTask($H13,$J$31:$AM$38,$H$31:$I$38)</f>
        <v>1</v>
      </c>
      <c r="AI13" s="49">
        <f t="shared" si="7"/>
        <v>17</v>
      </c>
      <c r="AJ13" s="16">
        <f t="shared" si="8"/>
        <v>0</v>
      </c>
      <c r="AK13" s="16">
        <f t="shared" si="9"/>
        <v>17</v>
      </c>
      <c r="AL13" s="88">
        <f t="shared" si="10"/>
        <v>85.283333333333331</v>
      </c>
      <c r="AM13" s="110">
        <f t="shared" si="11"/>
        <v>0.89473684210526316</v>
      </c>
      <c r="AN13" s="81">
        <f t="shared" si="12"/>
        <v>0.10526315789473684</v>
      </c>
    </row>
    <row r="14" spans="1:42" x14ac:dyDescent="0.2">
      <c r="B14" s="670" t="s">
        <v>21</v>
      </c>
      <c r="C14" s="591"/>
      <c r="D14" s="591"/>
      <c r="E14" s="93">
        <v>6</v>
      </c>
      <c r="F14" s="29"/>
      <c r="G14" s="30"/>
      <c r="H14" s="265" t="s">
        <v>235</v>
      </c>
      <c r="I14" s="11" t="s">
        <v>236</v>
      </c>
      <c r="J14" s="276" t="s">
        <v>237</v>
      </c>
      <c r="K14" s="277"/>
      <c r="L14" s="277"/>
      <c r="M14" s="277"/>
      <c r="N14" s="277"/>
      <c r="O14" s="277"/>
      <c r="P14" s="277"/>
      <c r="Q14" s="277"/>
      <c r="R14" s="278"/>
      <c r="S14" s="25" t="s">
        <v>149</v>
      </c>
      <c r="T14" s="52">
        <v>6</v>
      </c>
      <c r="U14" s="55"/>
      <c r="V14" s="56" t="s">
        <v>144</v>
      </c>
      <c r="W14" s="56"/>
      <c r="X14" s="116"/>
      <c r="Y14" s="113"/>
      <c r="Z14" s="170">
        <f t="shared" si="0"/>
        <v>11</v>
      </c>
      <c r="AA14" s="567" cm="1">
        <f t="array" ref="AA14">CountUniquePeopleByTask($H14,$J$44:$AM$51,$H$44:$I$51)</f>
        <v>1</v>
      </c>
      <c r="AB14" s="49">
        <f t="shared" si="1"/>
        <v>11</v>
      </c>
      <c r="AC14" s="16">
        <f t="shared" si="2"/>
        <v>0</v>
      </c>
      <c r="AD14" s="16">
        <f t="shared" si="3"/>
        <v>11</v>
      </c>
      <c r="AE14" s="88">
        <f t="shared" si="4"/>
        <v>55.18333333333333</v>
      </c>
      <c r="AF14" s="110">
        <f t="shared" si="5"/>
        <v>1</v>
      </c>
      <c r="AG14" s="79">
        <f t="shared" si="6"/>
        <v>4.7413793103448273E-2</v>
      </c>
      <c r="AH14" s="579" cm="1">
        <f t="array" ref="AH14">CountUniquePeopleByTask($H14,$J$31:$AM$38,$H$31:$I$38)</f>
        <v>1</v>
      </c>
      <c r="AI14" s="49">
        <f t="shared" si="7"/>
        <v>15</v>
      </c>
      <c r="AJ14" s="16">
        <f t="shared" si="8"/>
        <v>0</v>
      </c>
      <c r="AK14" s="16">
        <f t="shared" si="9"/>
        <v>15</v>
      </c>
      <c r="AL14" s="88">
        <f t="shared" si="10"/>
        <v>75.25</v>
      </c>
      <c r="AM14" s="110">
        <f t="shared" si="11"/>
        <v>1.3636363636363638</v>
      </c>
      <c r="AN14" s="81">
        <f t="shared" si="12"/>
        <v>0.36363636363636365</v>
      </c>
    </row>
    <row r="15" spans="1:42" x14ac:dyDescent="0.2">
      <c r="B15" s="671" t="s">
        <v>22</v>
      </c>
      <c r="C15" s="596"/>
      <c r="D15" s="597"/>
      <c r="E15" s="94">
        <v>0.9</v>
      </c>
      <c r="F15" s="29"/>
      <c r="G15" s="30"/>
      <c r="H15" s="243" t="s">
        <v>238</v>
      </c>
      <c r="I15" s="11" t="s">
        <v>239</v>
      </c>
      <c r="J15" s="276" t="s">
        <v>240</v>
      </c>
      <c r="K15" s="277"/>
      <c r="L15" s="277"/>
      <c r="M15" s="277"/>
      <c r="N15" s="277"/>
      <c r="O15" s="277"/>
      <c r="P15" s="277"/>
      <c r="Q15" s="277"/>
      <c r="R15" s="278"/>
      <c r="S15" s="25" t="s">
        <v>26</v>
      </c>
      <c r="T15" s="52">
        <v>2</v>
      </c>
      <c r="U15" s="55"/>
      <c r="V15" s="56" t="s">
        <v>144</v>
      </c>
      <c r="W15" s="56"/>
      <c r="X15" s="116"/>
      <c r="Y15" s="113"/>
      <c r="Z15" s="170">
        <f t="shared" si="0"/>
        <v>4</v>
      </c>
      <c r="AA15" s="567" cm="1">
        <f t="array" ref="AA15">CountUniquePeopleByTask($H15,$J$44:$AM$51,$H$44:$I$51)</f>
        <v>1</v>
      </c>
      <c r="AB15" s="49">
        <f t="shared" si="1"/>
        <v>4</v>
      </c>
      <c r="AC15" s="16">
        <f t="shared" si="2"/>
        <v>0</v>
      </c>
      <c r="AD15" s="16">
        <f t="shared" si="3"/>
        <v>4</v>
      </c>
      <c r="AE15" s="88">
        <f t="shared" si="4"/>
        <v>20.066666666666666</v>
      </c>
      <c r="AF15" s="110">
        <f t="shared" si="5"/>
        <v>1</v>
      </c>
      <c r="AG15" s="79">
        <f t="shared" si="6"/>
        <v>1.7241379310344827E-2</v>
      </c>
      <c r="AH15" s="579" cm="1">
        <f t="array" ref="AH15">CountUniquePeopleByTask($H15,$J$31:$AM$38,$H$31:$I$38)</f>
        <v>1</v>
      </c>
      <c r="AI15" s="49">
        <f t="shared" si="7"/>
        <v>4</v>
      </c>
      <c r="AJ15" s="16">
        <f t="shared" si="8"/>
        <v>0</v>
      </c>
      <c r="AK15" s="16">
        <f t="shared" si="9"/>
        <v>4</v>
      </c>
      <c r="AL15" s="88">
        <f t="shared" si="10"/>
        <v>20.066666666666666</v>
      </c>
      <c r="AM15" s="110">
        <f t="shared" si="11"/>
        <v>1</v>
      </c>
      <c r="AN15" s="81">
        <f t="shared" si="12"/>
        <v>0</v>
      </c>
    </row>
    <row r="16" spans="1:42" x14ac:dyDescent="0.2">
      <c r="B16" s="671" t="s">
        <v>3</v>
      </c>
      <c r="C16" s="596"/>
      <c r="D16" s="597"/>
      <c r="E16" s="93">
        <v>0</v>
      </c>
      <c r="F16" s="29"/>
      <c r="G16" s="30"/>
      <c r="H16" s="247" t="s">
        <v>241</v>
      </c>
      <c r="I16" s="11" t="s">
        <v>242</v>
      </c>
      <c r="J16" s="276" t="s">
        <v>243</v>
      </c>
      <c r="K16" s="277"/>
      <c r="L16" s="277"/>
      <c r="M16" s="277"/>
      <c r="N16" s="277"/>
      <c r="O16" s="277"/>
      <c r="P16" s="277"/>
      <c r="Q16" s="277"/>
      <c r="R16" s="278"/>
      <c r="S16" s="25" t="s">
        <v>26</v>
      </c>
      <c r="T16" s="52">
        <v>11</v>
      </c>
      <c r="U16" s="55"/>
      <c r="V16" s="56"/>
      <c r="W16" s="56"/>
      <c r="X16" s="116"/>
      <c r="Y16" s="113"/>
      <c r="Z16" s="170">
        <f t="shared" si="0"/>
        <v>21</v>
      </c>
      <c r="AA16" s="567" cm="1">
        <f t="array" ref="AA16">CountUniquePeopleByTask($H16,$J$44:$AM$51,$H$44:$I$51)</f>
        <v>1</v>
      </c>
      <c r="AB16" s="49">
        <f t="shared" si="1"/>
        <v>18</v>
      </c>
      <c r="AC16" s="16">
        <f t="shared" si="2"/>
        <v>0</v>
      </c>
      <c r="AD16" s="16">
        <f t="shared" si="3"/>
        <v>18</v>
      </c>
      <c r="AE16" s="88">
        <f t="shared" si="4"/>
        <v>90.3</v>
      </c>
      <c r="AF16" s="110">
        <f t="shared" si="5"/>
        <v>0.8571428571428571</v>
      </c>
      <c r="AG16" s="79">
        <f t="shared" si="6"/>
        <v>7.7586206896551727E-2</v>
      </c>
      <c r="AH16" s="579" cm="1">
        <f t="array" ref="AH16">CountUniquePeopleByTask($H16,$J$31:$AM$38,$H$31:$I$38)</f>
        <v>1</v>
      </c>
      <c r="AI16" s="49">
        <f t="shared" si="7"/>
        <v>15</v>
      </c>
      <c r="AJ16" s="16">
        <f t="shared" si="8"/>
        <v>0</v>
      </c>
      <c r="AK16" s="16">
        <f t="shared" si="9"/>
        <v>15</v>
      </c>
      <c r="AL16" s="88">
        <f t="shared" si="10"/>
        <v>75.25</v>
      </c>
      <c r="AM16" s="110">
        <f t="shared" si="11"/>
        <v>0.83333333333333337</v>
      </c>
      <c r="AN16" s="81">
        <f t="shared" si="12"/>
        <v>0.16666666666666666</v>
      </c>
    </row>
    <row r="17" spans="2:40" ht="17" thickBot="1" x14ac:dyDescent="0.25">
      <c r="B17" s="672" t="s">
        <v>34</v>
      </c>
      <c r="C17" s="673"/>
      <c r="D17" s="673"/>
      <c r="E17" s="95">
        <v>45474</v>
      </c>
      <c r="F17" s="29"/>
      <c r="G17" s="30"/>
      <c r="H17" s="552"/>
      <c r="I17" s="11"/>
      <c r="J17" s="276"/>
      <c r="K17" s="277"/>
      <c r="L17" s="277"/>
      <c r="M17" s="277"/>
      <c r="N17" s="277"/>
      <c r="O17" s="277"/>
      <c r="P17" s="277"/>
      <c r="Q17" s="277"/>
      <c r="R17" s="278"/>
      <c r="S17" s="25" t="s">
        <v>26</v>
      </c>
      <c r="T17" s="52"/>
      <c r="U17" s="55"/>
      <c r="V17" s="56"/>
      <c r="W17" s="56"/>
      <c r="X17" s="116"/>
      <c r="Y17" s="113"/>
      <c r="Z17" s="170">
        <f t="shared" si="0"/>
        <v>0</v>
      </c>
      <c r="AA17" s="567" t="str" cm="1">
        <f t="array" ref="AA17">CountUniquePeopleByTask($H17,$J$44:$AM$51,$H$44:$I$51)</f>
        <v>-</v>
      </c>
      <c r="AB17" s="49">
        <f t="shared" si="1"/>
        <v>0</v>
      </c>
      <c r="AC17" s="16">
        <f t="shared" si="2"/>
        <v>0</v>
      </c>
      <c r="AD17" s="16">
        <f t="shared" si="3"/>
        <v>0</v>
      </c>
      <c r="AE17" s="88">
        <f t="shared" si="4"/>
        <v>0</v>
      </c>
      <c r="AF17" s="110">
        <f t="shared" si="5"/>
        <v>0</v>
      </c>
      <c r="AG17" s="79">
        <f t="shared" si="6"/>
        <v>0</v>
      </c>
      <c r="AH17" s="579" t="str" cm="1">
        <f t="array" ref="AH17">CountUniquePeopleByTask($H17,$J$31:$AM$38,$H$31:$I$38)</f>
        <v>-</v>
      </c>
      <c r="AI17" s="49">
        <f t="shared" si="7"/>
        <v>0</v>
      </c>
      <c r="AJ17" s="16">
        <f t="shared" si="8"/>
        <v>0</v>
      </c>
      <c r="AK17" s="16">
        <f t="shared" si="9"/>
        <v>0</v>
      </c>
      <c r="AL17" s="88">
        <f t="shared" si="10"/>
        <v>0</v>
      </c>
      <c r="AM17" s="110">
        <f t="shared" si="11"/>
        <v>0</v>
      </c>
      <c r="AN17" s="81" t="str">
        <f t="shared" si="12"/>
        <v>Unplanned</v>
      </c>
    </row>
    <row r="18" spans="2:40" ht="17" thickBot="1" x14ac:dyDescent="0.25">
      <c r="B18" s="19"/>
      <c r="C18" s="19"/>
      <c r="D18" s="19"/>
      <c r="E18" s="19"/>
      <c r="F18" s="29"/>
      <c r="G18" s="30"/>
      <c r="H18" s="251" t="s">
        <v>245</v>
      </c>
      <c r="I18" s="11" t="s">
        <v>246</v>
      </c>
      <c r="J18" s="276" t="s">
        <v>247</v>
      </c>
      <c r="K18" s="277"/>
      <c r="L18" s="277"/>
      <c r="M18" s="277"/>
      <c r="N18" s="277"/>
      <c r="O18" s="277"/>
      <c r="P18" s="277"/>
      <c r="Q18" s="277"/>
      <c r="R18" s="278"/>
      <c r="S18" s="25" t="s">
        <v>26</v>
      </c>
      <c r="T18" s="52">
        <v>5</v>
      </c>
      <c r="U18" s="55"/>
      <c r="V18" s="56"/>
      <c r="W18" s="56"/>
      <c r="X18" s="116"/>
      <c r="Y18" s="113"/>
      <c r="Z18" s="170">
        <f t="shared" si="0"/>
        <v>10</v>
      </c>
      <c r="AA18" s="567" cm="1">
        <f t="array" ref="AA18">CountUniquePeopleByTask($H18,$J$44:$AM$51,$H$44:$I$51)</f>
        <v>1</v>
      </c>
      <c r="AB18" s="85">
        <f t="shared" si="1"/>
        <v>10</v>
      </c>
      <c r="AC18" s="44">
        <f t="shared" si="2"/>
        <v>0</v>
      </c>
      <c r="AD18" s="44">
        <f t="shared" ref="AD18" si="17">AB18+AC18</f>
        <v>10</v>
      </c>
      <c r="AE18" s="89">
        <f t="shared" ref="AE18" si="18">AB18*$C$37+AC18*$D$37</f>
        <v>50.166666666666664</v>
      </c>
      <c r="AF18" s="110">
        <f t="shared" si="5"/>
        <v>1</v>
      </c>
      <c r="AG18" s="79">
        <f t="shared" si="6"/>
        <v>4.3103448275862072E-2</v>
      </c>
      <c r="AH18" s="579" cm="1">
        <f t="array" ref="AH18">CountUniquePeopleByTask($H18,$J$31:$AM$38,$H$31:$I$38)</f>
        <v>1</v>
      </c>
      <c r="AI18" s="85">
        <f t="shared" si="7"/>
        <v>7</v>
      </c>
      <c r="AJ18" s="44">
        <f t="shared" si="8"/>
        <v>0</v>
      </c>
      <c r="AK18" s="44">
        <f t="shared" ref="AK18" si="19">AI18+AJ18</f>
        <v>7</v>
      </c>
      <c r="AL18" s="89">
        <f t="shared" ref="AL18" si="20">AI18*$C$37+AJ18*$D$37</f>
        <v>35.116666666666667</v>
      </c>
      <c r="AM18" s="110">
        <f t="shared" si="11"/>
        <v>0.70000000000000007</v>
      </c>
      <c r="AN18" s="81">
        <f t="shared" si="12"/>
        <v>0.3</v>
      </c>
    </row>
    <row r="19" spans="2:40" ht="17" thickBot="1" x14ac:dyDescent="0.25">
      <c r="B19" s="644" t="s">
        <v>128</v>
      </c>
      <c r="C19" s="644"/>
      <c r="D19" s="644"/>
      <c r="E19" s="644" t="s">
        <v>128</v>
      </c>
      <c r="F19" s="29"/>
      <c r="G19" s="30"/>
      <c r="H19" s="250" t="s">
        <v>178</v>
      </c>
      <c r="I19" s="11"/>
      <c r="J19" s="276"/>
      <c r="K19" s="277"/>
      <c r="L19" s="277"/>
      <c r="M19" s="277"/>
      <c r="N19" s="277"/>
      <c r="O19" s="277"/>
      <c r="P19" s="277"/>
      <c r="Q19" s="277"/>
      <c r="R19" s="278"/>
      <c r="S19" s="25" t="s">
        <v>149</v>
      </c>
      <c r="T19" s="52">
        <v>4</v>
      </c>
      <c r="U19" s="55"/>
      <c r="V19" s="56"/>
      <c r="W19" s="56"/>
      <c r="X19" s="116"/>
      <c r="Y19" s="113"/>
      <c r="Z19" s="170">
        <f t="shared" ref="Z19" si="21">IF(OR($E$37=0,T19=0),0,IF($E$37=0,0,ROUNDUP(T19*8/$E$37,0)))</f>
        <v>8</v>
      </c>
      <c r="AA19" s="567" cm="1">
        <f t="array" ref="AA19">CountUniquePeopleByTask($H19,$J$44:$AM$51,$H$44:$I$51)</f>
        <v>1</v>
      </c>
      <c r="AB19" s="85">
        <f t="shared" si="1"/>
        <v>7</v>
      </c>
      <c r="AC19" s="44">
        <f t="shared" si="2"/>
        <v>0</v>
      </c>
      <c r="AD19" s="44">
        <f t="shared" ref="AD19" si="22">AB19+AC19</f>
        <v>7</v>
      </c>
      <c r="AE19" s="89">
        <f t="shared" ref="AE19" si="23">AB19*$C$37+AC19*$D$37</f>
        <v>35.116666666666667</v>
      </c>
      <c r="AF19" s="110">
        <f t="shared" si="5"/>
        <v>0.875</v>
      </c>
      <c r="AG19" s="79">
        <f t="shared" si="6"/>
        <v>3.017241379310345E-2</v>
      </c>
      <c r="AH19" s="579" cm="1">
        <f t="array" ref="AH19">CountUniquePeopleByTask($H19,$J$31:$AM$38,$H$31:$I$38)</f>
        <v>1</v>
      </c>
      <c r="AI19" s="85">
        <f t="shared" si="7"/>
        <v>5</v>
      </c>
      <c r="AJ19" s="44">
        <f t="shared" si="8"/>
        <v>0</v>
      </c>
      <c r="AK19" s="44">
        <f t="shared" ref="AK19" si="24">AI19+AJ19</f>
        <v>5</v>
      </c>
      <c r="AL19" s="89">
        <f t="shared" ref="AL19" si="25">AI19*$C$37+AJ19*$D$37</f>
        <v>25.083333333333332</v>
      </c>
      <c r="AM19" s="110">
        <f t="shared" si="11"/>
        <v>0.71428571428571419</v>
      </c>
      <c r="AN19" s="81">
        <f t="shared" si="12"/>
        <v>0.2857142857142857</v>
      </c>
    </row>
    <row r="20" spans="2:40" x14ac:dyDescent="0.2">
      <c r="B20" s="693" t="s">
        <v>175</v>
      </c>
      <c r="C20" s="694"/>
      <c r="D20" s="157">
        <v>0.25</v>
      </c>
      <c r="E20" s="156">
        <f>AM24</f>
        <v>0</v>
      </c>
      <c r="F20" s="29"/>
      <c r="G20" s="30"/>
      <c r="H20" s="161" t="s">
        <v>51</v>
      </c>
      <c r="I20" s="11"/>
      <c r="J20" s="276"/>
      <c r="K20" s="277"/>
      <c r="L20" s="277"/>
      <c r="M20" s="277"/>
      <c r="N20" s="277"/>
      <c r="O20" s="277"/>
      <c r="P20" s="277"/>
      <c r="Q20" s="277"/>
      <c r="R20" s="278"/>
      <c r="S20" s="25" t="s">
        <v>149</v>
      </c>
      <c r="T20" s="52">
        <v>0</v>
      </c>
      <c r="U20" s="55"/>
      <c r="V20" s="56"/>
      <c r="W20" s="56"/>
      <c r="X20" s="116"/>
      <c r="Y20" s="113"/>
      <c r="Z20" s="170">
        <f t="shared" si="0"/>
        <v>0</v>
      </c>
      <c r="AA20" s="567" cm="1">
        <f t="array" ref="AA20">CountUniquePeopleByTask($H20,$J$44:$AM$51,$H$44:$I$51)</f>
        <v>0</v>
      </c>
      <c r="AB20" s="85">
        <f t="shared" si="1"/>
        <v>0</v>
      </c>
      <c r="AC20" s="44">
        <f t="shared" si="2"/>
        <v>0</v>
      </c>
      <c r="AD20" s="44">
        <f t="shared" si="3"/>
        <v>0</v>
      </c>
      <c r="AE20" s="89">
        <f t="shared" si="4"/>
        <v>0</v>
      </c>
      <c r="AF20" s="110">
        <f t="shared" si="5"/>
        <v>0</v>
      </c>
      <c r="AG20" s="79">
        <f t="shared" si="6"/>
        <v>0</v>
      </c>
      <c r="AH20" s="579" cm="1">
        <f t="array" ref="AH20">CountUniquePeopleByTask($H20,$J$31:$AM$38,$H$31:$I$38)</f>
        <v>0</v>
      </c>
      <c r="AI20" s="85">
        <f t="shared" si="7"/>
        <v>0</v>
      </c>
      <c r="AJ20" s="44">
        <f t="shared" si="8"/>
        <v>0</v>
      </c>
      <c r="AK20" s="44">
        <f t="shared" si="9"/>
        <v>0</v>
      </c>
      <c r="AL20" s="89">
        <f t="shared" si="10"/>
        <v>0</v>
      </c>
      <c r="AM20" s="110">
        <f t="shared" si="11"/>
        <v>0</v>
      </c>
      <c r="AN20" s="81" t="str">
        <f t="shared" si="12"/>
        <v>Unplanned</v>
      </c>
    </row>
    <row r="21" spans="2:40" x14ac:dyDescent="0.2">
      <c r="B21" s="684" t="s">
        <v>24</v>
      </c>
      <c r="C21" s="685"/>
      <c r="D21" s="26">
        <v>0.125</v>
      </c>
      <c r="E21" s="156">
        <f>AM23</f>
        <v>1.3175824175824176</v>
      </c>
      <c r="F21" s="29"/>
      <c r="G21" s="30"/>
      <c r="H21" s="172" t="s">
        <v>62</v>
      </c>
      <c r="I21" s="11"/>
      <c r="J21" s="276"/>
      <c r="K21" s="277"/>
      <c r="L21" s="277"/>
      <c r="M21" s="277"/>
      <c r="N21" s="277"/>
      <c r="O21" s="277"/>
      <c r="P21" s="277"/>
      <c r="Q21" s="277"/>
      <c r="R21" s="278"/>
      <c r="S21" s="25" t="s">
        <v>26</v>
      </c>
      <c r="T21" s="52">
        <v>0</v>
      </c>
      <c r="U21" s="55"/>
      <c r="V21" s="56"/>
      <c r="W21" s="56"/>
      <c r="X21" s="116"/>
      <c r="Y21" s="113"/>
      <c r="Z21" s="170">
        <f t="shared" si="0"/>
        <v>0</v>
      </c>
      <c r="AA21" s="567" cm="1">
        <f t="array" ref="AA21">CountUniquePeopleByTask($H21,$J$44:$AM$51,$H$44:$I$51)</f>
        <v>3</v>
      </c>
      <c r="AB21" s="85">
        <f t="shared" si="1"/>
        <v>15</v>
      </c>
      <c r="AC21" s="44">
        <f t="shared" si="2"/>
        <v>0</v>
      </c>
      <c r="AD21" s="44">
        <f t="shared" si="3"/>
        <v>15</v>
      </c>
      <c r="AE21" s="89">
        <f t="shared" si="4"/>
        <v>75.25</v>
      </c>
      <c r="AF21" s="110">
        <f t="shared" si="5"/>
        <v>0</v>
      </c>
      <c r="AG21" s="79">
        <f t="shared" si="6"/>
        <v>6.4655172413793108E-2</v>
      </c>
      <c r="AH21" s="579" cm="1">
        <f t="array" ref="AH21">CountUniquePeopleByTask($H21,$J$31:$AM$38,$H$31:$I$38)</f>
        <v>5</v>
      </c>
      <c r="AI21" s="85">
        <f t="shared" si="7"/>
        <v>38</v>
      </c>
      <c r="AJ21" s="44">
        <f t="shared" si="8"/>
        <v>0</v>
      </c>
      <c r="AK21" s="44">
        <f t="shared" si="9"/>
        <v>38</v>
      </c>
      <c r="AL21" s="89">
        <f t="shared" si="10"/>
        <v>190.63333333333333</v>
      </c>
      <c r="AM21" s="110">
        <f t="shared" si="11"/>
        <v>2.5333333333333332</v>
      </c>
      <c r="AN21" s="81">
        <f t="shared" si="12"/>
        <v>1.5333333333333334</v>
      </c>
    </row>
    <row r="22" spans="2:40" x14ac:dyDescent="0.2">
      <c r="B22" s="684" t="s">
        <v>28</v>
      </c>
      <c r="C22" s="685"/>
      <c r="D22" s="686"/>
      <c r="E22" s="93">
        <v>2</v>
      </c>
      <c r="F22" s="29"/>
      <c r="G22" s="30"/>
      <c r="H22" s="270" t="s">
        <v>85</v>
      </c>
      <c r="I22" s="11"/>
      <c r="J22" s="276"/>
      <c r="K22" s="277"/>
      <c r="L22" s="277"/>
      <c r="M22" s="277"/>
      <c r="N22" s="277"/>
      <c r="O22" s="277"/>
      <c r="P22" s="277"/>
      <c r="Q22" s="277"/>
      <c r="R22" s="278"/>
      <c r="S22" s="25" t="s">
        <v>152</v>
      </c>
      <c r="T22" s="52">
        <v>0</v>
      </c>
      <c r="U22" s="55"/>
      <c r="V22" s="56"/>
      <c r="W22" s="56"/>
      <c r="X22" s="116"/>
      <c r="Y22" s="113"/>
      <c r="Z22" s="170">
        <f t="shared" si="0"/>
        <v>0</v>
      </c>
      <c r="AA22" s="567" cm="1">
        <f t="array" ref="AA22">CountUniquePeopleByTask($H22,$J$44:$AM$51,$H$44:$I$51)</f>
        <v>0</v>
      </c>
      <c r="AB22" s="85">
        <f t="shared" si="1"/>
        <v>0</v>
      </c>
      <c r="AC22" s="44">
        <f t="shared" si="2"/>
        <v>0</v>
      </c>
      <c r="AD22" s="16">
        <f>AB22+AC22</f>
        <v>0</v>
      </c>
      <c r="AE22" s="90">
        <f t="shared" si="4"/>
        <v>0</v>
      </c>
      <c r="AF22" s="110">
        <f t="shared" si="5"/>
        <v>0</v>
      </c>
      <c r="AG22" s="80">
        <f t="shared" si="6"/>
        <v>0</v>
      </c>
      <c r="AH22" s="579" cm="1">
        <f t="array" ref="AH22">CountUniquePeopleByTask($H22,$J$31:$AM$38,$H$31:$I$38)</f>
        <v>0</v>
      </c>
      <c r="AI22" s="85">
        <f t="shared" si="7"/>
        <v>0</v>
      </c>
      <c r="AJ22" s="44">
        <f t="shared" si="8"/>
        <v>0</v>
      </c>
      <c r="AK22" s="16">
        <f>AI22+AJ22</f>
        <v>0</v>
      </c>
      <c r="AL22" s="90">
        <f t="shared" si="10"/>
        <v>0</v>
      </c>
      <c r="AM22" s="110">
        <f t="shared" si="11"/>
        <v>0</v>
      </c>
      <c r="AN22" s="81" t="str">
        <f t="shared" si="12"/>
        <v>Unplanned</v>
      </c>
    </row>
    <row r="23" spans="2:40" ht="17" thickBot="1" x14ac:dyDescent="0.25">
      <c r="B23" s="687" t="s">
        <v>32</v>
      </c>
      <c r="C23" s="688"/>
      <c r="D23" s="689"/>
      <c r="E23" s="96">
        <v>2</v>
      </c>
      <c r="F23" s="29"/>
      <c r="G23" s="30"/>
      <c r="H23" s="103" t="s">
        <v>23</v>
      </c>
      <c r="I23" s="11"/>
      <c r="J23" s="276" t="s">
        <v>24</v>
      </c>
      <c r="K23" s="277"/>
      <c r="L23" s="277"/>
      <c r="M23" s="277"/>
      <c r="N23" s="277"/>
      <c r="O23" s="277"/>
      <c r="P23" s="277"/>
      <c r="Q23" s="277"/>
      <c r="R23" s="278"/>
      <c r="S23" s="25" t="s">
        <v>23</v>
      </c>
      <c r="T23" s="52">
        <v>0</v>
      </c>
      <c r="U23" s="55"/>
      <c r="V23" s="56"/>
      <c r="W23" s="56"/>
      <c r="X23" s="116"/>
      <c r="Y23" s="113"/>
      <c r="Z23" s="242">
        <v>25</v>
      </c>
      <c r="AA23" s="567" cm="1">
        <f t="array" ref="AA23">CountUniquePeopleByTask($H23,$J$44:$AM$51,$H$44:$I$51)</f>
        <v>4</v>
      </c>
      <c r="AB23" s="49">
        <f t="shared" si="1"/>
        <v>19</v>
      </c>
      <c r="AC23" s="16">
        <f t="shared" si="2"/>
        <v>3</v>
      </c>
      <c r="AD23" s="38">
        <f>AB23+AC23</f>
        <v>22</v>
      </c>
      <c r="AE23" s="87">
        <f t="shared" si="4"/>
        <v>106.16666666666666</v>
      </c>
      <c r="AF23" s="110">
        <f t="shared" si="5"/>
        <v>0.88</v>
      </c>
      <c r="AG23" s="79">
        <f t="shared" si="6"/>
        <v>9.4827586206896547E-2</v>
      </c>
      <c r="AH23" s="579" cm="1">
        <f t="array" ref="AH23">CountUniquePeopleByTask($H23,$J$31:$AM$38,$H$31:$I$38)</f>
        <v>5</v>
      </c>
      <c r="AI23" s="49">
        <f t="shared" si="7"/>
        <v>25</v>
      </c>
      <c r="AJ23" s="16">
        <f t="shared" si="8"/>
        <v>4</v>
      </c>
      <c r="AK23" s="38">
        <f>AI23+AJ23</f>
        <v>29</v>
      </c>
      <c r="AL23" s="87">
        <f t="shared" si="10"/>
        <v>139.88333333333333</v>
      </c>
      <c r="AM23" s="110">
        <f t="shared" si="11"/>
        <v>1.3175824175824176</v>
      </c>
      <c r="AN23" s="81">
        <f t="shared" si="12"/>
        <v>0.31818181818181818</v>
      </c>
    </row>
    <row r="24" spans="2:40" ht="17" thickBot="1" x14ac:dyDescent="0.25">
      <c r="B24" s="19"/>
      <c r="C24" s="19"/>
      <c r="D24" s="19"/>
      <c r="E24" s="19"/>
      <c r="F24" s="29"/>
      <c r="G24" s="30"/>
      <c r="H24" s="104" t="s">
        <v>126</v>
      </c>
      <c r="I24" s="11"/>
      <c r="J24" s="276" t="s">
        <v>27</v>
      </c>
      <c r="K24" s="277"/>
      <c r="L24" s="277"/>
      <c r="M24" s="277"/>
      <c r="N24" s="277"/>
      <c r="O24" s="277"/>
      <c r="P24" s="277"/>
      <c r="Q24" s="277"/>
      <c r="R24" s="278"/>
      <c r="S24" s="25" t="s">
        <v>26</v>
      </c>
      <c r="T24" s="52">
        <v>0</v>
      </c>
      <c r="U24" s="55"/>
      <c r="V24" s="56"/>
      <c r="W24" s="56"/>
      <c r="X24" s="116"/>
      <c r="Y24" s="113"/>
      <c r="Z24" s="170">
        <f>T24</f>
        <v>0</v>
      </c>
      <c r="AA24" s="567" cm="1">
        <f t="array" ref="AA24">CountUniquePeopleByTask($H24,$J$44:$AM$51,$H$44:$I$51)</f>
        <v>0</v>
      </c>
      <c r="AB24" s="49">
        <f t="shared" si="1"/>
        <v>0</v>
      </c>
      <c r="AC24" s="16">
        <f t="shared" si="2"/>
        <v>0</v>
      </c>
      <c r="AD24" s="16">
        <f>AB24+AC24</f>
        <v>0</v>
      </c>
      <c r="AE24" s="88">
        <f t="shared" si="4"/>
        <v>0</v>
      </c>
      <c r="AF24" s="110">
        <f t="shared" si="5"/>
        <v>0</v>
      </c>
      <c r="AG24" s="79">
        <f t="shared" si="6"/>
        <v>0</v>
      </c>
      <c r="AH24" s="579" cm="1">
        <f t="array" ref="AH24">CountUniquePeopleByTask($H24,$J$31:$AM$38,$H$31:$I$38)</f>
        <v>0</v>
      </c>
      <c r="AI24" s="49">
        <f t="shared" si="7"/>
        <v>0</v>
      </c>
      <c r="AJ24" s="16">
        <f t="shared" si="8"/>
        <v>0</v>
      </c>
      <c r="AK24" s="16">
        <f>AI24+AJ24</f>
        <v>0</v>
      </c>
      <c r="AL24" s="88">
        <f t="shared" si="10"/>
        <v>0</v>
      </c>
      <c r="AM24" s="110">
        <f t="shared" si="11"/>
        <v>0</v>
      </c>
      <c r="AN24" s="81" t="str">
        <f t="shared" si="12"/>
        <v>Unplanned</v>
      </c>
    </row>
    <row r="25" spans="2:40" ht="17" thickBot="1" x14ac:dyDescent="0.25">
      <c r="B25" s="677" t="s">
        <v>54</v>
      </c>
      <c r="C25" s="678"/>
      <c r="D25" s="678"/>
      <c r="E25" s="679"/>
      <c r="F25" s="29"/>
      <c r="G25" s="30"/>
      <c r="H25" s="105" t="s">
        <v>29</v>
      </c>
      <c r="I25" s="106"/>
      <c r="J25" s="409" t="s">
        <v>30</v>
      </c>
      <c r="K25" s="410"/>
      <c r="L25" s="410"/>
      <c r="M25" s="410"/>
      <c r="N25" s="410"/>
      <c r="O25" s="410"/>
      <c r="P25" s="410"/>
      <c r="Q25" s="410"/>
      <c r="R25" s="548"/>
      <c r="S25" s="107" t="s">
        <v>29</v>
      </c>
      <c r="T25" s="127">
        <v>0</v>
      </c>
      <c r="U25" s="680"/>
      <c r="V25" s="681"/>
      <c r="W25" s="681"/>
      <c r="X25" s="682"/>
      <c r="Y25" s="114"/>
      <c r="Z25" s="41">
        <f>T25</f>
        <v>0</v>
      </c>
      <c r="AA25" s="568" cm="1">
        <f t="array" ref="AA25">CountUniquePeopleByTask($H25,$J$44:$AM$51,$H$44:$I$51)</f>
        <v>3</v>
      </c>
      <c r="AB25" s="86">
        <f t="shared" si="1"/>
        <v>26</v>
      </c>
      <c r="AC25" s="41">
        <f t="shared" si="2"/>
        <v>22</v>
      </c>
      <c r="AD25" s="41">
        <f>AB25+AC25</f>
        <v>48</v>
      </c>
      <c r="AE25" s="91">
        <f>AB25*8+AC25*6</f>
        <v>340</v>
      </c>
      <c r="AF25" s="43">
        <f t="shared" si="5"/>
        <v>0</v>
      </c>
      <c r="AG25" s="174">
        <f t="shared" si="6"/>
        <v>0.20689655172413793</v>
      </c>
      <c r="AH25" s="580" cm="1">
        <f t="array" ref="AH25">CountUniquePeopleByTask($H25,$J$31:$AM$38,$H$31:$I$38)</f>
        <v>5</v>
      </c>
      <c r="AI25" s="86">
        <f t="shared" si="7"/>
        <v>30</v>
      </c>
      <c r="AJ25" s="41">
        <f t="shared" si="8"/>
        <v>22</v>
      </c>
      <c r="AK25" s="41">
        <f>AI25+AJ25</f>
        <v>52</v>
      </c>
      <c r="AL25" s="91">
        <f>AI25*8+AJ25*6</f>
        <v>372</v>
      </c>
      <c r="AM25" s="43">
        <f t="shared" si="11"/>
        <v>1.0941176470588236</v>
      </c>
      <c r="AN25" s="81">
        <f t="shared" si="12"/>
        <v>8.3333333333333329E-2</v>
      </c>
    </row>
    <row r="26" spans="2:40" ht="17" thickBot="1" x14ac:dyDescent="0.25">
      <c r="B26" s="97"/>
      <c r="C26" s="92" t="s">
        <v>37</v>
      </c>
      <c r="D26" s="75" t="s">
        <v>38</v>
      </c>
      <c r="E26" s="98" t="s">
        <v>39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203</v>
      </c>
      <c r="AA26"/>
      <c r="AB26"/>
      <c r="AC26"/>
      <c r="AD26" s="82">
        <f>SUM(AD6:AD25)</f>
        <v>232</v>
      </c>
      <c r="AE26" s="83">
        <f>SUM(AE6:AE25)</f>
        <v>1251.8666666666668</v>
      </c>
      <c r="AF26"/>
      <c r="AK26" s="82">
        <f>SUM(AK6:AK25)</f>
        <v>239</v>
      </c>
      <c r="AL26" s="83">
        <f>SUM(AL6:AL25)</f>
        <v>1298.9166666666667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0.39674242424242423</v>
      </c>
    </row>
    <row r="27" spans="2:40" x14ac:dyDescent="0.2">
      <c r="B27" s="97" t="s">
        <v>177</v>
      </c>
      <c r="C27" s="16">
        <f>COUNTIF($B$4:$B$11,"=D")</f>
        <v>7</v>
      </c>
      <c r="D27" s="36">
        <f>COUNTIF($B$4:$B$11,"=I")</f>
        <v>1</v>
      </c>
      <c r="E27" s="99">
        <f>C27+D27</f>
        <v>8</v>
      </c>
      <c r="F27" s="29"/>
      <c r="G27" s="30"/>
    </row>
    <row r="28" spans="2:40" x14ac:dyDescent="0.2">
      <c r="B28" s="100" t="s">
        <v>42</v>
      </c>
      <c r="C28" s="16">
        <f>($E$14*5*$C$27)-($C$27*$E$16)</f>
        <v>210</v>
      </c>
      <c r="D28" s="36">
        <f>($E$14*5*$D$27)-($D$27*$E$16)</f>
        <v>30</v>
      </c>
      <c r="E28" s="99">
        <f t="shared" ref="E28:E35" si="26">C28+D28</f>
        <v>240</v>
      </c>
      <c r="F28" s="29"/>
      <c r="G28" s="30"/>
      <c r="J28" s="674" t="s">
        <v>41</v>
      </c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6"/>
    </row>
    <row r="29" spans="2:40" x14ac:dyDescent="0.2">
      <c r="B29" s="97" t="s">
        <v>48</v>
      </c>
      <c r="C29" s="16">
        <f>8*$E$15</f>
        <v>7.2</v>
      </c>
      <c r="D29" s="36">
        <f>6*$E$15</f>
        <v>5.4</v>
      </c>
      <c r="E29" s="99">
        <f>C27*C29+D27*D29</f>
        <v>55.8</v>
      </c>
      <c r="F29" s="29"/>
      <c r="G29" s="30"/>
      <c r="H29"/>
      <c r="I29" s="7"/>
      <c r="J29" s="600" t="s">
        <v>43</v>
      </c>
      <c r="K29" s="601"/>
      <c r="L29" s="601"/>
      <c r="M29" s="601"/>
      <c r="N29" s="699"/>
      <c r="O29" s="601" t="s">
        <v>44</v>
      </c>
      <c r="P29" s="601"/>
      <c r="Q29" s="601"/>
      <c r="R29" s="601"/>
      <c r="S29" s="699"/>
      <c r="T29" s="601" t="s">
        <v>45</v>
      </c>
      <c r="U29" s="601"/>
      <c r="V29" s="601"/>
      <c r="W29" s="601"/>
      <c r="X29" s="699"/>
      <c r="Y29" s="601" t="s">
        <v>46</v>
      </c>
      <c r="Z29" s="601"/>
      <c r="AA29" s="601"/>
      <c r="AB29" s="601"/>
      <c r="AC29" s="699"/>
      <c r="AD29" s="601" t="s">
        <v>47</v>
      </c>
      <c r="AE29" s="601"/>
      <c r="AF29" s="601"/>
      <c r="AG29" s="601"/>
      <c r="AH29" s="699"/>
      <c r="AI29" s="601" t="s">
        <v>83</v>
      </c>
      <c r="AJ29" s="601"/>
      <c r="AK29" s="601"/>
      <c r="AL29" s="601"/>
      <c r="AM29" s="602"/>
    </row>
    <row r="30" spans="2:40" x14ac:dyDescent="0.2">
      <c r="B30" s="97" t="s">
        <v>50</v>
      </c>
      <c r="C30" s="16">
        <f>C28*C29</f>
        <v>1512</v>
      </c>
      <c r="D30" s="36">
        <f>D28*D29</f>
        <v>162</v>
      </c>
      <c r="E30" s="99">
        <f>C30+D30</f>
        <v>1674</v>
      </c>
      <c r="F30" s="29"/>
      <c r="G30" s="30"/>
      <c r="H30" s="600" t="s">
        <v>49</v>
      </c>
      <c r="I30" s="602"/>
      <c r="J30" s="15">
        <f t="shared" ref="J30:AM30" si="27">$E$17+(7*ROUNDDOWN((COLUMN(J$31)-COLUMN($J$31))/5,0))+MOD(COLUMN(J$31)-COLUMN($J$31),5)</f>
        <v>45474</v>
      </c>
      <c r="K30" s="15">
        <f t="shared" si="27"/>
        <v>45475</v>
      </c>
      <c r="L30" s="15">
        <f t="shared" si="27"/>
        <v>45476</v>
      </c>
      <c r="M30" s="15">
        <f t="shared" si="27"/>
        <v>45477</v>
      </c>
      <c r="N30" s="284">
        <f t="shared" si="27"/>
        <v>45478</v>
      </c>
      <c r="O30" s="291">
        <f t="shared" si="27"/>
        <v>45481</v>
      </c>
      <c r="P30" s="15">
        <f t="shared" si="27"/>
        <v>45482</v>
      </c>
      <c r="Q30" s="15">
        <f t="shared" si="27"/>
        <v>45483</v>
      </c>
      <c r="R30" s="15">
        <f t="shared" si="27"/>
        <v>45484</v>
      </c>
      <c r="S30" s="284">
        <f t="shared" si="27"/>
        <v>45485</v>
      </c>
      <c r="T30" s="291">
        <f t="shared" si="27"/>
        <v>45488</v>
      </c>
      <c r="U30" s="15">
        <f t="shared" si="27"/>
        <v>45489</v>
      </c>
      <c r="V30" s="15">
        <f t="shared" si="27"/>
        <v>45490</v>
      </c>
      <c r="W30" s="15">
        <f t="shared" si="27"/>
        <v>45491</v>
      </c>
      <c r="X30" s="284">
        <f t="shared" si="27"/>
        <v>45492</v>
      </c>
      <c r="Y30" s="291">
        <f t="shared" si="27"/>
        <v>45495</v>
      </c>
      <c r="Z30" s="15">
        <f t="shared" si="27"/>
        <v>45496</v>
      </c>
      <c r="AA30" s="15">
        <f t="shared" si="27"/>
        <v>45497</v>
      </c>
      <c r="AB30" s="15">
        <f t="shared" si="27"/>
        <v>45498</v>
      </c>
      <c r="AC30" s="284">
        <f t="shared" si="27"/>
        <v>45499</v>
      </c>
      <c r="AD30" s="291">
        <f t="shared" si="27"/>
        <v>45502</v>
      </c>
      <c r="AE30" s="15">
        <f t="shared" si="27"/>
        <v>45503</v>
      </c>
      <c r="AF30" s="15">
        <f t="shared" si="27"/>
        <v>45504</v>
      </c>
      <c r="AG30" s="15">
        <f t="shared" si="27"/>
        <v>45505</v>
      </c>
      <c r="AH30" s="284">
        <f t="shared" si="27"/>
        <v>45506</v>
      </c>
      <c r="AI30" s="291">
        <f t="shared" si="27"/>
        <v>45509</v>
      </c>
      <c r="AJ30" s="15">
        <f t="shared" si="27"/>
        <v>45510</v>
      </c>
      <c r="AK30" s="15">
        <f t="shared" si="27"/>
        <v>45511</v>
      </c>
      <c r="AL30" s="15">
        <f t="shared" si="27"/>
        <v>45512</v>
      </c>
      <c r="AM30" s="15">
        <f t="shared" si="27"/>
        <v>45513</v>
      </c>
    </row>
    <row r="31" spans="2:40" x14ac:dyDescent="0.2">
      <c r="B31" s="97" t="s">
        <v>51</v>
      </c>
      <c r="C31" s="16">
        <f>$E$14*$E$22*C27</f>
        <v>84</v>
      </c>
      <c r="D31" s="36">
        <f>$E$14*$E$22*D27</f>
        <v>12</v>
      </c>
      <c r="E31" s="99">
        <f t="shared" si="26"/>
        <v>96</v>
      </c>
      <c r="F31" s="29"/>
      <c r="G31" s="30"/>
      <c r="H31" s="593" t="str">
        <f t="shared" ref="H31:H38" si="28">$D4</f>
        <v>Arthur Mota</v>
      </c>
      <c r="I31" s="683"/>
      <c r="J31" s="257" t="s">
        <v>228</v>
      </c>
      <c r="K31" s="54" t="s">
        <v>23</v>
      </c>
      <c r="L31" s="257" t="s">
        <v>228</v>
      </c>
      <c r="M31" s="280" t="s">
        <v>228</v>
      </c>
      <c r="N31" s="285" t="s">
        <v>23</v>
      </c>
      <c r="O31" s="292" t="s">
        <v>23</v>
      </c>
      <c r="P31" s="280" t="s">
        <v>228</v>
      </c>
      <c r="Q31" s="54" t="s">
        <v>23</v>
      </c>
      <c r="R31" s="28" t="s">
        <v>29</v>
      </c>
      <c r="S31" s="287" t="s">
        <v>29</v>
      </c>
      <c r="T31" s="294" t="s">
        <v>29</v>
      </c>
      <c r="U31" s="28" t="s">
        <v>29</v>
      </c>
      <c r="V31" s="28" t="s">
        <v>29</v>
      </c>
      <c r="W31" s="28" t="s">
        <v>29</v>
      </c>
      <c r="X31" s="287" t="s">
        <v>29</v>
      </c>
      <c r="Y31" s="294" t="s">
        <v>29</v>
      </c>
      <c r="Z31" s="28" t="s">
        <v>29</v>
      </c>
      <c r="AA31" s="28" t="s">
        <v>29</v>
      </c>
      <c r="AB31" s="28" t="s">
        <v>29</v>
      </c>
      <c r="AC31" s="287" t="s">
        <v>29</v>
      </c>
      <c r="AD31" s="294" t="s">
        <v>29</v>
      </c>
      <c r="AE31" s="28" t="s">
        <v>29</v>
      </c>
      <c r="AF31" s="28" t="s">
        <v>29</v>
      </c>
      <c r="AG31" s="28" t="s">
        <v>29</v>
      </c>
      <c r="AH31" s="287" t="s">
        <v>29</v>
      </c>
      <c r="AI31" s="294" t="s">
        <v>29</v>
      </c>
      <c r="AJ31" s="28" t="s">
        <v>29</v>
      </c>
      <c r="AK31" s="28" t="s">
        <v>29</v>
      </c>
      <c r="AL31" s="28" t="s">
        <v>29</v>
      </c>
      <c r="AM31" s="28" t="s">
        <v>29</v>
      </c>
    </row>
    <row r="32" spans="2:40" x14ac:dyDescent="0.2">
      <c r="B32" s="97" t="s">
        <v>1</v>
      </c>
      <c r="C32" s="16">
        <f>$E$14*$E$23*COUNTIF($C$4:$C$11,"=Y")</f>
        <v>84</v>
      </c>
      <c r="D32" s="36">
        <v>0</v>
      </c>
      <c r="E32" s="99">
        <f t="shared" si="26"/>
        <v>84</v>
      </c>
      <c r="F32" s="29"/>
      <c r="G32" s="30"/>
      <c r="H32" s="593" t="str">
        <f t="shared" si="28"/>
        <v>Andréa</v>
      </c>
      <c r="I32" s="683"/>
      <c r="J32" s="255" t="s">
        <v>222</v>
      </c>
      <c r="K32" s="255" t="s">
        <v>222</v>
      </c>
      <c r="L32" s="255" t="s">
        <v>222</v>
      </c>
      <c r="M32" s="255" t="s">
        <v>222</v>
      </c>
      <c r="N32" s="286" t="s">
        <v>222</v>
      </c>
      <c r="O32" s="293" t="s">
        <v>222</v>
      </c>
      <c r="P32" s="255" t="s">
        <v>222</v>
      </c>
      <c r="Q32" s="255" t="s">
        <v>222</v>
      </c>
      <c r="R32" s="172" t="s">
        <v>62</v>
      </c>
      <c r="S32" s="172" t="s">
        <v>62</v>
      </c>
      <c r="T32" s="172" t="s">
        <v>62</v>
      </c>
      <c r="U32" s="172" t="s">
        <v>62</v>
      </c>
      <c r="V32" s="172" t="s">
        <v>62</v>
      </c>
      <c r="W32" s="172" t="s">
        <v>62</v>
      </c>
      <c r="X32" s="285" t="s">
        <v>23</v>
      </c>
      <c r="Y32" s="172" t="s">
        <v>62</v>
      </c>
      <c r="Z32" s="200" t="s">
        <v>23</v>
      </c>
      <c r="AA32" s="200" t="s">
        <v>23</v>
      </c>
      <c r="AB32" s="200" t="s">
        <v>23</v>
      </c>
      <c r="AC32" s="172" t="s">
        <v>62</v>
      </c>
      <c r="AD32" s="172" t="s">
        <v>62</v>
      </c>
      <c r="AE32" s="172" t="s">
        <v>62</v>
      </c>
      <c r="AF32" s="279" t="s">
        <v>62</v>
      </c>
      <c r="AG32" s="279" t="s">
        <v>62</v>
      </c>
      <c r="AH32" s="308" t="s">
        <v>225</v>
      </c>
      <c r="AI32" s="311" t="s">
        <v>225</v>
      </c>
      <c r="AJ32" s="200" t="s">
        <v>23</v>
      </c>
      <c r="AK32" s="262" t="s">
        <v>225</v>
      </c>
      <c r="AL32" s="200" t="s">
        <v>23</v>
      </c>
      <c r="AM32" s="262" t="s">
        <v>225</v>
      </c>
    </row>
    <row r="33" spans="1:39" x14ac:dyDescent="0.2">
      <c r="B33" s="97" t="s">
        <v>52</v>
      </c>
      <c r="C33" s="16">
        <f>(0.25*$C$28)+($C$27*$E$14)+$C$27</f>
        <v>101.5</v>
      </c>
      <c r="D33" s="16">
        <f>(0.25*$D$28)+($D$27*$E$14)+$D$27</f>
        <v>14.5</v>
      </c>
      <c r="E33" s="99">
        <f t="shared" si="26"/>
        <v>116</v>
      </c>
      <c r="F33" s="29"/>
      <c r="G33" s="30"/>
      <c r="H33" s="593" t="str">
        <f t="shared" si="28"/>
        <v>André</v>
      </c>
      <c r="I33" s="683"/>
      <c r="J33" s="28" t="s">
        <v>29</v>
      </c>
      <c r="K33" s="28" t="s">
        <v>29</v>
      </c>
      <c r="L33" s="28" t="s">
        <v>29</v>
      </c>
      <c r="M33" s="28" t="s">
        <v>29</v>
      </c>
      <c r="N33" s="287" t="s">
        <v>29</v>
      </c>
      <c r="O33" s="294" t="s">
        <v>29</v>
      </c>
      <c r="P33" s="28" t="s">
        <v>29</v>
      </c>
      <c r="Q33" s="28" t="s">
        <v>29</v>
      </c>
      <c r="R33" s="28" t="s">
        <v>29</v>
      </c>
      <c r="S33" s="287" t="s">
        <v>29</v>
      </c>
      <c r="T33" s="294" t="s">
        <v>29</v>
      </c>
      <c r="U33" s="28" t="s">
        <v>29</v>
      </c>
      <c r="V33" s="262" t="s">
        <v>219</v>
      </c>
      <c r="W33" s="262" t="s">
        <v>219</v>
      </c>
      <c r="X33" s="308" t="s">
        <v>219</v>
      </c>
      <c r="Y33" s="311" t="s">
        <v>219</v>
      </c>
      <c r="Z33" s="262" t="s">
        <v>219</v>
      </c>
      <c r="AA33" s="262" t="s">
        <v>219</v>
      </c>
      <c r="AB33" s="262" t="s">
        <v>219</v>
      </c>
      <c r="AC33" s="308" t="s">
        <v>219</v>
      </c>
      <c r="AD33" s="311" t="s">
        <v>219</v>
      </c>
      <c r="AE33" s="262" t="s">
        <v>219</v>
      </c>
      <c r="AF33" s="262" t="s">
        <v>219</v>
      </c>
      <c r="AG33" s="262" t="s">
        <v>219</v>
      </c>
      <c r="AH33" s="308" t="s">
        <v>219</v>
      </c>
      <c r="AI33" s="311" t="s">
        <v>219</v>
      </c>
      <c r="AJ33" s="262" t="s">
        <v>219</v>
      </c>
      <c r="AK33" s="262" t="s">
        <v>219</v>
      </c>
      <c r="AL33" s="262" t="s">
        <v>219</v>
      </c>
      <c r="AM33" s="262" t="s">
        <v>219</v>
      </c>
    </row>
    <row r="34" spans="1:39" x14ac:dyDescent="0.2">
      <c r="B34" s="97" t="s">
        <v>129</v>
      </c>
      <c r="C34" s="16">
        <f>(4*$E$14*$C$27)+($C$27*($E$14/2))</f>
        <v>189</v>
      </c>
      <c r="D34" s="16">
        <f>(4*$E$14*$D$27)+($D$27*($E$14/2))</f>
        <v>27</v>
      </c>
      <c r="E34" s="99">
        <f>C34+D34</f>
        <v>216</v>
      </c>
      <c r="F34" s="29"/>
      <c r="G34" s="30"/>
      <c r="H34" s="593" t="str">
        <f t="shared" si="28"/>
        <v>Marcela</v>
      </c>
      <c r="I34" s="683"/>
      <c r="J34" s="54" t="s">
        <v>23</v>
      </c>
      <c r="K34" s="248" t="s">
        <v>62</v>
      </c>
      <c r="L34" s="248" t="s">
        <v>62</v>
      </c>
      <c r="M34" s="200" t="s">
        <v>23</v>
      </c>
      <c r="N34" s="331" t="s">
        <v>23</v>
      </c>
      <c r="O34" s="248" t="s">
        <v>62</v>
      </c>
      <c r="P34" s="279" t="s">
        <v>62</v>
      </c>
      <c r="Q34" s="279" t="s">
        <v>62</v>
      </c>
      <c r="R34" s="202" t="s">
        <v>29</v>
      </c>
      <c r="S34" s="301" t="s">
        <v>29</v>
      </c>
      <c r="T34" s="306" t="s">
        <v>29</v>
      </c>
      <c r="U34" s="279" t="s">
        <v>62</v>
      </c>
      <c r="V34" s="279" t="s">
        <v>62</v>
      </c>
      <c r="W34" s="54" t="s">
        <v>23</v>
      </c>
      <c r="X34" s="309" t="s">
        <v>211</v>
      </c>
      <c r="Y34" s="312" t="s">
        <v>211</v>
      </c>
      <c r="Z34" s="283" t="s">
        <v>211</v>
      </c>
      <c r="AA34" s="260" t="s">
        <v>211</v>
      </c>
      <c r="AB34" s="283" t="s">
        <v>211</v>
      </c>
      <c r="AC34" s="309" t="s">
        <v>211</v>
      </c>
      <c r="AD34" s="312" t="s">
        <v>211</v>
      </c>
      <c r="AE34" s="54" t="s">
        <v>23</v>
      </c>
      <c r="AF34" s="260" t="s">
        <v>211</v>
      </c>
      <c r="AG34" s="54" t="s">
        <v>23</v>
      </c>
      <c r="AH34" s="309" t="s">
        <v>211</v>
      </c>
      <c r="AI34" s="312" t="s">
        <v>211</v>
      </c>
      <c r="AJ34" s="283" t="s">
        <v>211</v>
      </c>
      <c r="AK34" s="260" t="s">
        <v>211</v>
      </c>
      <c r="AL34" s="283" t="s">
        <v>211</v>
      </c>
      <c r="AM34" s="260" t="s">
        <v>211</v>
      </c>
    </row>
    <row r="35" spans="1:39" x14ac:dyDescent="0.2">
      <c r="B35" s="97" t="s">
        <v>53</v>
      </c>
      <c r="C35" s="16">
        <f>C30-C31-C32-C33-C34</f>
        <v>1053.5</v>
      </c>
      <c r="D35" s="36">
        <f>D30-D31-D32-D33-D34</f>
        <v>108.5</v>
      </c>
      <c r="E35" s="99">
        <f t="shared" si="26"/>
        <v>1162</v>
      </c>
      <c r="F35" s="29"/>
      <c r="G35" s="30"/>
      <c r="H35" s="593" t="str">
        <f t="shared" si="28"/>
        <v>Josiel</v>
      </c>
      <c r="I35" s="594"/>
      <c r="J35" s="246" t="s">
        <v>167</v>
      </c>
      <c r="K35" s="202" t="s">
        <v>29</v>
      </c>
      <c r="L35" s="246" t="s">
        <v>167</v>
      </c>
      <c r="M35" s="54" t="s">
        <v>23</v>
      </c>
      <c r="N35" s="288" t="s">
        <v>167</v>
      </c>
      <c r="O35" s="296" t="s">
        <v>231</v>
      </c>
      <c r="P35" s="268" t="s">
        <v>231</v>
      </c>
      <c r="Q35" s="268" t="s">
        <v>231</v>
      </c>
      <c r="R35" s="268" t="s">
        <v>231</v>
      </c>
      <c r="S35" s="302" t="s">
        <v>231</v>
      </c>
      <c r="T35" s="296" t="s">
        <v>231</v>
      </c>
      <c r="U35" s="268" t="s">
        <v>231</v>
      </c>
      <c r="V35" s="268" t="s">
        <v>231</v>
      </c>
      <c r="W35" s="200" t="s">
        <v>23</v>
      </c>
      <c r="X35" s="302" t="s">
        <v>231</v>
      </c>
      <c r="Y35" s="307" t="s">
        <v>62</v>
      </c>
      <c r="Z35" s="268" t="s">
        <v>231</v>
      </c>
      <c r="AA35" s="268" t="s">
        <v>231</v>
      </c>
      <c r="AB35" s="268" t="s">
        <v>231</v>
      </c>
      <c r="AC35" s="302" t="s">
        <v>231</v>
      </c>
      <c r="AD35" s="296" t="s">
        <v>231</v>
      </c>
      <c r="AE35" s="268" t="s">
        <v>231</v>
      </c>
      <c r="AF35" s="268" t="s">
        <v>231</v>
      </c>
      <c r="AG35" s="268" t="s">
        <v>231</v>
      </c>
      <c r="AH35" s="316" t="s">
        <v>214</v>
      </c>
      <c r="AI35" s="318" t="s">
        <v>214</v>
      </c>
      <c r="AJ35" s="264" t="s">
        <v>214</v>
      </c>
      <c r="AK35" s="264" t="s">
        <v>214</v>
      </c>
      <c r="AL35" s="264" t="s">
        <v>214</v>
      </c>
      <c r="AM35" s="264" t="s">
        <v>214</v>
      </c>
    </row>
    <row r="36" spans="1:39" x14ac:dyDescent="0.2">
      <c r="B36" s="101" t="s">
        <v>130</v>
      </c>
      <c r="C36" s="76">
        <v>1</v>
      </c>
      <c r="D36" s="119">
        <v>0.8</v>
      </c>
      <c r="E36" s="120" t="s">
        <v>31</v>
      </c>
      <c r="F36" s="29"/>
      <c r="G36" s="30"/>
      <c r="H36" s="593" t="str">
        <f t="shared" si="28"/>
        <v>Fernando</v>
      </c>
      <c r="I36" s="594"/>
      <c r="J36" s="248" t="s">
        <v>62</v>
      </c>
      <c r="K36" s="248" t="s">
        <v>62</v>
      </c>
      <c r="L36" s="248" t="s">
        <v>62</v>
      </c>
      <c r="M36" s="248" t="s">
        <v>62</v>
      </c>
      <c r="N36" s="289" t="s">
        <v>62</v>
      </c>
      <c r="O36" s="297" t="s">
        <v>62</v>
      </c>
      <c r="P36" s="248" t="s">
        <v>62</v>
      </c>
      <c r="Q36" s="259" t="s">
        <v>62</v>
      </c>
      <c r="R36" s="279" t="s">
        <v>62</v>
      </c>
      <c r="S36" s="303" t="s">
        <v>62</v>
      </c>
      <c r="T36" s="307" t="s">
        <v>62</v>
      </c>
      <c r="U36" s="279" t="s">
        <v>62</v>
      </c>
      <c r="V36" s="279" t="s">
        <v>62</v>
      </c>
      <c r="W36" s="279" t="s">
        <v>62</v>
      </c>
      <c r="X36" s="303" t="s">
        <v>62</v>
      </c>
      <c r="Y36" s="294" t="s">
        <v>29</v>
      </c>
      <c r="Z36" s="28" t="s">
        <v>29</v>
      </c>
      <c r="AA36" s="28" t="s">
        <v>29</v>
      </c>
      <c r="AB36" s="28" t="s">
        <v>29</v>
      </c>
      <c r="AC36" s="287" t="s">
        <v>29</v>
      </c>
      <c r="AD36" s="294" t="s">
        <v>29</v>
      </c>
      <c r="AE36" s="28" t="s">
        <v>29</v>
      </c>
      <c r="AF36" s="28" t="s">
        <v>29</v>
      </c>
      <c r="AG36" s="28" t="s">
        <v>29</v>
      </c>
      <c r="AH36" s="287" t="s">
        <v>29</v>
      </c>
      <c r="AI36" s="294" t="s">
        <v>29</v>
      </c>
      <c r="AJ36" s="28" t="s">
        <v>29</v>
      </c>
      <c r="AK36" s="202" t="s">
        <v>29</v>
      </c>
      <c r="AL36" s="202" t="s">
        <v>29</v>
      </c>
      <c r="AM36" s="275" t="s">
        <v>248</v>
      </c>
    </row>
    <row r="37" spans="1:39" x14ac:dyDescent="0.2">
      <c r="B37" s="101" t="s">
        <v>131</v>
      </c>
      <c r="C37" s="76">
        <f>IF(C28=0,0,C35/C28)</f>
        <v>5.0166666666666666</v>
      </c>
      <c r="D37" s="119">
        <f>IF(D28=0,0,D35/D28)</f>
        <v>3.6166666666666667</v>
      </c>
      <c r="E37" s="121">
        <f>IF(D27=0, C37, ((C37*C36)+(D37*D36))/(C36+D36))</f>
        <v>4.3944444444444448</v>
      </c>
      <c r="F37" s="29"/>
      <c r="G37" s="30"/>
      <c r="H37" s="593" t="str">
        <f t="shared" si="28"/>
        <v>Elias</v>
      </c>
      <c r="I37" s="594"/>
      <c r="J37" s="244" t="s">
        <v>238</v>
      </c>
      <c r="K37" s="244" t="s">
        <v>238</v>
      </c>
      <c r="L37" s="244" t="s">
        <v>238</v>
      </c>
      <c r="M37" s="244" t="s">
        <v>238</v>
      </c>
      <c r="N37" s="285" t="s">
        <v>23</v>
      </c>
      <c r="O37" s="298" t="s">
        <v>241</v>
      </c>
      <c r="P37" s="54" t="s">
        <v>23</v>
      </c>
      <c r="Q37" s="269" t="s">
        <v>241</v>
      </c>
      <c r="R37" s="54" t="s">
        <v>23</v>
      </c>
      <c r="S37" s="304" t="s">
        <v>241</v>
      </c>
      <c r="T37" s="216" t="s">
        <v>23</v>
      </c>
      <c r="U37" s="269" t="s">
        <v>241</v>
      </c>
      <c r="V37" s="54" t="s">
        <v>23</v>
      </c>
      <c r="W37" s="269" t="s">
        <v>241</v>
      </c>
      <c r="X37" s="304" t="s">
        <v>241</v>
      </c>
      <c r="Y37" s="298" t="s">
        <v>241</v>
      </c>
      <c r="Z37" s="54" t="s">
        <v>23</v>
      </c>
      <c r="AA37" s="269" t="s">
        <v>241</v>
      </c>
      <c r="AB37" s="54" t="s">
        <v>23</v>
      </c>
      <c r="AC37" s="304" t="s">
        <v>241</v>
      </c>
      <c r="AD37" s="298" t="s">
        <v>241</v>
      </c>
      <c r="AE37" s="54" t="s">
        <v>23</v>
      </c>
      <c r="AF37" s="269" t="s">
        <v>241</v>
      </c>
      <c r="AG37" s="54" t="s">
        <v>23</v>
      </c>
      <c r="AH37" s="304" t="s">
        <v>241</v>
      </c>
      <c r="AI37" s="298" t="s">
        <v>241</v>
      </c>
      <c r="AJ37" s="200" t="s">
        <v>23</v>
      </c>
      <c r="AK37" s="269" t="s">
        <v>241</v>
      </c>
      <c r="AL37" s="200" t="s">
        <v>23</v>
      </c>
      <c r="AM37" s="269" t="s">
        <v>241</v>
      </c>
    </row>
    <row r="38" spans="1:39" ht="17" thickBot="1" x14ac:dyDescent="0.25">
      <c r="B38" s="122" t="s">
        <v>132</v>
      </c>
      <c r="C38" s="123">
        <v>1</v>
      </c>
      <c r="D38" s="124">
        <f>C37/D37</f>
        <v>1.3870967741935483</v>
      </c>
      <c r="E38" s="125" t="s">
        <v>31</v>
      </c>
      <c r="F38" s="29"/>
      <c r="G38" s="30"/>
      <c r="H38" s="593" t="str">
        <f t="shared" si="28"/>
        <v>Ricardo</v>
      </c>
      <c r="I38" s="594"/>
      <c r="J38" s="248" t="s">
        <v>62</v>
      </c>
      <c r="K38" s="248" t="s">
        <v>62</v>
      </c>
      <c r="L38" s="279" t="s">
        <v>62</v>
      </c>
      <c r="M38" s="266" t="s">
        <v>235</v>
      </c>
      <c r="N38" s="290" t="s">
        <v>235</v>
      </c>
      <c r="O38" s="299" t="s">
        <v>235</v>
      </c>
      <c r="P38" s="266" t="s">
        <v>235</v>
      </c>
      <c r="Q38" s="266" t="s">
        <v>235</v>
      </c>
      <c r="R38" s="266" t="s">
        <v>235</v>
      </c>
      <c r="S38" s="290" t="s">
        <v>235</v>
      </c>
      <c r="T38" s="299" t="s">
        <v>235</v>
      </c>
      <c r="U38" s="282" t="s">
        <v>245</v>
      </c>
      <c r="V38" s="266" t="s">
        <v>235</v>
      </c>
      <c r="W38" s="282" t="s">
        <v>245</v>
      </c>
      <c r="X38" s="310" t="s">
        <v>235</v>
      </c>
      <c r="Y38" s="313" t="s">
        <v>235</v>
      </c>
      <c r="Z38" s="281" t="s">
        <v>235</v>
      </c>
      <c r="AA38" s="281" t="s">
        <v>235</v>
      </c>
      <c r="AB38" s="281" t="s">
        <v>235</v>
      </c>
      <c r="AC38" s="320" t="s">
        <v>235</v>
      </c>
      <c r="AD38" s="315" t="s">
        <v>178</v>
      </c>
      <c r="AE38" s="321" t="s">
        <v>178</v>
      </c>
      <c r="AF38" s="321" t="s">
        <v>178</v>
      </c>
      <c r="AG38" s="321" t="s">
        <v>178</v>
      </c>
      <c r="AH38" s="322" t="s">
        <v>178</v>
      </c>
      <c r="AI38" s="319" t="s">
        <v>245</v>
      </c>
      <c r="AJ38" s="252" t="s">
        <v>245</v>
      </c>
      <c r="AK38" s="252" t="s">
        <v>245</v>
      </c>
      <c r="AL38" s="252" t="s">
        <v>245</v>
      </c>
      <c r="AM38" s="252" t="s">
        <v>245</v>
      </c>
    </row>
    <row r="39" spans="1:39" x14ac:dyDescent="0.2">
      <c r="B39" s="7"/>
      <c r="F39" s="29"/>
      <c r="G39" s="30"/>
      <c r="H39"/>
      <c r="I39" s="7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9" x14ac:dyDescent="0.2">
      <c r="F40" s="29"/>
      <c r="G40" s="30"/>
    </row>
    <row r="41" spans="1:39" x14ac:dyDescent="0.2">
      <c r="F41" s="29"/>
      <c r="G41" s="30"/>
      <c r="J41" s="674" t="s">
        <v>96</v>
      </c>
      <c r="K41" s="675"/>
      <c r="L41" s="675"/>
      <c r="M41" s="675"/>
      <c r="N41" s="675"/>
      <c r="O41" s="675"/>
      <c r="P41" s="675"/>
      <c r="Q41" s="675"/>
      <c r="R41" s="675"/>
      <c r="S41" s="675"/>
      <c r="T41" s="675"/>
      <c r="U41" s="675"/>
      <c r="V41" s="675"/>
      <c r="W41" s="675"/>
      <c r="X41" s="675"/>
      <c r="Y41" s="675"/>
      <c r="Z41" s="675"/>
      <c r="AA41" s="675"/>
      <c r="AB41" s="675"/>
      <c r="AC41" s="675"/>
      <c r="AD41" s="675"/>
      <c r="AE41" s="675"/>
      <c r="AF41" s="675"/>
      <c r="AG41" s="675"/>
      <c r="AH41" s="675"/>
      <c r="AI41" s="675"/>
      <c r="AJ41" s="675"/>
      <c r="AK41" s="675"/>
      <c r="AL41" s="675"/>
      <c r="AM41" s="676"/>
    </row>
    <row r="42" spans="1:39" x14ac:dyDescent="0.2">
      <c r="F42" s="29"/>
      <c r="G42" s="30"/>
      <c r="H42"/>
      <c r="I42" s="7"/>
      <c r="J42" s="600" t="s">
        <v>43</v>
      </c>
      <c r="K42" s="601"/>
      <c r="L42" s="601"/>
      <c r="M42" s="601"/>
      <c r="N42" s="699"/>
      <c r="O42" s="601" t="s">
        <v>44</v>
      </c>
      <c r="P42" s="601"/>
      <c r="Q42" s="601"/>
      <c r="R42" s="601"/>
      <c r="S42" s="699"/>
      <c r="T42" s="601" t="s">
        <v>45</v>
      </c>
      <c r="U42" s="601"/>
      <c r="V42" s="601"/>
      <c r="W42" s="601"/>
      <c r="X42" s="699"/>
      <c r="Y42" s="601" t="s">
        <v>46</v>
      </c>
      <c r="Z42" s="601"/>
      <c r="AA42" s="601"/>
      <c r="AB42" s="601"/>
      <c r="AC42" s="699"/>
      <c r="AD42" s="601" t="s">
        <v>47</v>
      </c>
      <c r="AE42" s="601"/>
      <c r="AF42" s="601"/>
      <c r="AG42" s="601"/>
      <c r="AH42" s="699"/>
      <c r="AI42" s="601" t="s">
        <v>83</v>
      </c>
      <c r="AJ42" s="601"/>
      <c r="AK42" s="601"/>
      <c r="AL42" s="601"/>
      <c r="AM42" s="602"/>
    </row>
    <row r="43" spans="1:39" x14ac:dyDescent="0.2">
      <c r="F43" s="29"/>
      <c r="G43" s="30"/>
      <c r="H43" s="600" t="s">
        <v>49</v>
      </c>
      <c r="I43" s="602"/>
      <c r="J43" s="15">
        <f t="shared" ref="J43:AM43" si="29">$E$17+(7*ROUNDDOWN((COLUMN(J$30)-COLUMN($J$30))/5,0))+MOD(COLUMN(J$30)-COLUMN($J$30),5)</f>
        <v>45474</v>
      </c>
      <c r="K43" s="15">
        <f t="shared" si="29"/>
        <v>45475</v>
      </c>
      <c r="L43" s="15">
        <f t="shared" si="29"/>
        <v>45476</v>
      </c>
      <c r="M43" s="15">
        <f t="shared" si="29"/>
        <v>45477</v>
      </c>
      <c r="N43" s="284">
        <f t="shared" si="29"/>
        <v>45478</v>
      </c>
      <c r="O43" s="291">
        <f t="shared" si="29"/>
        <v>45481</v>
      </c>
      <c r="P43" s="15">
        <f t="shared" si="29"/>
        <v>45482</v>
      </c>
      <c r="Q43" s="15">
        <f t="shared" si="29"/>
        <v>45483</v>
      </c>
      <c r="R43" s="15">
        <f t="shared" si="29"/>
        <v>45484</v>
      </c>
      <c r="S43" s="284">
        <f t="shared" si="29"/>
        <v>45485</v>
      </c>
      <c r="T43" s="291">
        <f t="shared" si="29"/>
        <v>45488</v>
      </c>
      <c r="U43" s="15">
        <f t="shared" si="29"/>
        <v>45489</v>
      </c>
      <c r="V43" s="15">
        <f t="shared" si="29"/>
        <v>45490</v>
      </c>
      <c r="W43" s="15">
        <f t="shared" si="29"/>
        <v>45491</v>
      </c>
      <c r="X43" s="284">
        <f t="shared" si="29"/>
        <v>45492</v>
      </c>
      <c r="Y43" s="291">
        <f t="shared" si="29"/>
        <v>45495</v>
      </c>
      <c r="Z43" s="15">
        <f t="shared" si="29"/>
        <v>45496</v>
      </c>
      <c r="AA43" s="15">
        <f t="shared" si="29"/>
        <v>45497</v>
      </c>
      <c r="AB43" s="15">
        <f t="shared" si="29"/>
        <v>45498</v>
      </c>
      <c r="AC43" s="284">
        <f t="shared" si="29"/>
        <v>45499</v>
      </c>
      <c r="AD43" s="291">
        <f t="shared" si="29"/>
        <v>45502</v>
      </c>
      <c r="AE43" s="15">
        <f t="shared" si="29"/>
        <v>45503</v>
      </c>
      <c r="AF43" s="15">
        <f t="shared" si="29"/>
        <v>45504</v>
      </c>
      <c r="AG43" s="15">
        <f t="shared" si="29"/>
        <v>45505</v>
      </c>
      <c r="AH43" s="284">
        <f t="shared" si="29"/>
        <v>45506</v>
      </c>
      <c r="AI43" s="291">
        <f t="shared" si="29"/>
        <v>45509</v>
      </c>
      <c r="AJ43" s="15">
        <f t="shared" si="29"/>
        <v>45510</v>
      </c>
      <c r="AK43" s="15">
        <f t="shared" si="29"/>
        <v>45511</v>
      </c>
      <c r="AL43" s="15">
        <f t="shared" si="29"/>
        <v>45512</v>
      </c>
      <c r="AM43" s="15">
        <f t="shared" si="29"/>
        <v>45513</v>
      </c>
    </row>
    <row r="44" spans="1:39" x14ac:dyDescent="0.2">
      <c r="F44" s="29"/>
      <c r="G44" s="30"/>
      <c r="H44" s="593" t="str">
        <f t="shared" ref="H44:H51" si="30">$D4</f>
        <v>Arthur Mota</v>
      </c>
      <c r="I44" s="683"/>
      <c r="J44" s="257" t="s">
        <v>228</v>
      </c>
      <c r="K44" s="54" t="s">
        <v>23</v>
      </c>
      <c r="L44" s="257" t="s">
        <v>228</v>
      </c>
      <c r="M44" s="255" t="s">
        <v>222</v>
      </c>
      <c r="N44" s="286" t="s">
        <v>222</v>
      </c>
      <c r="O44" s="216" t="s">
        <v>23</v>
      </c>
      <c r="P44" s="255" t="s">
        <v>222</v>
      </c>
      <c r="Q44" s="54" t="s">
        <v>23</v>
      </c>
      <c r="R44" s="28" t="s">
        <v>29</v>
      </c>
      <c r="S44" s="287" t="s">
        <v>29</v>
      </c>
      <c r="T44" s="294" t="s">
        <v>29</v>
      </c>
      <c r="U44" s="28" t="s">
        <v>29</v>
      </c>
      <c r="V44" s="28" t="s">
        <v>29</v>
      </c>
      <c r="W44" s="28" t="s">
        <v>29</v>
      </c>
      <c r="X44" s="287" t="s">
        <v>29</v>
      </c>
      <c r="Y44" s="294" t="s">
        <v>29</v>
      </c>
      <c r="Z44" s="28" t="s">
        <v>29</v>
      </c>
      <c r="AA44" s="28" t="s">
        <v>29</v>
      </c>
      <c r="AB44" s="28" t="s">
        <v>29</v>
      </c>
      <c r="AC44" s="287" t="s">
        <v>29</v>
      </c>
      <c r="AD44" s="294" t="s">
        <v>29</v>
      </c>
      <c r="AE44" s="28" t="s">
        <v>29</v>
      </c>
      <c r="AF44" s="28" t="s">
        <v>29</v>
      </c>
      <c r="AG44" s="28" t="s">
        <v>29</v>
      </c>
      <c r="AH44" s="287" t="s">
        <v>29</v>
      </c>
      <c r="AI44" s="294" t="s">
        <v>29</v>
      </c>
      <c r="AJ44" s="28" t="s">
        <v>29</v>
      </c>
      <c r="AK44" s="28" t="s">
        <v>29</v>
      </c>
      <c r="AL44" s="28" t="s">
        <v>29</v>
      </c>
      <c r="AM44" s="28" t="s">
        <v>29</v>
      </c>
    </row>
    <row r="45" spans="1:39" x14ac:dyDescent="0.2">
      <c r="F45" s="29"/>
      <c r="G45" s="30"/>
      <c r="H45" s="593" t="str">
        <f t="shared" si="30"/>
        <v>Andréa</v>
      </c>
      <c r="I45" s="683"/>
      <c r="J45" s="255" t="s">
        <v>222</v>
      </c>
      <c r="K45" s="255" t="s">
        <v>222</v>
      </c>
      <c r="L45" s="255" t="s">
        <v>222</v>
      </c>
      <c r="M45" s="255" t="s">
        <v>222</v>
      </c>
      <c r="N45" s="286" t="s">
        <v>222</v>
      </c>
      <c r="O45" s="293" t="s">
        <v>222</v>
      </c>
      <c r="P45" s="255" t="s">
        <v>222</v>
      </c>
      <c r="Q45" s="255" t="s">
        <v>222</v>
      </c>
      <c r="R45" s="249" t="s">
        <v>160</v>
      </c>
      <c r="S45" s="300" t="s">
        <v>160</v>
      </c>
      <c r="T45" s="305" t="s">
        <v>160</v>
      </c>
      <c r="U45" s="249" t="s">
        <v>160</v>
      </c>
      <c r="V45" s="249" t="s">
        <v>160</v>
      </c>
      <c r="W45" s="262" t="s">
        <v>225</v>
      </c>
      <c r="X45" s="308" t="s">
        <v>225</v>
      </c>
      <c r="Y45" s="311" t="s">
        <v>225</v>
      </c>
      <c r="Z45" s="262" t="s">
        <v>225</v>
      </c>
      <c r="AA45" s="262" t="s">
        <v>225</v>
      </c>
      <c r="AB45" s="262" t="s">
        <v>225</v>
      </c>
      <c r="AC45" s="308" t="s">
        <v>225</v>
      </c>
      <c r="AD45" s="311" t="s">
        <v>225</v>
      </c>
      <c r="AE45" s="262" t="s">
        <v>225</v>
      </c>
      <c r="AF45" s="262" t="s">
        <v>225</v>
      </c>
      <c r="AG45" s="262" t="s">
        <v>225</v>
      </c>
      <c r="AH45" s="308" t="s">
        <v>225</v>
      </c>
      <c r="AI45" s="311" t="s">
        <v>225</v>
      </c>
      <c r="AJ45" s="262" t="s">
        <v>225</v>
      </c>
      <c r="AK45" s="262" t="s">
        <v>225</v>
      </c>
      <c r="AL45" s="262" t="s">
        <v>225</v>
      </c>
      <c r="AM45" s="262" t="s">
        <v>225</v>
      </c>
    </row>
    <row r="46" spans="1:39" x14ac:dyDescent="0.2">
      <c r="F46" s="29"/>
      <c r="G46" s="30"/>
      <c r="H46" s="593" t="str">
        <f t="shared" si="30"/>
        <v>André</v>
      </c>
      <c r="I46" s="594"/>
      <c r="J46" s="28" t="s">
        <v>29</v>
      </c>
      <c r="K46" s="28" t="s">
        <v>29</v>
      </c>
      <c r="L46" s="28" t="s">
        <v>29</v>
      </c>
      <c r="M46" s="28" t="s">
        <v>29</v>
      </c>
      <c r="N46" s="287" t="s">
        <v>29</v>
      </c>
      <c r="O46" s="294" t="s">
        <v>29</v>
      </c>
      <c r="P46" s="28" t="s">
        <v>29</v>
      </c>
      <c r="Q46" s="28" t="s">
        <v>29</v>
      </c>
      <c r="R46" s="28" t="s">
        <v>29</v>
      </c>
      <c r="S46" s="287" t="s">
        <v>29</v>
      </c>
      <c r="T46" s="294" t="s">
        <v>29</v>
      </c>
      <c r="U46" s="28" t="s">
        <v>29</v>
      </c>
      <c r="V46" s="262" t="s">
        <v>219</v>
      </c>
      <c r="W46" s="262" t="s">
        <v>219</v>
      </c>
      <c r="X46" s="308" t="s">
        <v>219</v>
      </c>
      <c r="Y46" s="311" t="s">
        <v>219</v>
      </c>
      <c r="Z46" s="262" t="s">
        <v>219</v>
      </c>
      <c r="AA46" s="262" t="s">
        <v>219</v>
      </c>
      <c r="AB46" s="262" t="s">
        <v>219</v>
      </c>
      <c r="AC46" s="308" t="s">
        <v>219</v>
      </c>
      <c r="AD46" s="311" t="s">
        <v>219</v>
      </c>
      <c r="AE46" s="262" t="s">
        <v>219</v>
      </c>
      <c r="AF46" s="262" t="s">
        <v>219</v>
      </c>
      <c r="AG46" s="262" t="s">
        <v>219</v>
      </c>
      <c r="AH46" s="308" t="s">
        <v>219</v>
      </c>
      <c r="AI46" s="311" t="s">
        <v>219</v>
      </c>
      <c r="AJ46" s="262" t="s">
        <v>219</v>
      </c>
      <c r="AK46" s="262" t="s">
        <v>219</v>
      </c>
      <c r="AL46" s="262" t="s">
        <v>219</v>
      </c>
      <c r="AM46" s="262" t="s">
        <v>219</v>
      </c>
    </row>
    <row r="47" spans="1:39" x14ac:dyDescent="0.2">
      <c r="F47" s="29"/>
      <c r="G47" s="30"/>
      <c r="H47" s="593" t="str">
        <f t="shared" si="30"/>
        <v>Marcela</v>
      </c>
      <c r="I47" s="594"/>
      <c r="J47" s="54" t="s">
        <v>23</v>
      </c>
      <c r="K47" s="248" t="s">
        <v>62</v>
      </c>
      <c r="L47" s="248" t="s">
        <v>62</v>
      </c>
      <c r="M47" s="248" t="s">
        <v>62</v>
      </c>
      <c r="N47" s="289" t="s">
        <v>62</v>
      </c>
      <c r="O47" s="295" t="s">
        <v>62</v>
      </c>
      <c r="P47" s="260" t="s">
        <v>211</v>
      </c>
      <c r="Q47" s="260" t="s">
        <v>211</v>
      </c>
      <c r="R47" s="260" t="s">
        <v>211</v>
      </c>
      <c r="S47" s="309" t="s">
        <v>211</v>
      </c>
      <c r="T47" s="312" t="s">
        <v>211</v>
      </c>
      <c r="U47" s="54" t="s">
        <v>23</v>
      </c>
      <c r="V47" s="260" t="s">
        <v>211</v>
      </c>
      <c r="W47" s="54" t="s">
        <v>23</v>
      </c>
      <c r="X47" s="309" t="s">
        <v>211</v>
      </c>
      <c r="Y47" s="312" t="s">
        <v>211</v>
      </c>
      <c r="Z47" s="54" t="s">
        <v>23</v>
      </c>
      <c r="AA47" s="260" t="s">
        <v>211</v>
      </c>
      <c r="AB47" s="54" t="s">
        <v>23</v>
      </c>
      <c r="AC47" s="309" t="s">
        <v>211</v>
      </c>
      <c r="AD47" s="312" t="s">
        <v>211</v>
      </c>
      <c r="AE47" s="54" t="s">
        <v>23</v>
      </c>
      <c r="AF47" s="260" t="s">
        <v>211</v>
      </c>
      <c r="AG47" s="54" t="s">
        <v>23</v>
      </c>
      <c r="AH47" s="309" t="s">
        <v>211</v>
      </c>
      <c r="AI47" s="312" t="s">
        <v>211</v>
      </c>
      <c r="AJ47" s="54" t="s">
        <v>23</v>
      </c>
      <c r="AK47" s="260" t="s">
        <v>211</v>
      </c>
      <c r="AL47" s="54" t="s">
        <v>23</v>
      </c>
      <c r="AM47" s="260" t="s">
        <v>211</v>
      </c>
    </row>
    <row r="48" spans="1:39" ht="16" customHeight="1" x14ac:dyDescent="0.2">
      <c r="A48" s="8"/>
      <c r="F48" s="29"/>
      <c r="G48" s="30"/>
      <c r="H48" s="593" t="str">
        <f t="shared" si="30"/>
        <v>Josiel</v>
      </c>
      <c r="I48" s="683"/>
      <c r="J48" s="246" t="s">
        <v>167</v>
      </c>
      <c r="K48" s="54" t="s">
        <v>23</v>
      </c>
      <c r="L48" s="246" t="s">
        <v>167</v>
      </c>
      <c r="M48" s="54" t="s">
        <v>23</v>
      </c>
      <c r="N48" s="288" t="s">
        <v>167</v>
      </c>
      <c r="O48" s="296" t="s">
        <v>231</v>
      </c>
      <c r="P48" s="268" t="s">
        <v>231</v>
      </c>
      <c r="Q48" s="268" t="s">
        <v>231</v>
      </c>
      <c r="R48" s="268" t="s">
        <v>231</v>
      </c>
      <c r="S48" s="302" t="s">
        <v>231</v>
      </c>
      <c r="T48" s="296" t="s">
        <v>231</v>
      </c>
      <c r="U48" s="268" t="s">
        <v>231</v>
      </c>
      <c r="V48" s="268" t="s">
        <v>231</v>
      </c>
      <c r="W48" s="268" t="s">
        <v>231</v>
      </c>
      <c r="X48" s="302" t="s">
        <v>231</v>
      </c>
      <c r="Y48" s="296" t="s">
        <v>231</v>
      </c>
      <c r="Z48" s="268" t="s">
        <v>231</v>
      </c>
      <c r="AA48" s="268" t="s">
        <v>231</v>
      </c>
      <c r="AB48" s="268" t="s">
        <v>231</v>
      </c>
      <c r="AC48" s="302" t="s">
        <v>231</v>
      </c>
      <c r="AD48" s="296" t="s">
        <v>231</v>
      </c>
      <c r="AE48" s="268" t="s">
        <v>231</v>
      </c>
      <c r="AF48" s="268" t="s">
        <v>231</v>
      </c>
      <c r="AG48" s="268" t="s">
        <v>231</v>
      </c>
      <c r="AH48" s="316" t="s">
        <v>214</v>
      </c>
      <c r="AI48" s="318" t="s">
        <v>214</v>
      </c>
      <c r="AJ48" s="264" t="s">
        <v>214</v>
      </c>
      <c r="AK48" s="264" t="s">
        <v>214</v>
      </c>
      <c r="AL48" s="264" t="s">
        <v>214</v>
      </c>
      <c r="AM48" s="264" t="s">
        <v>214</v>
      </c>
    </row>
    <row r="49" spans="1:39" x14ac:dyDescent="0.2">
      <c r="A49" s="8"/>
      <c r="F49" s="31"/>
      <c r="G49" s="32"/>
      <c r="H49" s="593" t="str">
        <f t="shared" si="30"/>
        <v>Fernando</v>
      </c>
      <c r="I49" s="594"/>
      <c r="J49" s="248" t="s">
        <v>62</v>
      </c>
      <c r="K49" s="248" t="s">
        <v>62</v>
      </c>
      <c r="L49" s="248" t="s">
        <v>62</v>
      </c>
      <c r="M49" s="248" t="s">
        <v>62</v>
      </c>
      <c r="N49" s="289" t="s">
        <v>62</v>
      </c>
      <c r="O49" s="297" t="s">
        <v>62</v>
      </c>
      <c r="P49" s="248" t="s">
        <v>62</v>
      </c>
      <c r="Q49" s="259" t="s">
        <v>62</v>
      </c>
      <c r="R49" s="264" t="s">
        <v>214</v>
      </c>
      <c r="S49" s="316" t="s">
        <v>214</v>
      </c>
      <c r="T49" s="318" t="s">
        <v>214</v>
      </c>
      <c r="U49" s="264" t="s">
        <v>214</v>
      </c>
      <c r="V49" s="264" t="s">
        <v>214</v>
      </c>
      <c r="W49" s="28" t="s">
        <v>29</v>
      </c>
      <c r="X49" s="287" t="s">
        <v>29</v>
      </c>
      <c r="Y49" s="294" t="s">
        <v>29</v>
      </c>
      <c r="Z49" s="28" t="s">
        <v>29</v>
      </c>
      <c r="AA49" s="28" t="s">
        <v>29</v>
      </c>
      <c r="AB49" s="28" t="s">
        <v>29</v>
      </c>
      <c r="AC49" s="287" t="s">
        <v>29</v>
      </c>
      <c r="AD49" s="294" t="s">
        <v>29</v>
      </c>
      <c r="AE49" s="28" t="s">
        <v>29</v>
      </c>
      <c r="AF49" s="28" t="s">
        <v>29</v>
      </c>
      <c r="AG49" s="28" t="s">
        <v>29</v>
      </c>
      <c r="AH49" s="287" t="s">
        <v>29</v>
      </c>
      <c r="AI49" s="294" t="s">
        <v>29</v>
      </c>
      <c r="AJ49" s="28" t="s">
        <v>29</v>
      </c>
      <c r="AK49" s="275" t="s">
        <v>248</v>
      </c>
      <c r="AL49" s="275" t="s">
        <v>248</v>
      </c>
      <c r="AM49" s="275" t="s">
        <v>248</v>
      </c>
    </row>
    <row r="50" spans="1:39" x14ac:dyDescent="0.2">
      <c r="A50" s="8"/>
      <c r="F50" s="29"/>
      <c r="G50" s="30"/>
      <c r="H50" s="593" t="str">
        <f t="shared" si="30"/>
        <v>Elias</v>
      </c>
      <c r="I50" s="683"/>
      <c r="J50" s="244" t="s">
        <v>238</v>
      </c>
      <c r="K50" s="244" t="s">
        <v>238</v>
      </c>
      <c r="L50" s="244" t="s">
        <v>238</v>
      </c>
      <c r="M50" s="244" t="s">
        <v>238</v>
      </c>
      <c r="N50" s="304" t="s">
        <v>241</v>
      </c>
      <c r="O50" s="298" t="s">
        <v>241</v>
      </c>
      <c r="P50" s="54" t="s">
        <v>23</v>
      </c>
      <c r="Q50" s="269" t="s">
        <v>241</v>
      </c>
      <c r="R50" s="54" t="s">
        <v>23</v>
      </c>
      <c r="S50" s="304" t="s">
        <v>241</v>
      </c>
      <c r="T50" s="216" t="s">
        <v>23</v>
      </c>
      <c r="U50" s="269" t="s">
        <v>241</v>
      </c>
      <c r="V50" s="54" t="s">
        <v>23</v>
      </c>
      <c r="W50" s="269" t="s">
        <v>241</v>
      </c>
      <c r="X50" s="304" t="s">
        <v>241</v>
      </c>
      <c r="Y50" s="298" t="s">
        <v>241</v>
      </c>
      <c r="Z50" s="54" t="s">
        <v>23</v>
      </c>
      <c r="AA50" s="269" t="s">
        <v>241</v>
      </c>
      <c r="AB50" s="54" t="s">
        <v>23</v>
      </c>
      <c r="AC50" s="304" t="s">
        <v>241</v>
      </c>
      <c r="AD50" s="298" t="s">
        <v>241</v>
      </c>
      <c r="AE50" s="54" t="s">
        <v>23</v>
      </c>
      <c r="AF50" s="269" t="s">
        <v>241</v>
      </c>
      <c r="AG50" s="54" t="s">
        <v>23</v>
      </c>
      <c r="AH50" s="304" t="s">
        <v>241</v>
      </c>
      <c r="AI50" s="298" t="s">
        <v>241</v>
      </c>
      <c r="AJ50" s="269" t="s">
        <v>241</v>
      </c>
      <c r="AK50" s="269" t="s">
        <v>241</v>
      </c>
      <c r="AL50" s="269" t="s">
        <v>241</v>
      </c>
      <c r="AM50" s="269" t="s">
        <v>241</v>
      </c>
    </row>
    <row r="51" spans="1:39" x14ac:dyDescent="0.2">
      <c r="F51" s="29"/>
      <c r="G51" s="30"/>
      <c r="H51" s="593" t="str">
        <f t="shared" si="30"/>
        <v>Ricardo</v>
      </c>
      <c r="I51" s="683"/>
      <c r="J51" s="248" t="s">
        <v>62</v>
      </c>
      <c r="K51" s="248" t="s">
        <v>62</v>
      </c>
      <c r="L51" s="253" t="s">
        <v>178</v>
      </c>
      <c r="M51" s="253" t="s">
        <v>178</v>
      </c>
      <c r="N51" s="314" t="s">
        <v>178</v>
      </c>
      <c r="O51" s="315" t="s">
        <v>178</v>
      </c>
      <c r="P51" s="253" t="s">
        <v>178</v>
      </c>
      <c r="Q51" s="253" t="s">
        <v>178</v>
      </c>
      <c r="R51" s="253" t="s">
        <v>178</v>
      </c>
      <c r="S51" s="290" t="s">
        <v>235</v>
      </c>
      <c r="T51" s="299" t="s">
        <v>235</v>
      </c>
      <c r="U51" s="266" t="s">
        <v>235</v>
      </c>
      <c r="V51" s="266" t="s">
        <v>235</v>
      </c>
      <c r="W51" s="266" t="s">
        <v>235</v>
      </c>
      <c r="X51" s="290" t="s">
        <v>235</v>
      </c>
      <c r="Y51" s="299" t="s">
        <v>235</v>
      </c>
      <c r="Z51" s="266" t="s">
        <v>235</v>
      </c>
      <c r="AA51" s="266" t="s">
        <v>235</v>
      </c>
      <c r="AB51" s="266" t="s">
        <v>235</v>
      </c>
      <c r="AC51" s="290" t="s">
        <v>235</v>
      </c>
      <c r="AD51" s="319" t="s">
        <v>245</v>
      </c>
      <c r="AE51" s="252" t="s">
        <v>245</v>
      </c>
      <c r="AF51" s="252" t="s">
        <v>245</v>
      </c>
      <c r="AG51" s="252" t="s">
        <v>245</v>
      </c>
      <c r="AH51" s="317" t="s">
        <v>245</v>
      </c>
      <c r="AI51" s="319" t="s">
        <v>245</v>
      </c>
      <c r="AJ51" s="252" t="s">
        <v>245</v>
      </c>
      <c r="AK51" s="252" t="s">
        <v>245</v>
      </c>
      <c r="AL51" s="252" t="s">
        <v>245</v>
      </c>
      <c r="AM51" s="252" t="s">
        <v>245</v>
      </c>
    </row>
    <row r="52" spans="1:39" ht="17" thickBot="1" x14ac:dyDescent="0.25">
      <c r="F52" s="33"/>
      <c r="G52" s="30"/>
      <c r="S52"/>
      <c r="T52"/>
      <c r="U52"/>
      <c r="V52"/>
      <c r="X52"/>
      <c r="Y52"/>
      <c r="Z52"/>
      <c r="AA52"/>
      <c r="AB52"/>
      <c r="AC52"/>
      <c r="AD52"/>
      <c r="AE52"/>
      <c r="AF52"/>
    </row>
    <row r="53" spans="1:39" x14ac:dyDescent="0.2">
      <c r="F53" s="33"/>
      <c r="G53" s="30"/>
      <c r="J53" s="186" t="str">
        <f>AP6</f>
        <v>Eng</v>
      </c>
      <c r="K53" s="187" cm="1">
        <f t="array" ref="K53:K57">SUMIFS(AE6:AE25, S6:S25, AP6:AP10)</f>
        <v>286.76666666666665</v>
      </c>
      <c r="L53" s="183">
        <f>IF($K$58=0,0,K53/$K$58)</f>
        <v>0.22907125359463198</v>
      </c>
      <c r="N53" s="271" t="s">
        <v>26</v>
      </c>
      <c r="O53" s="272">
        <f>(K53+K57)/(K53+K54+K57)</f>
        <v>0.43091095189355161</v>
      </c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9" ht="17" thickBot="1" x14ac:dyDescent="0.25">
      <c r="F54" s="33"/>
      <c r="G54" s="30"/>
      <c r="J54" s="188" t="str">
        <f>AP7</f>
        <v>Prod</v>
      </c>
      <c r="K54" s="189">
        <v>518.93333333333339</v>
      </c>
      <c r="L54" s="191">
        <f t="shared" ref="L54:L57" si="31">IF($K$58=0,0,K54/$K$58)</f>
        <v>0.41452763872616893</v>
      </c>
      <c r="N54" s="273" t="s">
        <v>149</v>
      </c>
      <c r="O54" s="274">
        <f>K54/(K53+K54+K57)</f>
        <v>0.56908904810644834</v>
      </c>
      <c r="AA54"/>
      <c r="AD54"/>
      <c r="AE54"/>
      <c r="AF54"/>
    </row>
    <row r="55" spans="1:39" x14ac:dyDescent="0.2">
      <c r="F55" s="33"/>
      <c r="G55" s="30"/>
      <c r="H55"/>
      <c r="J55" s="188" t="str">
        <f>AP8</f>
        <v>Day-by-Day</v>
      </c>
      <c r="K55" s="189">
        <v>0</v>
      </c>
      <c r="L55" s="191">
        <f t="shared" si="31"/>
        <v>0</v>
      </c>
      <c r="N55"/>
      <c r="O55"/>
      <c r="P55"/>
      <c r="R55"/>
      <c r="S55"/>
      <c r="T55"/>
      <c r="U55"/>
      <c r="V55"/>
      <c r="X55"/>
      <c r="Y55"/>
      <c r="Z55"/>
      <c r="AB55"/>
      <c r="AC55"/>
      <c r="AD55"/>
      <c r="AE55"/>
      <c r="AF55"/>
    </row>
    <row r="56" spans="1:39" x14ac:dyDescent="0.2">
      <c r="F56" s="33"/>
      <c r="G56" s="30"/>
      <c r="H56"/>
      <c r="I56" s="7"/>
      <c r="J56" s="184" t="str">
        <f>AP9</f>
        <v>Out</v>
      </c>
      <c r="K56" s="189">
        <v>340</v>
      </c>
      <c r="L56" s="192">
        <f t="shared" si="31"/>
        <v>0.27159441900095854</v>
      </c>
      <c r="M56"/>
      <c r="N56"/>
      <c r="O56"/>
      <c r="P56"/>
      <c r="R56"/>
      <c r="S56"/>
      <c r="T56"/>
      <c r="U56"/>
      <c r="V56"/>
      <c r="X56"/>
      <c r="Y56"/>
      <c r="Z56"/>
      <c r="AA56"/>
      <c r="AB56"/>
      <c r="AC56"/>
      <c r="AD56"/>
      <c r="AE56"/>
      <c r="AF56"/>
    </row>
    <row r="57" spans="1:39" ht="17" thickBot="1" x14ac:dyDescent="0.25">
      <c r="F57" s="33"/>
      <c r="G57" s="30"/>
      <c r="H57"/>
      <c r="I57" s="7"/>
      <c r="J57" s="190" t="str">
        <f>AP10</f>
        <v>Bug</v>
      </c>
      <c r="K57" s="193">
        <v>106.16666666666666</v>
      </c>
      <c r="L57" s="185">
        <f t="shared" si="31"/>
        <v>8.4806688678240483E-2</v>
      </c>
      <c r="M57"/>
      <c r="Q57"/>
      <c r="R57"/>
      <c r="S57"/>
      <c r="T57"/>
      <c r="U57"/>
      <c r="V57"/>
      <c r="X57"/>
    </row>
    <row r="58" spans="1:39" x14ac:dyDescent="0.2">
      <c r="F58" s="33"/>
      <c r="G58" s="30"/>
      <c r="H58"/>
      <c r="I58" s="7"/>
      <c r="J58"/>
      <c r="K58" s="231">
        <f>SUM(_xlfn.ANCHORARRAY(K53))</f>
        <v>1251.8666666666668</v>
      </c>
      <c r="L58"/>
      <c r="M58"/>
      <c r="Q58"/>
      <c r="R58"/>
      <c r="S58"/>
      <c r="T58"/>
      <c r="U58"/>
      <c r="V58"/>
      <c r="X58"/>
      <c r="Y58"/>
      <c r="Z58"/>
      <c r="AA58"/>
      <c r="AB58"/>
      <c r="AC58"/>
      <c r="AD58"/>
      <c r="AE58"/>
      <c r="AF58"/>
    </row>
    <row r="59" spans="1:39" x14ac:dyDescent="0.2">
      <c r="F59" s="33"/>
      <c r="G59" s="30"/>
      <c r="H59"/>
      <c r="I59" s="7"/>
      <c r="M59"/>
      <c r="Q59"/>
      <c r="R59"/>
      <c r="S59"/>
      <c r="T59"/>
      <c r="U59"/>
      <c r="V59"/>
      <c r="X59"/>
      <c r="Y59"/>
      <c r="Z59"/>
      <c r="AA59"/>
      <c r="AB59"/>
      <c r="AC59"/>
      <c r="AD59"/>
      <c r="AE59"/>
      <c r="AF59"/>
    </row>
    <row r="60" spans="1:39" x14ac:dyDescent="0.2">
      <c r="F60" s="33"/>
      <c r="G60" s="30"/>
      <c r="H60"/>
      <c r="I60" s="7"/>
      <c r="M60"/>
      <c r="Q60"/>
      <c r="R60"/>
      <c r="S60"/>
      <c r="T60"/>
      <c r="U60"/>
      <c r="V60"/>
      <c r="X60"/>
      <c r="Y60"/>
      <c r="Z60"/>
      <c r="AA60"/>
      <c r="AB60"/>
      <c r="AC60"/>
      <c r="AD60"/>
      <c r="AE60"/>
      <c r="AF60"/>
    </row>
    <row r="61" spans="1:39" x14ac:dyDescent="0.2">
      <c r="F61" s="33"/>
      <c r="G61" s="34"/>
      <c r="H61"/>
      <c r="I61" s="7"/>
      <c r="M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9" x14ac:dyDescent="0.2">
      <c r="F62" s="33"/>
      <c r="G62" s="34"/>
      <c r="H62"/>
      <c r="I62" s="7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9" x14ac:dyDescent="0.2">
      <c r="G63"/>
      <c r="H63"/>
      <c r="I63" s="7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9" x14ac:dyDescent="0.2">
      <c r="H64"/>
      <c r="I64" s="7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2:40" x14ac:dyDescent="0.2">
      <c r="F65"/>
      <c r="H65"/>
      <c r="I65" s="7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2:40" x14ac:dyDescent="0.2">
      <c r="F66"/>
      <c r="H66"/>
      <c r="I66" s="7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2:40" s="1" customFormat="1" x14ac:dyDescent="0.2">
      <c r="B67"/>
      <c r="C67"/>
      <c r="D67"/>
      <c r="F67"/>
      <c r="G67" s="7"/>
      <c r="H67"/>
      <c r="I67" s="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2:40" s="1" customFormat="1" x14ac:dyDescent="0.2">
      <c r="B68"/>
      <c r="C68"/>
      <c r="D68"/>
      <c r="F68" s="7"/>
      <c r="G68" s="7"/>
      <c r="H68"/>
      <c r="I68" s="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2:40" s="1" customFormat="1" x14ac:dyDescent="0.2">
      <c r="B69"/>
      <c r="C69"/>
      <c r="D69"/>
      <c r="F69" s="7"/>
      <c r="G69" s="7"/>
      <c r="H69"/>
      <c r="I69" s="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2:40" s="1" customFormat="1" x14ac:dyDescent="0.2">
      <c r="B70"/>
      <c r="C70"/>
      <c r="D70"/>
      <c r="F70" s="7"/>
      <c r="G70" s="7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40" s="1" customFormat="1" x14ac:dyDescent="0.2">
      <c r="B71"/>
      <c r="C71"/>
      <c r="D71"/>
      <c r="F71" s="7"/>
      <c r="G71" s="7"/>
      <c r="K71" s="1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40" s="1" customFormat="1" x14ac:dyDescent="0.2">
      <c r="B72"/>
      <c r="C72"/>
      <c r="D72"/>
      <c r="F72" s="7"/>
      <c r="G72" s="7"/>
      <c r="K72" s="19"/>
      <c r="N72" s="19"/>
      <c r="Q72"/>
      <c r="AA72"/>
      <c r="AG72"/>
      <c r="AH72"/>
      <c r="AI72"/>
      <c r="AJ72"/>
      <c r="AK72"/>
      <c r="AL72"/>
      <c r="AM72"/>
    </row>
    <row r="73" spans="2:40" s="1" customFormat="1" x14ac:dyDescent="0.2">
      <c r="B73"/>
      <c r="C73"/>
      <c r="D73"/>
      <c r="F73" s="7"/>
      <c r="G73" s="7"/>
      <c r="N73" s="19"/>
      <c r="Q73"/>
      <c r="AG73"/>
      <c r="AH73"/>
      <c r="AI73"/>
      <c r="AJ73"/>
      <c r="AK73"/>
      <c r="AL73"/>
      <c r="AM73"/>
    </row>
    <row r="74" spans="2:40" s="1" customFormat="1" x14ac:dyDescent="0.2">
      <c r="B74"/>
      <c r="C74"/>
      <c r="D74"/>
      <c r="F74" s="7"/>
      <c r="G74" s="7"/>
      <c r="K74" s="19"/>
      <c r="AG74"/>
      <c r="AH74"/>
      <c r="AI74"/>
      <c r="AJ74"/>
      <c r="AK74"/>
      <c r="AL74"/>
      <c r="AM74"/>
    </row>
    <row r="75" spans="2:40" s="1" customFormat="1" x14ac:dyDescent="0.2">
      <c r="B75"/>
      <c r="C75"/>
      <c r="D75"/>
      <c r="F75" s="7"/>
      <c r="G75" s="7"/>
      <c r="AG75"/>
      <c r="AH75"/>
      <c r="AI75"/>
      <c r="AJ75"/>
      <c r="AK75"/>
      <c r="AL75"/>
      <c r="AM75"/>
    </row>
    <row r="76" spans="2:40" s="1" customFormat="1" x14ac:dyDescent="0.2">
      <c r="B76"/>
      <c r="C76"/>
      <c r="D76"/>
      <c r="F76" s="7"/>
      <c r="G76" s="7"/>
      <c r="AG76"/>
      <c r="AH76"/>
      <c r="AI76"/>
      <c r="AJ76"/>
      <c r="AK76"/>
      <c r="AL76"/>
      <c r="AM76"/>
    </row>
    <row r="77" spans="2:40" x14ac:dyDescent="0.2">
      <c r="AN77" s="1"/>
    </row>
    <row r="85" spans="36:39" x14ac:dyDescent="0.2">
      <c r="AJ85" s="1"/>
      <c r="AK85" s="1"/>
      <c r="AL85" s="1"/>
      <c r="AM85" s="1"/>
    </row>
    <row r="86" spans="36:39" x14ac:dyDescent="0.2">
      <c r="AJ86" s="1"/>
      <c r="AK86" s="1"/>
      <c r="AL86" s="1"/>
      <c r="AM86" s="1"/>
    </row>
    <row r="87" spans="36:39" x14ac:dyDescent="0.2">
      <c r="AJ87" s="1"/>
      <c r="AK87" s="1"/>
      <c r="AL87" s="1"/>
      <c r="AM87" s="1"/>
    </row>
    <row r="88" spans="36:39" x14ac:dyDescent="0.2">
      <c r="AJ88" s="1"/>
      <c r="AK88" s="1"/>
      <c r="AL88" s="1"/>
      <c r="AM88" s="1"/>
    </row>
    <row r="89" spans="36:39" x14ac:dyDescent="0.2">
      <c r="AJ89" s="1"/>
      <c r="AK89" s="1"/>
      <c r="AL89" s="1"/>
      <c r="AM89" s="1"/>
    </row>
    <row r="90" spans="36:39" x14ac:dyDescent="0.2">
      <c r="AJ90" s="1"/>
      <c r="AK90" s="1"/>
      <c r="AL90" s="1"/>
      <c r="AM90" s="1"/>
    </row>
    <row r="91" spans="36:39" x14ac:dyDescent="0.2">
      <c r="AJ91" s="1"/>
      <c r="AK91" s="1"/>
      <c r="AL91" s="1"/>
      <c r="AM91" s="1"/>
    </row>
    <row r="92" spans="36:39" x14ac:dyDescent="0.2">
      <c r="AJ92" s="1"/>
      <c r="AK92" s="1"/>
      <c r="AL92" s="1"/>
      <c r="AM92" s="1"/>
    </row>
    <row r="93" spans="36:39" x14ac:dyDescent="0.2">
      <c r="AJ93" s="1"/>
      <c r="AK93" s="1"/>
      <c r="AL93" s="1"/>
      <c r="AM93" s="1"/>
    </row>
    <row r="94" spans="36:39" x14ac:dyDescent="0.2">
      <c r="AJ94" s="1"/>
      <c r="AK94" s="1"/>
      <c r="AL94" s="1"/>
      <c r="AM94" s="1"/>
    </row>
  </sheetData>
  <mergeCells count="80">
    <mergeCell ref="H51:I51"/>
    <mergeCell ref="AI42:AM42"/>
    <mergeCell ref="H43:I43"/>
    <mergeCell ref="H44:I44"/>
    <mergeCell ref="H45:I45"/>
    <mergeCell ref="H46:I46"/>
    <mergeCell ref="H47:I47"/>
    <mergeCell ref="J42:N42"/>
    <mergeCell ref="O42:S42"/>
    <mergeCell ref="T42:X42"/>
    <mergeCell ref="Y42:AC42"/>
    <mergeCell ref="AD42:AH42"/>
    <mergeCell ref="H48:I48"/>
    <mergeCell ref="H49:I49"/>
    <mergeCell ref="H33:I33"/>
    <mergeCell ref="U25:X25"/>
    <mergeCell ref="B25:E25"/>
    <mergeCell ref="J28:AM28"/>
    <mergeCell ref="H50:I50"/>
    <mergeCell ref="H35:I35"/>
    <mergeCell ref="H36:I36"/>
    <mergeCell ref="H37:I37"/>
    <mergeCell ref="H38:I38"/>
    <mergeCell ref="J41:AM41"/>
    <mergeCell ref="H34:I34"/>
    <mergeCell ref="J29:N29"/>
    <mergeCell ref="O29:S29"/>
    <mergeCell ref="T29:X29"/>
    <mergeCell ref="Y29:AC29"/>
    <mergeCell ref="AD29:AH29"/>
    <mergeCell ref="B23:D23"/>
    <mergeCell ref="AI29:AM29"/>
    <mergeCell ref="H30:I30"/>
    <mergeCell ref="H31:I31"/>
    <mergeCell ref="H32:I32"/>
    <mergeCell ref="B22:D22"/>
    <mergeCell ref="B16:D16"/>
    <mergeCell ref="B17:D17"/>
    <mergeCell ref="B19:E19"/>
    <mergeCell ref="B20:C20"/>
    <mergeCell ref="B21:C21"/>
    <mergeCell ref="D7:E7"/>
    <mergeCell ref="D8:E8"/>
    <mergeCell ref="D9:E9"/>
    <mergeCell ref="B15:D15"/>
    <mergeCell ref="D10:E10"/>
    <mergeCell ref="D11:E11"/>
    <mergeCell ref="B13:E13"/>
    <mergeCell ref="B14:D14"/>
    <mergeCell ref="AB4:AB5"/>
    <mergeCell ref="AP4:AP5"/>
    <mergeCell ref="D5:E5"/>
    <mergeCell ref="D6:E6"/>
    <mergeCell ref="AG4:AG5"/>
    <mergeCell ref="AI4:AI5"/>
    <mergeCell ref="AJ4:AJ5"/>
    <mergeCell ref="AK4:AK5"/>
    <mergeCell ref="AL4:AL5"/>
    <mergeCell ref="AM4:AM5"/>
    <mergeCell ref="AC4:AC5"/>
    <mergeCell ref="AD4:AD5"/>
    <mergeCell ref="AE4:AE5"/>
    <mergeCell ref="AF4:AF5"/>
    <mergeCell ref="AN4:AN5"/>
    <mergeCell ref="AA3:AG3"/>
    <mergeCell ref="AA4:AA5"/>
    <mergeCell ref="AH3:AN3"/>
    <mergeCell ref="AH4:AH5"/>
    <mergeCell ref="B2:E2"/>
    <mergeCell ref="D3:E3"/>
    <mergeCell ref="H3:R3"/>
    <mergeCell ref="S3:S5"/>
    <mergeCell ref="T3:T5"/>
    <mergeCell ref="U3:X5"/>
    <mergeCell ref="Y3:Y5"/>
    <mergeCell ref="Z3:Z5"/>
    <mergeCell ref="D4:E4"/>
    <mergeCell ref="H4:H5"/>
    <mergeCell ref="I4:I5"/>
    <mergeCell ref="J4:R5"/>
  </mergeCells>
  <conditionalFormatting sqref="AF6:AF25">
    <cfRule type="expression" dxfId="97" priority="6">
      <formula>$AF6&gt;1</formula>
    </cfRule>
    <cfRule type="expression" dxfId="96" priority="7">
      <formula>$AF6=1</formula>
    </cfRule>
    <cfRule type="expression" dxfId="95" priority="8">
      <formula>$AF6&lt;1</formula>
    </cfRule>
  </conditionalFormatting>
  <conditionalFormatting sqref="AG6:AG25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94" priority="3">
      <formula>$AM6&lt;1</formula>
    </cfRule>
    <cfRule type="expression" dxfId="93" priority="4">
      <formula>$AM6=1</formula>
    </cfRule>
    <cfRule type="expression" dxfId="92" priority="5">
      <formula>$AM6&gt;1</formula>
    </cfRule>
  </conditionalFormatting>
  <conditionalFormatting sqref="AM26:AN26">
    <cfRule type="colorScale" priority="2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133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91" priority="203">
      <formula>$AD6&gt;=$Z6</formula>
    </cfRule>
    <cfRule type="expression" dxfId="90" priority="204">
      <formula>$AD6&lt;$Z6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8B6F-9BCA-C941-8D35-A037BB62E14B}">
  <sheetPr codeName="Sheet8"/>
  <dimension ref="A1:BB92"/>
  <sheetViews>
    <sheetView showGridLines="0" topLeftCell="E1" zoomScaleNormal="100" workbookViewId="0">
      <selection activeCell="K42" sqref="K42:AS42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4" style="7" customWidth="1"/>
    <col min="9" max="9" width="10.6640625" style="1" customWidth="1"/>
    <col min="10" max="10" width="11.6640625" style="1" customWidth="1"/>
    <col min="11" max="33" width="10.6640625" style="1" customWidth="1"/>
    <col min="34" max="40" width="10.6640625" customWidth="1"/>
  </cols>
  <sheetData>
    <row r="1" spans="1:54" ht="17" thickBot="1" x14ac:dyDescent="0.25">
      <c r="AF1"/>
      <c r="AG1"/>
      <c r="AH1" s="1"/>
      <c r="AI1" s="1"/>
      <c r="AJ1" s="1"/>
    </row>
    <row r="2" spans="1:54" ht="17" thickBot="1" x14ac:dyDescent="0.25">
      <c r="B2" s="644" t="s">
        <v>97</v>
      </c>
      <c r="C2" s="644"/>
      <c r="D2" s="644"/>
      <c r="E2" s="644"/>
      <c r="F2" s="29"/>
      <c r="G2" s="30"/>
      <c r="H2" s="581" t="s">
        <v>98</v>
      </c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  <c r="AF2" s="559"/>
      <c r="AG2" s="559"/>
      <c r="AH2" s="559"/>
      <c r="AI2" s="559"/>
      <c r="AJ2" s="559"/>
      <c r="AK2" s="559"/>
      <c r="AL2" s="559"/>
      <c r="AM2" s="559"/>
      <c r="AN2" s="559"/>
      <c r="AO2" s="559"/>
      <c r="AP2" s="559"/>
      <c r="AQ2" s="559"/>
      <c r="AR2" s="559"/>
      <c r="AS2" s="560"/>
    </row>
    <row r="3" spans="1:54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702" t="s">
        <v>133</v>
      </c>
      <c r="S3" s="705" t="s">
        <v>99</v>
      </c>
      <c r="T3" s="661" t="s">
        <v>100</v>
      </c>
      <c r="U3" s="707" t="s">
        <v>7</v>
      </c>
      <c r="V3" s="647" t="s">
        <v>135</v>
      </c>
      <c r="W3" s="648"/>
      <c r="X3" s="648"/>
      <c r="Y3" s="648"/>
      <c r="Z3" s="648"/>
      <c r="AA3" s="648"/>
      <c r="AB3" s="723"/>
      <c r="AC3" s="647" t="s">
        <v>136</v>
      </c>
      <c r="AD3" s="648"/>
      <c r="AE3" s="648"/>
      <c r="AF3" s="648"/>
      <c r="AG3" s="648"/>
      <c r="AH3" s="648"/>
      <c r="AI3" s="648"/>
      <c r="AJ3" s="648"/>
      <c r="AK3" s="648"/>
      <c r="AL3" s="648"/>
      <c r="AM3" s="648"/>
      <c r="AN3" s="648"/>
      <c r="AO3" s="648"/>
      <c r="AP3" s="648"/>
      <c r="AQ3" s="648"/>
      <c r="AR3" s="648"/>
      <c r="AS3" s="723"/>
    </row>
    <row r="4" spans="1:54" x14ac:dyDescent="0.2">
      <c r="B4" s="102" t="s">
        <v>19</v>
      </c>
      <c r="C4" s="4" t="s">
        <v>14</v>
      </c>
      <c r="D4" s="700" t="s">
        <v>67</v>
      </c>
      <c r="E4" s="701"/>
      <c r="F4" s="148"/>
      <c r="H4" s="726" t="s">
        <v>249</v>
      </c>
      <c r="I4" s="709" t="s">
        <v>16</v>
      </c>
      <c r="J4" s="608" t="s">
        <v>17</v>
      </c>
      <c r="K4" s="607" t="s">
        <v>18</v>
      </c>
      <c r="L4" s="613"/>
      <c r="M4" s="613"/>
      <c r="N4" s="613"/>
      <c r="O4" s="613"/>
      <c r="P4" s="613"/>
      <c r="Q4" s="613"/>
      <c r="R4" s="703"/>
      <c r="S4" s="705"/>
      <c r="T4" s="661"/>
      <c r="U4" s="707"/>
      <c r="V4" s="711" t="s">
        <v>250</v>
      </c>
      <c r="W4" s="712"/>
      <c r="X4" s="724" t="s">
        <v>39</v>
      </c>
      <c r="Y4" s="605"/>
      <c r="Z4" s="605"/>
      <c r="AA4" s="605"/>
      <c r="AB4" s="725"/>
      <c r="AC4" s="696" t="s">
        <v>470</v>
      </c>
      <c r="AD4" s="696" t="s">
        <v>251</v>
      </c>
      <c r="AE4" s="724" t="s">
        <v>252</v>
      </c>
      <c r="AF4" s="605"/>
      <c r="AG4" s="725"/>
      <c r="AH4" s="711" t="s">
        <v>253</v>
      </c>
      <c r="AI4" s="714"/>
      <c r="AJ4" s="714"/>
      <c r="AK4" s="714"/>
      <c r="AL4" s="714"/>
      <c r="AM4" s="712"/>
      <c r="AN4" s="630" t="s">
        <v>254</v>
      </c>
      <c r="AO4" s="632"/>
      <c r="AP4" s="713"/>
      <c r="AQ4" s="630" t="s">
        <v>39</v>
      </c>
      <c r="AR4" s="632"/>
      <c r="AS4" s="713"/>
      <c r="BB4" s="698" t="s">
        <v>140</v>
      </c>
    </row>
    <row r="5" spans="1:54" ht="16" customHeight="1" thickBot="1" x14ac:dyDescent="0.25">
      <c r="B5" s="102" t="s">
        <v>19</v>
      </c>
      <c r="C5" s="4" t="s">
        <v>14</v>
      </c>
      <c r="D5" s="700" t="s">
        <v>71</v>
      </c>
      <c r="E5" s="701"/>
      <c r="F5" s="29"/>
      <c r="G5" s="30"/>
      <c r="H5" s="631"/>
      <c r="I5" s="710"/>
      <c r="J5" s="627"/>
      <c r="K5" s="657"/>
      <c r="L5" s="658"/>
      <c r="M5" s="658"/>
      <c r="N5" s="658"/>
      <c r="O5" s="658"/>
      <c r="P5" s="658"/>
      <c r="Q5" s="658"/>
      <c r="R5" s="704"/>
      <c r="S5" s="706"/>
      <c r="T5" s="662"/>
      <c r="U5" s="708"/>
      <c r="V5" s="417" t="s">
        <v>252</v>
      </c>
      <c r="W5" s="399" t="s">
        <v>254</v>
      </c>
      <c r="X5" s="554" t="s">
        <v>470</v>
      </c>
      <c r="Y5" s="407" t="s">
        <v>42</v>
      </c>
      <c r="Z5" s="556" t="s">
        <v>255</v>
      </c>
      <c r="AA5" s="403" t="s">
        <v>256</v>
      </c>
      <c r="AB5" s="416" t="s">
        <v>11</v>
      </c>
      <c r="AC5" s="629"/>
      <c r="AD5" s="629"/>
      <c r="AE5" s="407" t="s">
        <v>250</v>
      </c>
      <c r="AF5" s="398" t="s">
        <v>134</v>
      </c>
      <c r="AG5" s="399" t="s">
        <v>257</v>
      </c>
      <c r="AH5" s="407" t="s">
        <v>250</v>
      </c>
      <c r="AI5" s="398" t="s">
        <v>258</v>
      </c>
      <c r="AJ5" s="398" t="s">
        <v>259</v>
      </c>
      <c r="AK5" s="398" t="s">
        <v>134</v>
      </c>
      <c r="AL5" s="398" t="s">
        <v>257</v>
      </c>
      <c r="AM5" s="399" t="s">
        <v>260</v>
      </c>
      <c r="AN5" s="407" t="s">
        <v>250</v>
      </c>
      <c r="AO5" s="398" t="s">
        <v>134</v>
      </c>
      <c r="AP5" s="399" t="s">
        <v>257</v>
      </c>
      <c r="AQ5" s="407" t="s">
        <v>42</v>
      </c>
      <c r="AR5" s="398" t="s">
        <v>11</v>
      </c>
      <c r="AS5" s="399" t="s">
        <v>261</v>
      </c>
      <c r="BB5" s="629"/>
    </row>
    <row r="6" spans="1:54" x14ac:dyDescent="0.2">
      <c r="B6" s="102" t="s">
        <v>19</v>
      </c>
      <c r="C6" s="4" t="s">
        <v>14</v>
      </c>
      <c r="D6" s="700" t="s">
        <v>20</v>
      </c>
      <c r="E6" s="701"/>
      <c r="F6" s="29"/>
      <c r="G6" s="30"/>
      <c r="H6" s="326"/>
      <c r="I6" s="444" t="s">
        <v>262</v>
      </c>
      <c r="J6" s="109" t="s">
        <v>263</v>
      </c>
      <c r="K6" s="276" t="s">
        <v>264</v>
      </c>
      <c r="L6" s="277"/>
      <c r="M6" s="277"/>
      <c r="N6" s="277"/>
      <c r="O6" s="277"/>
      <c r="P6" s="277"/>
      <c r="Q6" s="277"/>
      <c r="R6" s="446" t="s">
        <v>149</v>
      </c>
      <c r="S6" s="448">
        <v>16</v>
      </c>
      <c r="T6" s="437">
        <f t="shared" ref="T6:T22" si="0">IF(OR($E$38=0,S6=0),0,IF($E$38=0,0,ROUNDUP(S6*8/$E$38,0)))</f>
        <v>26</v>
      </c>
      <c r="U6" s="558"/>
      <c r="V6" s="411">
        <f>IFERROR(VLOOKUP($J6, 'Jira Data'!$A:$R, 6, FALSE), "-")</f>
        <v>45518</v>
      </c>
      <c r="W6" s="562">
        <f>IFERROR(VLOOKUP($J6, 'Jira Data'!$A:$R, 7, FALSE), "-")</f>
        <v>45562</v>
      </c>
      <c r="X6" s="569" cm="1">
        <f t="array" ref="X6">CountUniquePeopleByTask($I6,$K$43:$AS$49,$I$43:$J$49)</f>
        <v>1</v>
      </c>
      <c r="Y6" s="112">
        <f t="shared" ref="Y6:Y25" si="1">COUNTIF($K$43:$AS$49,I6)</f>
        <v>25</v>
      </c>
      <c r="Z6" s="438" t="str">
        <f t="shared" ref="Z6:Z25" si="2">IF(OR(T6="",Y6="",T6=0,Y6=0),"-",IF(Y6&gt;T6,"Excess",IF(Y6=T6,"Aligned",IF(T6-Y6&lt;=3,"Attention",IF(T6-Y6&lt;=5,"Risk","Short")))))</f>
        <v>Attention</v>
      </c>
      <c r="AA6" s="46">
        <f t="shared" ref="AA6:AA25" si="3">IF($Y$26=0,0,Y6/$Y$26)</f>
        <v>0.10204081632653061</v>
      </c>
      <c r="AB6" s="412">
        <f t="shared" ref="AB6:AB25" si="4">Y6*$C$38</f>
        <v>124.11764705882355</v>
      </c>
      <c r="AC6" s="566" cm="1">
        <f t="array" ref="AC6">CountUniquePeopleByTask($I6,$K$31:$AS$37,$I$31:$J$37)</f>
        <v>2</v>
      </c>
      <c r="AD6" s="451" t="str">
        <f>IFERROR(VLOOKUP($J6, 'Jira Data'!$A:$R, 3, FALSE), "-")</f>
        <v>Done</v>
      </c>
      <c r="AE6" s="411">
        <f>IFERROR(IF(VLOOKUP($J6, 'Jira Data'!$A:$R, 8, FALSE)="","-",VLOOKUP($J6, 'Jira Data'!$A:$R, 8, FALSE)),"-")</f>
        <v>45520</v>
      </c>
      <c r="AF6" s="45" t="str">
        <f>IFERROR(VLOOKUP($J6, 'Jira Data'!$A:$R, 11, FALSE), "-")</f>
        <v>Delayed</v>
      </c>
      <c r="AG6" s="424">
        <f>IFERROR(VLOOKUP($J6, 'Jira Data'!$A:$R, 12, FALSE), "-")</f>
        <v>2</v>
      </c>
      <c r="AH6" s="411">
        <f>IFERROR(IF(VLOOKUP($J6, 'Jira Data'!$A:$R, 9, FALSE)="","-",VLOOKUP($J6, 'Jira Data'!$A:$R, 9, FALSE)), "-")</f>
        <v>45562</v>
      </c>
      <c r="AI6" s="429" t="str">
        <f t="shared" ref="AI6:AI25" si="5">IF(OR(W6="",AH6="",W6="-",AH6="-"),"-",IF(AH6&gt;W6,"Postponed",IF(AH6=W6,"No change","Advanced")))</f>
        <v>No change</v>
      </c>
      <c r="AJ6" s="45">
        <f t="shared" ref="AJ6:AJ25" si="6">IF(OR(W6="",AH6="",W6="-",AH6="-"),"-",IF(ABS(NETWORKDAYS(W6,AH6))=0,0,ABS(NETWORKDAYS(W6,AH6))-1))</f>
        <v>0</v>
      </c>
      <c r="AK6" s="45" t="str">
        <f ca="1">IFERROR(VLOOKUP($J6, 'Jira Data'!$A:$R, 15, FALSE), "-")</f>
        <v>Delivered</v>
      </c>
      <c r="AL6" s="45">
        <f ca="1">IFERROR(VLOOKUP($J6, 'Jira Data'!$A:$R, 16, FALSE), "-")</f>
        <v>0</v>
      </c>
      <c r="AM6" s="424">
        <f ca="1">IFERROR(VLOOKUP($J6, 'Jira Data'!$A:$R, 18, FALSE), "-")</f>
        <v>0</v>
      </c>
      <c r="AN6" s="411">
        <f>IFERROR(IF(VLOOKUP($J6, 'Jira Data'!$A:$R, 10, FALSE)="", "-", VLOOKUP($J6, 'Jira Data'!$A:$R, 10, FALSE)), "-")</f>
        <v>45561</v>
      </c>
      <c r="AO6" s="45" t="str">
        <f ca="1">IFERROR(VLOOKUP($J6, 'Jira Data'!$A:$R, 13, FALSE), "-")</f>
        <v>Delivered</v>
      </c>
      <c r="AP6" s="424">
        <f ca="1">IFERROR(VLOOKUP($J6, 'Jira Data'!$A:$R, 14, FALSE), "-")</f>
        <v>0</v>
      </c>
      <c r="AQ6" s="111">
        <f>COUNTIF($K$31:$AS$37,$I6)</f>
        <v>30</v>
      </c>
      <c r="AR6" s="431">
        <f t="shared" ref="AR6:AR25" si="7">AQ6*$C$38</f>
        <v>148.94117647058826</v>
      </c>
      <c r="AS6" s="432">
        <f t="shared" ref="AS6:AS25" si="8">IF(OR(Y6="",Y6=0,AQ6="",AQ6=0),"-",(AQ6-Y6)/Y6)</f>
        <v>0.2</v>
      </c>
      <c r="BB6" s="180" t="s">
        <v>26</v>
      </c>
    </row>
    <row r="7" spans="1:54" x14ac:dyDescent="0.2">
      <c r="A7" s="147"/>
      <c r="B7" s="102" t="s">
        <v>19</v>
      </c>
      <c r="C7" s="143" t="s">
        <v>14</v>
      </c>
      <c r="D7" s="700" t="s">
        <v>63</v>
      </c>
      <c r="E7" s="701"/>
      <c r="F7" s="29"/>
      <c r="G7" s="30"/>
      <c r="H7" s="102"/>
      <c r="I7" s="330" t="s">
        <v>160</v>
      </c>
      <c r="J7" s="11" t="s">
        <v>265</v>
      </c>
      <c r="K7" s="23" t="s">
        <v>266</v>
      </c>
      <c r="L7" s="24"/>
      <c r="M7" s="24"/>
      <c r="N7" s="24"/>
      <c r="O7" s="24"/>
      <c r="P7" s="24"/>
      <c r="Q7" s="24"/>
      <c r="R7" s="447" t="s">
        <v>26</v>
      </c>
      <c r="S7" s="57">
        <v>6</v>
      </c>
      <c r="T7" s="117">
        <f t="shared" si="0"/>
        <v>10</v>
      </c>
      <c r="U7" s="116"/>
      <c r="V7" s="413">
        <f>IFERROR(VLOOKUP($J7, 'Jira Data'!$A:$R, 6, FALSE), "-")</f>
        <v>45523</v>
      </c>
      <c r="W7" s="563">
        <f>IFERROR(VLOOKUP($J7, 'Jira Data'!$A:$R, 7, FALSE), "-")</f>
        <v>45541</v>
      </c>
      <c r="X7" s="567" cm="1">
        <f t="array" ref="X7">CountUniquePeopleByTask($I7,$K$43:$AS$49,$I$43:$J$49)</f>
        <v>2</v>
      </c>
      <c r="Y7" s="16">
        <f t="shared" si="1"/>
        <v>10</v>
      </c>
      <c r="Z7" s="439" t="str">
        <f t="shared" si="2"/>
        <v>Aligned</v>
      </c>
      <c r="AA7" s="35">
        <f t="shared" si="3"/>
        <v>4.0816326530612242E-2</v>
      </c>
      <c r="AB7" s="422">
        <f t="shared" si="4"/>
        <v>49.64705882352942</v>
      </c>
      <c r="AC7" s="567" cm="1">
        <f t="array" ref="AC7">CountUniquePeopleByTask($I7,$K$31:$AS$37,$I$31:$J$37)</f>
        <v>1</v>
      </c>
      <c r="AD7" s="452" t="str">
        <f>IFERROR(VLOOKUP($J7, 'Jira Data'!$A:$R, 3, FALSE), "-")</f>
        <v>Done</v>
      </c>
      <c r="AE7" s="425">
        <f>IFERROR(IF(VLOOKUP($J7, 'Jira Data'!$A:$R, 8, FALSE)="","-",VLOOKUP($J7, 'Jira Data'!$A:$R, 8, FALSE)),"-")</f>
        <v>45523</v>
      </c>
      <c r="AF7" s="16" t="str">
        <f>IFERROR(VLOOKUP($J7, 'Jira Data'!$A:$R, 11, FALSE), "-")</f>
        <v>On Time</v>
      </c>
      <c r="AG7" s="426">
        <f>IFERROR(VLOOKUP($J7, 'Jira Data'!$A:$R, 12, FALSE), "-")</f>
        <v>0</v>
      </c>
      <c r="AH7" s="425">
        <f>IFERROR(IF(VLOOKUP($J7, 'Jira Data'!$A:$R, 9, FALSE)="","-",VLOOKUP($J7, 'Jira Data'!$A:$R, 9, FALSE)), "-")</f>
        <v>45532</v>
      </c>
      <c r="AI7" s="415" t="str">
        <f t="shared" si="5"/>
        <v>Advanced</v>
      </c>
      <c r="AJ7" s="16">
        <f t="shared" si="6"/>
        <v>7</v>
      </c>
      <c r="AK7" s="16" t="str">
        <f ca="1">IFERROR(VLOOKUP($J7, 'Jira Data'!$A:$R, 15, FALSE), "-")</f>
        <v>Delivered</v>
      </c>
      <c r="AL7" s="16">
        <f ca="1">IFERROR(VLOOKUP($J7, 'Jira Data'!$A:$R, 16, FALSE), "-")</f>
        <v>0</v>
      </c>
      <c r="AM7" s="426">
        <f ca="1">IFERROR(VLOOKUP($J7, 'Jira Data'!$A:$R, 18, FALSE), "-")</f>
        <v>0</v>
      </c>
      <c r="AN7" s="425">
        <f>IFERROR(IF(VLOOKUP($J7, 'Jira Data'!$A:$R, 10, FALSE)="", "-", VLOOKUP($J7, 'Jira Data'!$A:$R, 10, FALSE)), "-")</f>
        <v>45532</v>
      </c>
      <c r="AO7" s="16" t="str">
        <f ca="1">IFERROR(VLOOKUP($J7, 'Jira Data'!$A:$R, 13, FALSE), "-")</f>
        <v>Delivered</v>
      </c>
      <c r="AP7" s="426">
        <f ca="1">IFERROR(VLOOKUP($J7, 'Jira Data'!$A:$R, 14, FALSE), "-")</f>
        <v>0</v>
      </c>
      <c r="AQ7" s="49">
        <f t="shared" ref="AQ7:AQ25" si="9">COUNTIF($K$31:$AS$37,$I7)</f>
        <v>8</v>
      </c>
      <c r="AR7" s="90">
        <f t="shared" si="7"/>
        <v>39.717647058823538</v>
      </c>
      <c r="AS7" s="433">
        <f t="shared" si="8"/>
        <v>-0.2</v>
      </c>
      <c r="BB7" s="181" t="s">
        <v>149</v>
      </c>
    </row>
    <row r="8" spans="1:54" x14ac:dyDescent="0.2">
      <c r="A8" s="147"/>
      <c r="B8" s="102" t="s">
        <v>19</v>
      </c>
      <c r="C8" s="4" t="s">
        <v>14</v>
      </c>
      <c r="D8" s="700" t="s">
        <v>58</v>
      </c>
      <c r="E8" s="701"/>
      <c r="F8" s="29"/>
      <c r="G8" s="30"/>
      <c r="H8" s="102"/>
      <c r="I8" s="332" t="s">
        <v>267</v>
      </c>
      <c r="J8" s="11" t="s">
        <v>268</v>
      </c>
      <c r="K8" s="23" t="s">
        <v>269</v>
      </c>
      <c r="L8" s="24"/>
      <c r="M8" s="24"/>
      <c r="N8" s="24"/>
      <c r="O8" s="24"/>
      <c r="P8" s="24"/>
      <c r="Q8" s="24"/>
      <c r="R8" s="441" t="s">
        <v>149</v>
      </c>
      <c r="S8" s="57">
        <v>9</v>
      </c>
      <c r="T8" s="117">
        <f t="shared" si="0"/>
        <v>15</v>
      </c>
      <c r="U8" s="116"/>
      <c r="V8" s="413">
        <f>IFERROR(VLOOKUP($J8, 'Jira Data'!$A:$R, 6, FALSE), "-")</f>
        <v>45516</v>
      </c>
      <c r="W8" s="563">
        <f>IFERROR(VLOOKUP($J8, 'Jira Data'!$A:$R, 7, FALSE), "-")</f>
        <v>45537</v>
      </c>
      <c r="X8" s="567" cm="1">
        <f t="array" ref="X8">CountUniquePeopleByTask($I8,$K$43:$AS$49,$I$43:$J$49)</f>
        <v>1</v>
      </c>
      <c r="Y8" s="16">
        <f t="shared" si="1"/>
        <v>15</v>
      </c>
      <c r="Z8" s="439" t="str">
        <f t="shared" si="2"/>
        <v>Aligned</v>
      </c>
      <c r="AA8" s="35">
        <f t="shared" si="3"/>
        <v>6.1224489795918366E-2</v>
      </c>
      <c r="AB8" s="422">
        <f t="shared" si="4"/>
        <v>74.47058823529413</v>
      </c>
      <c r="AC8" s="567" cm="1">
        <f t="array" ref="AC8">CountUniquePeopleByTask($I8,$K$31:$AS$37,$I$31:$J$37)</f>
        <v>1</v>
      </c>
      <c r="AD8" s="452" t="str">
        <f>IFERROR(VLOOKUP($J8, 'Jira Data'!$A:$R, 3, FALSE), "-")</f>
        <v>Done</v>
      </c>
      <c r="AE8" s="425">
        <f>IFERROR(IF(VLOOKUP($J8, 'Jira Data'!$A:$R, 8, FALSE)="","-",VLOOKUP($J8, 'Jira Data'!$A:$R, 8, FALSE)),"-")</f>
        <v>45517</v>
      </c>
      <c r="AF8" s="16" t="str">
        <f>IFERROR(VLOOKUP($J8, 'Jira Data'!$A:$R, 11, FALSE), "-")</f>
        <v>Delayed</v>
      </c>
      <c r="AG8" s="426">
        <f>IFERROR(VLOOKUP($J8, 'Jira Data'!$A:$R, 12, FALSE), "-")</f>
        <v>1</v>
      </c>
      <c r="AH8" s="425">
        <f>IFERROR(IF(VLOOKUP($J8, 'Jira Data'!$A:$R, 9, FALSE)="","-",VLOOKUP($J8, 'Jira Data'!$A:$R, 9, FALSE)), "-")</f>
        <v>45562</v>
      </c>
      <c r="AI8" s="415" t="str">
        <f t="shared" si="5"/>
        <v>Postponed</v>
      </c>
      <c r="AJ8" s="16">
        <f t="shared" si="6"/>
        <v>19</v>
      </c>
      <c r="AK8" s="16" t="str">
        <f ca="1">IFERROR(VLOOKUP($J8, 'Jira Data'!$A:$R, 15, FALSE), "-")</f>
        <v>Delivered</v>
      </c>
      <c r="AL8" s="16">
        <f ca="1">IFERROR(VLOOKUP($J8, 'Jira Data'!$A:$R, 16, FALSE), "-")</f>
        <v>0</v>
      </c>
      <c r="AM8" s="426">
        <f ca="1">IFERROR(VLOOKUP($J8, 'Jira Data'!$A:$R, 18, FALSE), "-")</f>
        <v>0</v>
      </c>
      <c r="AN8" s="425">
        <f>IFERROR(IF(VLOOKUP($J8, 'Jira Data'!$A:$R, 10, FALSE)="", "-", VLOOKUP($J8, 'Jira Data'!$A:$R, 10, FALSE)), "-")</f>
        <v>45562</v>
      </c>
      <c r="AO8" s="16" t="str">
        <f ca="1">IFERROR(VLOOKUP($J8, 'Jira Data'!$A:$R, 13, FALSE), "-")</f>
        <v>Delivered</v>
      </c>
      <c r="AP8" s="426">
        <f ca="1">IFERROR(VLOOKUP($J8, 'Jira Data'!$A:$R, 14, FALSE), "-")</f>
        <v>20</v>
      </c>
      <c r="AQ8" s="49">
        <f t="shared" si="9"/>
        <v>21</v>
      </c>
      <c r="AR8" s="90">
        <f t="shared" si="7"/>
        <v>104.25882352941179</v>
      </c>
      <c r="AS8" s="433">
        <f t="shared" si="8"/>
        <v>0.4</v>
      </c>
      <c r="BB8" s="181" t="s">
        <v>152</v>
      </c>
    </row>
    <row r="9" spans="1:54" x14ac:dyDescent="0.2">
      <c r="A9" s="147"/>
      <c r="B9" s="146" t="s">
        <v>19</v>
      </c>
      <c r="C9" s="323" t="s">
        <v>14</v>
      </c>
      <c r="D9" s="700" t="s">
        <v>156</v>
      </c>
      <c r="E9" s="701"/>
      <c r="F9" s="29"/>
      <c r="G9" s="30"/>
      <c r="H9" s="102"/>
      <c r="I9" s="133" t="s">
        <v>270</v>
      </c>
      <c r="J9" s="11" t="s">
        <v>271</v>
      </c>
      <c r="K9" s="23" t="s">
        <v>272</v>
      </c>
      <c r="L9" s="24"/>
      <c r="M9" s="24"/>
      <c r="N9" s="24"/>
      <c r="O9" s="24"/>
      <c r="P9" s="24"/>
      <c r="Q9" s="24"/>
      <c r="R9" s="441" t="s">
        <v>149</v>
      </c>
      <c r="S9" s="57">
        <v>3</v>
      </c>
      <c r="T9" s="117">
        <f t="shared" si="0"/>
        <v>5</v>
      </c>
      <c r="U9" s="116"/>
      <c r="V9" s="413">
        <f>IFERROR(VLOOKUP($J9, 'Jira Data'!$A:$R, 6, FALSE), "-")</f>
        <v>45551</v>
      </c>
      <c r="W9" s="563">
        <f>IFERROR(VLOOKUP($J9, 'Jira Data'!$A:$R, 7, FALSE), "-")</f>
        <v>45562</v>
      </c>
      <c r="X9" s="567" cm="1">
        <f t="array" ref="X9">CountUniquePeopleByTask($I9,$K$43:$AS$49,$I$43:$J$49)</f>
        <v>1</v>
      </c>
      <c r="Y9" s="16">
        <f t="shared" si="1"/>
        <v>5</v>
      </c>
      <c r="Z9" s="439" t="str">
        <f t="shared" si="2"/>
        <v>Aligned</v>
      </c>
      <c r="AA9" s="35">
        <f t="shared" si="3"/>
        <v>2.0408163265306121E-2</v>
      </c>
      <c r="AB9" s="422">
        <f t="shared" si="4"/>
        <v>24.82352941176471</v>
      </c>
      <c r="AC9" s="567" cm="1">
        <f t="array" ref="AC9">CountUniquePeopleByTask($I9,$K$31:$AS$37,$I$31:$J$37)</f>
        <v>1</v>
      </c>
      <c r="AD9" s="452" t="str">
        <f>IFERROR(VLOOKUP($J9, 'Jira Data'!$A:$R, 3, FALSE), "-")</f>
        <v>Done</v>
      </c>
      <c r="AE9" s="425">
        <f>IFERROR(IF(VLOOKUP($J9, 'Jira Data'!$A:$R, 8, FALSE)="","-",VLOOKUP($J9, 'Jira Data'!$A:$R, 8, FALSE)),"-")</f>
        <v>45544</v>
      </c>
      <c r="AF9" s="16" t="str">
        <f>IFERROR(VLOOKUP($J9, 'Jira Data'!$A:$R, 11, FALSE), "-")</f>
        <v>On Time</v>
      </c>
      <c r="AG9" s="426">
        <f>IFERROR(VLOOKUP($J9, 'Jira Data'!$A:$R, 12, FALSE), "-")</f>
        <v>0</v>
      </c>
      <c r="AH9" s="425">
        <f>IFERROR(IF(VLOOKUP($J9, 'Jira Data'!$A:$R, 9, FALSE)="","-",VLOOKUP($J9, 'Jira Data'!$A:$R, 9, FALSE)), "-")</f>
        <v>45551</v>
      </c>
      <c r="AI9" s="415" t="str">
        <f t="shared" si="5"/>
        <v>Advanced</v>
      </c>
      <c r="AJ9" s="16">
        <f t="shared" si="6"/>
        <v>9</v>
      </c>
      <c r="AK9" s="16" t="str">
        <f ca="1">IFERROR(VLOOKUP($J9, 'Jira Data'!$A:$R, 15, FALSE), "-")</f>
        <v>Delivered</v>
      </c>
      <c r="AL9" s="16">
        <f ca="1">IFERROR(VLOOKUP($J9, 'Jira Data'!$A:$R, 16, FALSE), "-")</f>
        <v>2</v>
      </c>
      <c r="AM9" s="426">
        <f ca="1">IFERROR(VLOOKUP($J9, 'Jira Data'!$A:$R, 18, FALSE), "-")</f>
        <v>0</v>
      </c>
      <c r="AN9" s="425">
        <f>IFERROR(IF(VLOOKUP($J9, 'Jira Data'!$A:$R, 10, FALSE)="", "-", VLOOKUP($J9, 'Jira Data'!$A:$R, 10, FALSE)), "-")</f>
        <v>45552</v>
      </c>
      <c r="AO9" s="16" t="str">
        <f ca="1">IFERROR(VLOOKUP($J9, 'Jira Data'!$A:$R, 13, FALSE), "-")</f>
        <v>Delivered</v>
      </c>
      <c r="AP9" s="426">
        <f ca="1">IFERROR(VLOOKUP($J9, 'Jira Data'!$A:$R, 14, FALSE), "-")</f>
        <v>0</v>
      </c>
      <c r="AQ9" s="49">
        <f t="shared" si="9"/>
        <v>4</v>
      </c>
      <c r="AR9" s="90">
        <f t="shared" si="7"/>
        <v>19.858823529411769</v>
      </c>
      <c r="AS9" s="433">
        <f t="shared" si="8"/>
        <v>-0.2</v>
      </c>
      <c r="BB9" s="194" t="s">
        <v>29</v>
      </c>
    </row>
    <row r="10" spans="1:54" ht="17" thickBot="1" x14ac:dyDescent="0.25">
      <c r="B10" s="326" t="s">
        <v>19</v>
      </c>
      <c r="C10" s="4" t="s">
        <v>14</v>
      </c>
      <c r="D10" s="715" t="s">
        <v>115</v>
      </c>
      <c r="E10" s="716"/>
      <c r="F10" s="29"/>
      <c r="G10" s="30"/>
      <c r="H10" s="102"/>
      <c r="I10" s="131" t="s">
        <v>273</v>
      </c>
      <c r="J10" s="11" t="s">
        <v>274</v>
      </c>
      <c r="K10" s="23" t="s">
        <v>275</v>
      </c>
      <c r="L10" s="24"/>
      <c r="M10" s="24"/>
      <c r="N10" s="24"/>
      <c r="O10" s="24"/>
      <c r="P10" s="24"/>
      <c r="Q10" s="24"/>
      <c r="R10" s="441" t="s">
        <v>149</v>
      </c>
      <c r="S10" s="57">
        <v>10</v>
      </c>
      <c r="T10" s="117">
        <f t="shared" si="0"/>
        <v>17</v>
      </c>
      <c r="U10" s="116"/>
      <c r="V10" s="413">
        <f>IFERROR(VLOOKUP($J10, 'Jira Data'!$A:$R, 6, FALSE), "-")</f>
        <v>0</v>
      </c>
      <c r="W10" s="563">
        <f>IFERROR(VLOOKUP($J10, 'Jira Data'!$A:$R, 7, FALSE), "-")</f>
        <v>0</v>
      </c>
      <c r="X10" s="567" cm="1">
        <f t="array" ref="X10">CountUniquePeopleByTask($I10,$K$43:$AS$49,$I$43:$J$49)</f>
        <v>1</v>
      </c>
      <c r="Y10" s="16">
        <f t="shared" si="1"/>
        <v>15</v>
      </c>
      <c r="Z10" s="439" t="str">
        <f t="shared" si="2"/>
        <v>Attention</v>
      </c>
      <c r="AA10" s="35">
        <f t="shared" si="3"/>
        <v>6.1224489795918366E-2</v>
      </c>
      <c r="AB10" s="422">
        <f t="shared" si="4"/>
        <v>74.47058823529413</v>
      </c>
      <c r="AC10" s="567" cm="1">
        <f t="array" ref="AC10">CountUniquePeopleByTask($I10,$K$31:$AS$37,$I$31:$J$37)</f>
        <v>1</v>
      </c>
      <c r="AD10" s="452" t="str">
        <f>IFERROR(VLOOKUP($J10, 'Jira Data'!$A:$R, 3, FALSE), "-")</f>
        <v>Ready to Develop</v>
      </c>
      <c r="AE10" s="425" t="str">
        <f>IFERROR(IF(VLOOKUP($J10, 'Jira Data'!$A:$R, 8, FALSE)="","-",VLOOKUP($J10, 'Jira Data'!$A:$R, 8, FALSE)),"-")</f>
        <v>-</v>
      </c>
      <c r="AF10" s="16" t="str">
        <f>IFERROR(VLOOKUP($J10, 'Jira Data'!$A:$R, 11, FALSE), "-")</f>
        <v>-</v>
      </c>
      <c r="AG10" s="426" t="str">
        <f>IFERROR(VLOOKUP($J10, 'Jira Data'!$A:$R, 12, FALSE), "-")</f>
        <v>-</v>
      </c>
      <c r="AH10" s="425" t="str">
        <f>IFERROR(IF(VLOOKUP($J10, 'Jira Data'!$A:$R, 9, FALSE)="","-",VLOOKUP($J10, 'Jira Data'!$A:$R, 9, FALSE)), "-")</f>
        <v>-</v>
      </c>
      <c r="AI10" s="415" t="str">
        <f t="shared" si="5"/>
        <v>-</v>
      </c>
      <c r="AJ10" s="16" t="str">
        <f t="shared" si="6"/>
        <v>-</v>
      </c>
      <c r="AK10" s="16" t="str">
        <f ca="1">IFERROR(VLOOKUP($J10, 'Jira Data'!$A:$R, 15, FALSE), "-")</f>
        <v>-</v>
      </c>
      <c r="AL10" s="16" t="str">
        <f ca="1">IFERROR(VLOOKUP($J10, 'Jira Data'!$A:$R, 16, FALSE), "-")</f>
        <v>-</v>
      </c>
      <c r="AM10" s="426" t="str">
        <f ca="1">IFERROR(VLOOKUP($J10, 'Jira Data'!$A:$R, 18, FALSE), "-")</f>
        <v>-</v>
      </c>
      <c r="AN10" s="425" t="str">
        <f>IFERROR(IF(VLOOKUP($J10, 'Jira Data'!$A:$R, 10, FALSE)="", "-", VLOOKUP($J10, 'Jira Data'!$A:$R, 10, FALSE)), "-")</f>
        <v>-</v>
      </c>
      <c r="AO10" s="16" t="str">
        <f ca="1">IFERROR(VLOOKUP($J10, 'Jira Data'!$A:$R, 13, FALSE), "-")</f>
        <v>-</v>
      </c>
      <c r="AP10" s="426" t="str">
        <f ca="1">IFERROR(VLOOKUP($J10, 'Jira Data'!$A:$R, 14, FALSE), "-")</f>
        <v>-</v>
      </c>
      <c r="AQ10" s="49">
        <f t="shared" si="9"/>
        <v>7</v>
      </c>
      <c r="AR10" s="90">
        <f t="shared" si="7"/>
        <v>34.752941176470593</v>
      </c>
      <c r="AS10" s="433">
        <f t="shared" si="8"/>
        <v>-0.53333333333333333</v>
      </c>
      <c r="BB10" s="182" t="s">
        <v>23</v>
      </c>
    </row>
    <row r="11" spans="1:54" ht="17" thickBot="1" x14ac:dyDescent="0.25">
      <c r="B11" s="324"/>
      <c r="C11" s="325"/>
      <c r="D11" s="717"/>
      <c r="E11" s="718"/>
      <c r="F11" s="29"/>
      <c r="G11" s="30"/>
      <c r="H11" s="102"/>
      <c r="I11" s="260" t="s">
        <v>276</v>
      </c>
      <c r="J11" s="11" t="s">
        <v>277</v>
      </c>
      <c r="K11" s="23" t="s">
        <v>278</v>
      </c>
      <c r="L11" s="24"/>
      <c r="M11" s="24"/>
      <c r="N11" s="24"/>
      <c r="O11" s="24"/>
      <c r="P11" s="24"/>
      <c r="Q11" s="24"/>
      <c r="R11" s="441" t="s">
        <v>149</v>
      </c>
      <c r="S11" s="57">
        <v>12</v>
      </c>
      <c r="T11" s="117">
        <f t="shared" si="0"/>
        <v>20</v>
      </c>
      <c r="U11" s="116"/>
      <c r="V11" s="413">
        <f>IFERROR(VLOOKUP($J11, 'Jira Data'!$A:$R, 6, FALSE), "-")</f>
        <v>45516</v>
      </c>
      <c r="W11" s="563">
        <f>IFERROR(VLOOKUP($J11, 'Jira Data'!$A:$R, 7, FALSE), "-")</f>
        <v>45546</v>
      </c>
      <c r="X11" s="567" cm="1">
        <f t="array" ref="X11">CountUniquePeopleByTask($I11,$K$43:$AS$49,$I$43:$J$49)</f>
        <v>1</v>
      </c>
      <c r="Y11" s="16">
        <f t="shared" si="1"/>
        <v>20</v>
      </c>
      <c r="Z11" s="439" t="str">
        <f t="shared" si="2"/>
        <v>Aligned</v>
      </c>
      <c r="AA11" s="35">
        <f t="shared" si="3"/>
        <v>8.1632653061224483E-2</v>
      </c>
      <c r="AB11" s="422">
        <f t="shared" si="4"/>
        <v>99.29411764705884</v>
      </c>
      <c r="AC11" s="567" cm="1">
        <f t="array" ref="AC11">CountUniquePeopleByTask($I11,$K$31:$AS$37,$I$31:$J$37)</f>
        <v>1</v>
      </c>
      <c r="AD11" s="452" t="str">
        <f>IFERROR(VLOOKUP($J11, 'Jira Data'!$A:$R, 3, FALSE), "-")</f>
        <v>Done</v>
      </c>
      <c r="AE11" s="425">
        <f>IFERROR(IF(VLOOKUP($J11, 'Jira Data'!$A:$R, 8, FALSE)="","-",VLOOKUP($J11, 'Jira Data'!$A:$R, 8, FALSE)),"-")</f>
        <v>45516</v>
      </c>
      <c r="AF11" s="16" t="str">
        <f>IFERROR(VLOOKUP($J11, 'Jira Data'!$A:$R, 11, FALSE), "-")</f>
        <v>On Time</v>
      </c>
      <c r="AG11" s="426">
        <f>IFERROR(VLOOKUP($J11, 'Jira Data'!$A:$R, 12, FALSE), "-")</f>
        <v>0</v>
      </c>
      <c r="AH11" s="425">
        <f>IFERROR(IF(VLOOKUP($J11, 'Jira Data'!$A:$R, 9, FALSE)="","-",VLOOKUP($J11, 'Jira Data'!$A:$R, 9, FALSE)), "-")</f>
        <v>45562</v>
      </c>
      <c r="AI11" s="415" t="str">
        <f t="shared" si="5"/>
        <v>Postponed</v>
      </c>
      <c r="AJ11" s="16">
        <f t="shared" si="6"/>
        <v>12</v>
      </c>
      <c r="AK11" s="16" t="str">
        <f ca="1">IFERROR(VLOOKUP($J11, 'Jira Data'!$A:$R, 15, FALSE), "-")</f>
        <v>Delivered</v>
      </c>
      <c r="AL11" s="16">
        <f ca="1">IFERROR(VLOOKUP($J11, 'Jira Data'!$A:$R, 16, FALSE), "-")</f>
        <v>0</v>
      </c>
      <c r="AM11" s="426">
        <f ca="1">IFERROR(VLOOKUP($J11, 'Jira Data'!$A:$R, 18, FALSE), "-")</f>
        <v>0</v>
      </c>
      <c r="AN11" s="425">
        <f>IFERROR(IF(VLOOKUP($J11, 'Jira Data'!$A:$R, 10, FALSE)="", "-", VLOOKUP($J11, 'Jira Data'!$A:$R, 10, FALSE)), "-")</f>
        <v>45558</v>
      </c>
      <c r="AO11" s="16" t="str">
        <f ca="1">IFERROR(VLOOKUP($J11, 'Jira Data'!$A:$R, 13, FALSE), "-")</f>
        <v>Delivered</v>
      </c>
      <c r="AP11" s="426">
        <f ca="1">IFERROR(VLOOKUP($J11, 'Jira Data'!$A:$R, 14, FALSE), "-")</f>
        <v>9</v>
      </c>
      <c r="AQ11" s="49">
        <f t="shared" si="9"/>
        <v>15</v>
      </c>
      <c r="AR11" s="90">
        <f t="shared" si="7"/>
        <v>74.47058823529413</v>
      </c>
      <c r="AS11" s="433">
        <f t="shared" si="8"/>
        <v>-0.25</v>
      </c>
    </row>
    <row r="12" spans="1:54" ht="17" thickBot="1" x14ac:dyDescent="0.25">
      <c r="B12" s="7"/>
      <c r="C12" s="7"/>
      <c r="D12" s="1"/>
      <c r="F12" s="29"/>
      <c r="G12" s="30"/>
      <c r="H12" s="102"/>
      <c r="I12" s="445" t="s">
        <v>167</v>
      </c>
      <c r="J12" s="11" t="s">
        <v>279</v>
      </c>
      <c r="K12" s="23" t="s">
        <v>280</v>
      </c>
      <c r="L12" s="24"/>
      <c r="M12" s="24"/>
      <c r="N12" s="24"/>
      <c r="O12" s="24"/>
      <c r="P12" s="24"/>
      <c r="Q12" s="24"/>
      <c r="R12" s="441" t="s">
        <v>149</v>
      </c>
      <c r="S12" s="57">
        <v>3</v>
      </c>
      <c r="T12" s="117">
        <f t="shared" si="0"/>
        <v>5</v>
      </c>
      <c r="U12" s="116"/>
      <c r="V12" s="413">
        <f>IFERROR(VLOOKUP($J12, 'Jira Data'!$A:$R, 6, FALSE), "-")</f>
        <v>45537</v>
      </c>
      <c r="W12" s="563">
        <f>IFERROR(VLOOKUP($J12, 'Jira Data'!$A:$R, 7, FALSE), "-")</f>
        <v>45545</v>
      </c>
      <c r="X12" s="567" cm="1">
        <f t="array" ref="X12">CountUniquePeopleByTask($I12,$K$43:$AS$49,$I$43:$J$49)</f>
        <v>1</v>
      </c>
      <c r="Y12" s="16">
        <f t="shared" si="1"/>
        <v>5</v>
      </c>
      <c r="Z12" s="439" t="str">
        <f t="shared" si="2"/>
        <v>Aligned</v>
      </c>
      <c r="AA12" s="35">
        <f t="shared" si="3"/>
        <v>2.0408163265306121E-2</v>
      </c>
      <c r="AB12" s="422">
        <f t="shared" si="4"/>
        <v>24.82352941176471</v>
      </c>
      <c r="AC12" s="567" cm="1">
        <f t="array" ref="AC12">CountUniquePeopleByTask($I12,$K$31:$AS$37,$I$31:$J$37)</f>
        <v>1</v>
      </c>
      <c r="AD12" s="452" t="str">
        <f>IFERROR(VLOOKUP($J12, 'Jira Data'!$A:$R, 3, FALSE), "-")</f>
        <v>Done</v>
      </c>
      <c r="AE12" s="425">
        <f>IFERROR(IF(VLOOKUP($J12, 'Jira Data'!$A:$R, 8, FALSE)="","-",VLOOKUP($J12, 'Jira Data'!$A:$R, 8, FALSE)),"-")</f>
        <v>45548</v>
      </c>
      <c r="AF12" s="16" t="str">
        <f>IFERROR(VLOOKUP($J12, 'Jira Data'!$A:$R, 11, FALSE), "-")</f>
        <v>Delayed</v>
      </c>
      <c r="AG12" s="426">
        <f>IFERROR(VLOOKUP($J12, 'Jira Data'!$A:$R, 12, FALSE), "-")</f>
        <v>11</v>
      </c>
      <c r="AH12" s="425">
        <f>IFERROR(IF(VLOOKUP($J12, 'Jira Data'!$A:$R, 9, FALSE)="","-",VLOOKUP($J12, 'Jira Data'!$A:$R, 9, FALSE)), "-")</f>
        <v>45552</v>
      </c>
      <c r="AI12" s="415" t="str">
        <f t="shared" si="5"/>
        <v>Postponed</v>
      </c>
      <c r="AJ12" s="16">
        <f t="shared" si="6"/>
        <v>5</v>
      </c>
      <c r="AK12" s="16" t="str">
        <f ca="1">IFERROR(VLOOKUP($J12, 'Jira Data'!$A:$R, 15, FALSE), "-")</f>
        <v>Delivered</v>
      </c>
      <c r="AL12" s="16">
        <f ca="1">IFERROR(VLOOKUP($J12, 'Jira Data'!$A:$R, 16, FALSE), "-")</f>
        <v>2</v>
      </c>
      <c r="AM12" s="426">
        <f ca="1">IFERROR(VLOOKUP($J12, 'Jira Data'!$A:$R, 18, FALSE), "-")</f>
        <v>0</v>
      </c>
      <c r="AN12" s="425">
        <f>IFERROR(IF(VLOOKUP($J12, 'Jira Data'!$A:$R, 10, FALSE)="", "-", VLOOKUP($J12, 'Jira Data'!$A:$R, 10, FALSE)), "-")</f>
        <v>45553</v>
      </c>
      <c r="AO12" s="16" t="str">
        <f ca="1">IFERROR(VLOOKUP($J12, 'Jira Data'!$A:$R, 13, FALSE), "-")</f>
        <v>Delivered</v>
      </c>
      <c r="AP12" s="426">
        <f ca="1">IFERROR(VLOOKUP($J12, 'Jira Data'!$A:$R, 14, FALSE), "-")</f>
        <v>7</v>
      </c>
      <c r="AQ12" s="49">
        <f t="shared" si="9"/>
        <v>3</v>
      </c>
      <c r="AR12" s="90">
        <f t="shared" si="7"/>
        <v>14.894117647058827</v>
      </c>
      <c r="AS12" s="433">
        <f t="shared" si="8"/>
        <v>-0.4</v>
      </c>
    </row>
    <row r="13" spans="1:54" ht="17" thickBot="1" x14ac:dyDescent="0.25">
      <c r="B13" s="644" t="s">
        <v>98</v>
      </c>
      <c r="C13" s="644"/>
      <c r="D13" s="644"/>
      <c r="E13" s="644"/>
      <c r="F13" s="29"/>
      <c r="G13" s="30"/>
      <c r="H13" s="102"/>
      <c r="I13" s="336" t="s">
        <v>195</v>
      </c>
      <c r="J13" s="11" t="s">
        <v>281</v>
      </c>
      <c r="K13" s="23" t="s">
        <v>282</v>
      </c>
      <c r="L13" s="24"/>
      <c r="M13" s="24"/>
      <c r="N13" s="24"/>
      <c r="O13" s="24"/>
      <c r="P13" s="24"/>
      <c r="Q13" s="24"/>
      <c r="R13" s="441" t="s">
        <v>149</v>
      </c>
      <c r="S13" s="57">
        <v>6</v>
      </c>
      <c r="T13" s="117">
        <f t="shared" si="0"/>
        <v>10</v>
      </c>
      <c r="U13" s="116"/>
      <c r="V13" s="413">
        <f>IFERROR(VLOOKUP($J13, 'Jira Data'!$A:$R, 6, FALSE), "-")</f>
        <v>45546</v>
      </c>
      <c r="W13" s="564">
        <f>IFERROR(VLOOKUP($J13, 'Jira Data'!$A:$R, 7, FALSE), "-")</f>
        <v>45562</v>
      </c>
      <c r="X13" s="567" cm="1">
        <f t="array" ref="X13">CountUniquePeopleByTask($I13,$K$43:$AS$49,$I$43:$J$49)</f>
        <v>1</v>
      </c>
      <c r="Y13" s="16">
        <f t="shared" si="1"/>
        <v>10</v>
      </c>
      <c r="Z13" s="439" t="str">
        <f t="shared" si="2"/>
        <v>Aligned</v>
      </c>
      <c r="AA13" s="35">
        <f t="shared" si="3"/>
        <v>4.0816326530612242E-2</v>
      </c>
      <c r="AB13" s="422">
        <f t="shared" si="4"/>
        <v>49.64705882352942</v>
      </c>
      <c r="AC13" s="567" cm="1">
        <f t="array" ref="AC13">CountUniquePeopleByTask($I13,$K$31:$AS$37,$I$31:$J$37)</f>
        <v>1</v>
      </c>
      <c r="AD13" s="452" t="str">
        <f>IFERROR(VLOOKUP($J13, 'Jira Data'!$A:$R, 3, FALSE), "-")</f>
        <v>Done</v>
      </c>
      <c r="AE13" s="425">
        <f>IFERROR(IF(VLOOKUP($J13, 'Jira Data'!$A:$R, 8, FALSE)="","-",VLOOKUP($J13, 'Jira Data'!$A:$R, 8, FALSE)),"-")</f>
        <v>45539</v>
      </c>
      <c r="AF13" s="16" t="str">
        <f>IFERROR(VLOOKUP($J13, 'Jira Data'!$A:$R, 11, FALSE), "-")</f>
        <v>On Time</v>
      </c>
      <c r="AG13" s="426">
        <f>IFERROR(VLOOKUP($J13, 'Jira Data'!$A:$R, 12, FALSE), "-")</f>
        <v>0</v>
      </c>
      <c r="AH13" s="425">
        <f>IFERROR(IF(VLOOKUP($J13, 'Jira Data'!$A:$R, 9, FALSE)="","-",VLOOKUP($J13, 'Jira Data'!$A:$R, 9, FALSE)), "-")</f>
        <v>45562</v>
      </c>
      <c r="AI13" s="415" t="str">
        <f t="shared" si="5"/>
        <v>No change</v>
      </c>
      <c r="AJ13" s="16">
        <f t="shared" si="6"/>
        <v>0</v>
      </c>
      <c r="AK13" s="16" t="str">
        <f ca="1">IFERROR(VLOOKUP($J13, 'Jira Data'!$A:$R, 15, FALSE), "-")</f>
        <v>Delivered</v>
      </c>
      <c r="AL13" s="16">
        <f ca="1">IFERROR(VLOOKUP($J13, 'Jira Data'!$A:$R, 16, FALSE), "-")</f>
        <v>0</v>
      </c>
      <c r="AM13" s="426">
        <f ca="1">IFERROR(VLOOKUP($J13, 'Jira Data'!$A:$R, 18, FALSE), "-")</f>
        <v>0</v>
      </c>
      <c r="AN13" s="425">
        <f>IFERROR(IF(VLOOKUP($J13, 'Jira Data'!$A:$R, 10, FALSE)="", "-", VLOOKUP($J13, 'Jira Data'!$A:$R, 10, FALSE)), "-")</f>
        <v>45553</v>
      </c>
      <c r="AO13" s="16" t="str">
        <f ca="1">IFERROR(VLOOKUP($J13, 'Jira Data'!$A:$R, 13, FALSE), "-")</f>
        <v>Delivered</v>
      </c>
      <c r="AP13" s="426">
        <f ca="1">IFERROR(VLOOKUP($J13, 'Jira Data'!$A:$R, 14, FALSE), "-")</f>
        <v>0</v>
      </c>
      <c r="AQ13" s="49">
        <f t="shared" si="9"/>
        <v>11</v>
      </c>
      <c r="AR13" s="90">
        <f t="shared" si="7"/>
        <v>54.611764705882365</v>
      </c>
      <c r="AS13" s="433">
        <f t="shared" si="8"/>
        <v>0.1</v>
      </c>
    </row>
    <row r="14" spans="1:54" x14ac:dyDescent="0.2">
      <c r="B14" s="670" t="s">
        <v>21</v>
      </c>
      <c r="C14" s="591"/>
      <c r="D14" s="591"/>
      <c r="E14" s="93">
        <v>7</v>
      </c>
      <c r="F14" s="29"/>
      <c r="G14" s="30"/>
      <c r="H14" s="102"/>
      <c r="I14" s="340" t="s">
        <v>283</v>
      </c>
      <c r="J14" s="11" t="s">
        <v>284</v>
      </c>
      <c r="K14" s="23" t="s">
        <v>285</v>
      </c>
      <c r="L14" s="24"/>
      <c r="M14" s="24"/>
      <c r="N14" s="24"/>
      <c r="O14" s="24"/>
      <c r="P14" s="24"/>
      <c r="Q14" s="24"/>
      <c r="R14" s="441" t="s">
        <v>26</v>
      </c>
      <c r="S14" s="57">
        <v>5</v>
      </c>
      <c r="T14" s="117">
        <f t="shared" si="0"/>
        <v>9</v>
      </c>
      <c r="U14" s="116"/>
      <c r="V14" s="413">
        <f>IFERROR(VLOOKUP($J14, 'Jira Data'!$A:$R, 6, FALSE), "-")</f>
        <v>45547</v>
      </c>
      <c r="W14" s="563">
        <f>IFERROR(VLOOKUP($J14, 'Jira Data'!$A:$R, 7, FALSE), "-")</f>
        <v>45562</v>
      </c>
      <c r="X14" s="567" cm="1">
        <f t="array" ref="X14">CountUniquePeopleByTask($I14,$K$43:$AS$49,$I$43:$J$49)</f>
        <v>1</v>
      </c>
      <c r="Y14" s="16">
        <f t="shared" si="1"/>
        <v>9</v>
      </c>
      <c r="Z14" s="439" t="str">
        <f t="shared" si="2"/>
        <v>Aligned</v>
      </c>
      <c r="AA14" s="35">
        <f t="shared" si="3"/>
        <v>3.6734693877551024E-2</v>
      </c>
      <c r="AB14" s="422">
        <f t="shared" si="4"/>
        <v>44.682352941176482</v>
      </c>
      <c r="AC14" s="567" cm="1">
        <f t="array" ref="AC14">CountUniquePeopleByTask($I14,$K$31:$AS$37,$I$31:$J$37)</f>
        <v>1</v>
      </c>
      <c r="AD14" s="452" t="str">
        <f>IFERROR(VLOOKUP($J14, 'Jira Data'!$A:$R, 3, FALSE), "-")</f>
        <v>Done</v>
      </c>
      <c r="AE14" s="425">
        <f>IFERROR(IF(VLOOKUP($J14, 'Jira Data'!$A:$R, 8, FALSE)="","-",VLOOKUP($J14, 'Jira Data'!$A:$R, 8, FALSE)),"-")</f>
        <v>45530</v>
      </c>
      <c r="AF14" s="16" t="str">
        <f>IFERROR(VLOOKUP($J14, 'Jira Data'!$A:$R, 11, FALSE), "-")</f>
        <v>On Time</v>
      </c>
      <c r="AG14" s="426">
        <f>IFERROR(VLOOKUP($J14, 'Jira Data'!$A:$R, 12, FALSE), "-")</f>
        <v>0</v>
      </c>
      <c r="AH14" s="425">
        <f>IFERROR(IF(VLOOKUP($J14, 'Jira Data'!$A:$R, 9, FALSE)="","-",VLOOKUP($J14, 'Jira Data'!$A:$R, 9, FALSE)), "-")</f>
        <v>45547</v>
      </c>
      <c r="AI14" s="415" t="str">
        <f t="shared" si="5"/>
        <v>Advanced</v>
      </c>
      <c r="AJ14" s="16">
        <f t="shared" si="6"/>
        <v>11</v>
      </c>
      <c r="AK14" s="16" t="str">
        <f ca="1">IFERROR(VLOOKUP($J14, 'Jira Data'!$A:$R, 15, FALSE), "-")</f>
        <v>Delivered</v>
      </c>
      <c r="AL14" s="16">
        <f ca="1">IFERROR(VLOOKUP($J14, 'Jira Data'!$A:$R, 16, FALSE), "-")</f>
        <v>2</v>
      </c>
      <c r="AM14" s="426">
        <f ca="1">IFERROR(VLOOKUP($J14, 'Jira Data'!$A:$R, 18, FALSE), "-")</f>
        <v>0</v>
      </c>
      <c r="AN14" s="425">
        <f>IFERROR(IF(VLOOKUP($J14, 'Jira Data'!$A:$R, 10, FALSE)="", "-", VLOOKUP($J14, 'Jira Data'!$A:$R, 10, FALSE)), "-")</f>
        <v>45548</v>
      </c>
      <c r="AO14" s="16" t="str">
        <f ca="1">IFERROR(VLOOKUP($J14, 'Jira Data'!$A:$R, 13, FALSE), "-")</f>
        <v>Delivered</v>
      </c>
      <c r="AP14" s="426">
        <f ca="1">IFERROR(VLOOKUP($J14, 'Jira Data'!$A:$R, 14, FALSE), "-")</f>
        <v>0</v>
      </c>
      <c r="AQ14" s="49">
        <f t="shared" si="9"/>
        <v>14</v>
      </c>
      <c r="AR14" s="90">
        <f t="shared" si="7"/>
        <v>69.505882352941185</v>
      </c>
      <c r="AS14" s="433">
        <f t="shared" si="8"/>
        <v>0.55555555555555558</v>
      </c>
    </row>
    <row r="15" spans="1:54" x14ac:dyDescent="0.2">
      <c r="B15" s="671" t="s">
        <v>22</v>
      </c>
      <c r="C15" s="596"/>
      <c r="D15" s="597"/>
      <c r="E15" s="94">
        <v>0.9</v>
      </c>
      <c r="F15" s="29"/>
      <c r="G15" s="30"/>
      <c r="H15" s="102"/>
      <c r="I15" s="339" t="s">
        <v>235</v>
      </c>
      <c r="J15" s="11" t="s">
        <v>286</v>
      </c>
      <c r="K15" s="23" t="s">
        <v>287</v>
      </c>
      <c r="L15" s="24"/>
      <c r="M15" s="24"/>
      <c r="N15" s="24"/>
      <c r="O15" s="24"/>
      <c r="P15" s="24"/>
      <c r="Q15" s="24"/>
      <c r="R15" s="441" t="s">
        <v>149</v>
      </c>
      <c r="S15" s="57">
        <v>8</v>
      </c>
      <c r="T15" s="117">
        <f t="shared" si="0"/>
        <v>13</v>
      </c>
      <c r="U15" s="116"/>
      <c r="V15" s="413">
        <f>IFERROR(VLOOKUP($J15, 'Jira Data'!$A:$R, 6, FALSE), "-")</f>
        <v>45539</v>
      </c>
      <c r="W15" s="563">
        <f>IFERROR(VLOOKUP($J15, 'Jira Data'!$A:$R, 7, FALSE), "-")</f>
        <v>45562</v>
      </c>
      <c r="X15" s="567" cm="1">
        <f t="array" ref="X15">CountUniquePeopleByTask($I15,$K$43:$AS$49,$I$43:$J$49)</f>
        <v>1</v>
      </c>
      <c r="Y15" s="16">
        <f t="shared" si="1"/>
        <v>13</v>
      </c>
      <c r="Z15" s="439" t="str">
        <f t="shared" si="2"/>
        <v>Aligned</v>
      </c>
      <c r="AA15" s="35">
        <f t="shared" si="3"/>
        <v>5.3061224489795916E-2</v>
      </c>
      <c r="AB15" s="422">
        <f t="shared" si="4"/>
        <v>64.541176470588255</v>
      </c>
      <c r="AC15" s="567" cm="1">
        <f t="array" ref="AC15">CountUniquePeopleByTask($I15,$K$31:$AS$37,$I$31:$J$37)</f>
        <v>1</v>
      </c>
      <c r="AD15" s="452" t="str">
        <f>IFERROR(VLOOKUP($J15, 'Jira Data'!$A:$R, 3, FALSE), "-")</f>
        <v>Done</v>
      </c>
      <c r="AE15" s="425">
        <f>IFERROR(IF(VLOOKUP($J15, 'Jira Data'!$A:$R, 8, FALSE)="","-",VLOOKUP($J15, 'Jira Data'!$A:$R, 8, FALSE)),"-")</f>
        <v>45537</v>
      </c>
      <c r="AF15" s="16" t="str">
        <f>IFERROR(VLOOKUP($J15, 'Jira Data'!$A:$R, 11, FALSE), "-")</f>
        <v>On Time</v>
      </c>
      <c r="AG15" s="426">
        <f>IFERROR(VLOOKUP($J15, 'Jira Data'!$A:$R, 12, FALSE), "-")</f>
        <v>0</v>
      </c>
      <c r="AH15" s="425">
        <f>IFERROR(IF(VLOOKUP($J15, 'Jira Data'!$A:$R, 9, FALSE)="","-",VLOOKUP($J15, 'Jira Data'!$A:$R, 9, FALSE)), "-")</f>
        <v>45562</v>
      </c>
      <c r="AI15" s="415" t="str">
        <f t="shared" si="5"/>
        <v>No change</v>
      </c>
      <c r="AJ15" s="16">
        <f t="shared" si="6"/>
        <v>0</v>
      </c>
      <c r="AK15" s="16" t="str">
        <f ca="1">IFERROR(VLOOKUP($J15, 'Jira Data'!$A:$R, 15, FALSE), "-")</f>
        <v>Delivered</v>
      </c>
      <c r="AL15" s="16">
        <f ca="1">IFERROR(VLOOKUP($J15, 'Jira Data'!$A:$R, 16, FALSE), "-")</f>
        <v>0</v>
      </c>
      <c r="AM15" s="426">
        <f ca="1">IFERROR(VLOOKUP($J15, 'Jira Data'!$A:$R, 18, FALSE), "-")</f>
        <v>0</v>
      </c>
      <c r="AN15" s="425">
        <f>IFERROR(IF(VLOOKUP($J15, 'Jira Data'!$A:$R, 10, FALSE)="", "-", VLOOKUP($J15, 'Jira Data'!$A:$R, 10, FALSE)), "-")</f>
        <v>45562</v>
      </c>
      <c r="AO15" s="16" t="str">
        <f ca="1">IFERROR(VLOOKUP($J15, 'Jira Data'!$A:$R, 13, FALSE), "-")</f>
        <v>Delivered</v>
      </c>
      <c r="AP15" s="426">
        <f ca="1">IFERROR(VLOOKUP($J15, 'Jira Data'!$A:$R, 14, FALSE), "-")</f>
        <v>0</v>
      </c>
      <c r="AQ15" s="49">
        <f t="shared" si="9"/>
        <v>15</v>
      </c>
      <c r="AR15" s="90">
        <f t="shared" si="7"/>
        <v>74.47058823529413</v>
      </c>
      <c r="AS15" s="433">
        <f t="shared" si="8"/>
        <v>0.15384615384615385</v>
      </c>
    </row>
    <row r="16" spans="1:54" x14ac:dyDescent="0.2">
      <c r="B16" s="671" t="s">
        <v>3</v>
      </c>
      <c r="C16" s="596"/>
      <c r="D16" s="597"/>
      <c r="E16" s="93">
        <v>1</v>
      </c>
      <c r="F16" s="29"/>
      <c r="G16" s="30"/>
      <c r="H16" s="102"/>
      <c r="I16" s="338" t="s">
        <v>248</v>
      </c>
      <c r="J16" s="11" t="s">
        <v>288</v>
      </c>
      <c r="K16" s="23" t="s">
        <v>289</v>
      </c>
      <c r="L16" s="24"/>
      <c r="M16" s="24"/>
      <c r="N16" s="24"/>
      <c r="O16" s="24"/>
      <c r="P16" s="24"/>
      <c r="Q16" s="24"/>
      <c r="R16" s="441" t="s">
        <v>149</v>
      </c>
      <c r="S16" s="57">
        <v>4</v>
      </c>
      <c r="T16" s="117">
        <f t="shared" si="0"/>
        <v>7</v>
      </c>
      <c r="U16" s="116"/>
      <c r="V16" s="413">
        <f>IFERROR(VLOOKUP($J16, 'Jira Data'!$A:$R, 6, FALSE), "-")</f>
        <v>45516</v>
      </c>
      <c r="W16" s="563">
        <f>IFERROR(VLOOKUP($J16, 'Jira Data'!$A:$R, 7, FALSE), "-")</f>
        <v>45527</v>
      </c>
      <c r="X16" s="567" cm="1">
        <f t="array" ref="X16">CountUniquePeopleByTask($I16,$K$43:$AS$49,$I$43:$J$49)</f>
        <v>1</v>
      </c>
      <c r="Y16" s="16">
        <f t="shared" si="1"/>
        <v>7</v>
      </c>
      <c r="Z16" s="439" t="str">
        <f t="shared" si="2"/>
        <v>Aligned</v>
      </c>
      <c r="AA16" s="35">
        <f t="shared" si="3"/>
        <v>2.8571428571428571E-2</v>
      </c>
      <c r="AB16" s="422">
        <f t="shared" si="4"/>
        <v>34.752941176470593</v>
      </c>
      <c r="AC16" s="567" cm="1">
        <f t="array" ref="AC16">CountUniquePeopleByTask($I16,$K$31:$AS$37,$I$31:$J$37)</f>
        <v>1</v>
      </c>
      <c r="AD16" s="452" t="str">
        <f>IFERROR(VLOOKUP($J16, 'Jira Data'!$A:$R, 3, FALSE), "-")</f>
        <v>Done</v>
      </c>
      <c r="AE16" s="425">
        <f>IFERROR(IF(VLOOKUP($J16, 'Jira Data'!$A:$R, 8, FALSE)="","-",VLOOKUP($J16, 'Jira Data'!$A:$R, 8, FALSE)),"-")</f>
        <v>45516</v>
      </c>
      <c r="AF16" s="16" t="str">
        <f>IFERROR(VLOOKUP($J16, 'Jira Data'!$A:$R, 11, FALSE), "-")</f>
        <v>On Time</v>
      </c>
      <c r="AG16" s="426">
        <f>IFERROR(VLOOKUP($J16, 'Jira Data'!$A:$R, 12, FALSE), "-")</f>
        <v>0</v>
      </c>
      <c r="AH16" s="425">
        <f>IFERROR(IF(VLOOKUP($J16, 'Jira Data'!$A:$R, 9, FALSE)="","-",VLOOKUP($J16, 'Jira Data'!$A:$R, 9, FALSE)), "-")</f>
        <v>45530</v>
      </c>
      <c r="AI16" s="415" t="str">
        <f t="shared" si="5"/>
        <v>Postponed</v>
      </c>
      <c r="AJ16" s="16">
        <f t="shared" si="6"/>
        <v>1</v>
      </c>
      <c r="AK16" s="16" t="str">
        <f ca="1">IFERROR(VLOOKUP($J16, 'Jira Data'!$A:$R, 15, FALSE), "-")</f>
        <v>Delivered</v>
      </c>
      <c r="AL16" s="16">
        <f ca="1">IFERROR(VLOOKUP($J16, 'Jira Data'!$A:$R, 16, FALSE), "-")</f>
        <v>0</v>
      </c>
      <c r="AM16" s="426">
        <f ca="1">IFERROR(VLOOKUP($J16, 'Jira Data'!$A:$R, 18, FALSE), "-")</f>
        <v>0</v>
      </c>
      <c r="AN16" s="425">
        <f>IFERROR(IF(VLOOKUP($J16, 'Jira Data'!$A:$R, 10, FALSE)="", "-", VLOOKUP($J16, 'Jira Data'!$A:$R, 10, FALSE)), "-")</f>
        <v>45530</v>
      </c>
      <c r="AO16" s="16" t="str">
        <f ca="1">IFERROR(VLOOKUP($J16, 'Jira Data'!$A:$R, 13, FALSE), "-")</f>
        <v>Delivered</v>
      </c>
      <c r="AP16" s="426">
        <f ca="1">IFERROR(VLOOKUP($J16, 'Jira Data'!$A:$R, 14, FALSE), "-")</f>
        <v>2</v>
      </c>
      <c r="AQ16" s="49">
        <f t="shared" si="9"/>
        <v>8</v>
      </c>
      <c r="AR16" s="90">
        <f t="shared" si="7"/>
        <v>39.717647058823538</v>
      </c>
      <c r="AS16" s="433">
        <f t="shared" si="8"/>
        <v>0.14285714285714285</v>
      </c>
    </row>
    <row r="17" spans="2:45" x14ac:dyDescent="0.2">
      <c r="B17" s="671" t="s">
        <v>34</v>
      </c>
      <c r="C17" s="596"/>
      <c r="D17" s="597"/>
      <c r="E17" s="460">
        <v>45516</v>
      </c>
      <c r="F17" s="29"/>
      <c r="G17" s="30"/>
      <c r="H17" s="102"/>
      <c r="I17" s="341" t="s">
        <v>290</v>
      </c>
      <c r="J17" s="11" t="s">
        <v>215</v>
      </c>
      <c r="K17" s="23" t="s">
        <v>291</v>
      </c>
      <c r="L17" s="24"/>
      <c r="M17" s="24"/>
      <c r="N17" s="24"/>
      <c r="O17" s="24"/>
      <c r="P17" s="24"/>
      <c r="Q17" s="24"/>
      <c r="R17" s="441" t="s">
        <v>149</v>
      </c>
      <c r="S17" s="57">
        <v>10</v>
      </c>
      <c r="T17" s="117">
        <f t="shared" si="0"/>
        <v>17</v>
      </c>
      <c r="U17" s="116"/>
      <c r="V17" s="413">
        <f>IFERROR(VLOOKUP($J17, 'Jira Data'!$A:$R, 6, FALSE), "-")</f>
        <v>45530</v>
      </c>
      <c r="W17" s="563">
        <f>IFERROR(VLOOKUP($J17, 'Jira Data'!$A:$R, 7, FALSE), "-")</f>
        <v>45555</v>
      </c>
      <c r="X17" s="567" cm="1">
        <f t="array" ref="X17">CountUniquePeopleByTask($I17,$K$43:$AS$49,$I$43:$J$49)</f>
        <v>1</v>
      </c>
      <c r="Y17" s="16">
        <f t="shared" si="1"/>
        <v>18</v>
      </c>
      <c r="Z17" s="439" t="str">
        <f t="shared" si="2"/>
        <v>Excess</v>
      </c>
      <c r="AA17" s="35">
        <f t="shared" si="3"/>
        <v>7.3469387755102047E-2</v>
      </c>
      <c r="AB17" s="422">
        <f t="shared" si="4"/>
        <v>89.364705882352965</v>
      </c>
      <c r="AC17" s="567" cm="1">
        <f t="array" ref="AC17">CountUniquePeopleByTask($I17,$K$31:$AS$37,$I$31:$J$37)</f>
        <v>1</v>
      </c>
      <c r="AD17" s="452" t="str">
        <f>IFERROR(VLOOKUP($J17, 'Jira Data'!$A:$R, 3, FALSE), "-")</f>
        <v>Done</v>
      </c>
      <c r="AE17" s="425">
        <f>IFERROR(IF(VLOOKUP($J17, 'Jira Data'!$A:$R, 8, FALSE)="","-",VLOOKUP($J17, 'Jira Data'!$A:$R, 8, FALSE)),"-")</f>
        <v>45531</v>
      </c>
      <c r="AF17" s="16" t="str">
        <f>IFERROR(VLOOKUP($J17, 'Jira Data'!$A:$R, 11, FALSE), "-")</f>
        <v>Delayed</v>
      </c>
      <c r="AG17" s="426">
        <f>IFERROR(VLOOKUP($J17, 'Jira Data'!$A:$R, 12, FALSE), "-")</f>
        <v>1</v>
      </c>
      <c r="AH17" s="425">
        <f>IFERROR(IF(VLOOKUP($J17, 'Jira Data'!$A:$R, 9, FALSE)="","-",VLOOKUP($J17, 'Jira Data'!$A:$R, 9, FALSE)), "-")</f>
        <v>45555</v>
      </c>
      <c r="AI17" s="415" t="str">
        <f t="shared" si="5"/>
        <v>No change</v>
      </c>
      <c r="AJ17" s="16">
        <f t="shared" si="6"/>
        <v>0</v>
      </c>
      <c r="AK17" s="16" t="str">
        <f ca="1">IFERROR(VLOOKUP($J17, 'Jira Data'!$A:$R, 15, FALSE), "-")</f>
        <v>Delivered</v>
      </c>
      <c r="AL17" s="16">
        <f ca="1">IFERROR(VLOOKUP($J17, 'Jira Data'!$A:$R, 16, FALSE), "-")</f>
        <v>2</v>
      </c>
      <c r="AM17" s="426">
        <f ca="1">IFERROR(VLOOKUP($J17, 'Jira Data'!$A:$R, 18, FALSE), "-")</f>
        <v>0</v>
      </c>
      <c r="AN17" s="425">
        <f>IFERROR(IF(VLOOKUP($J17, 'Jira Data'!$A:$R, 10, FALSE)="", "-", VLOOKUP($J17, 'Jira Data'!$A:$R, 10, FALSE)), "-")</f>
        <v>45558</v>
      </c>
      <c r="AO17" s="16" t="str">
        <f ca="1">IFERROR(VLOOKUP($J17, 'Jira Data'!$A:$R, 13, FALSE), "-")</f>
        <v>Delivered</v>
      </c>
      <c r="AP17" s="426">
        <f ca="1">IFERROR(VLOOKUP($J17, 'Jira Data'!$A:$R, 14, FALSE), "-")</f>
        <v>2</v>
      </c>
      <c r="AQ17" s="49">
        <f t="shared" si="9"/>
        <v>15</v>
      </c>
      <c r="AR17" s="90">
        <f t="shared" si="7"/>
        <v>74.47058823529413</v>
      </c>
      <c r="AS17" s="433">
        <f t="shared" si="8"/>
        <v>-0.16666666666666666</v>
      </c>
    </row>
    <row r="18" spans="2:45" ht="17" thickBot="1" x14ac:dyDescent="0.25">
      <c r="B18" s="672" t="s">
        <v>292</v>
      </c>
      <c r="C18" s="673"/>
      <c r="D18" s="673"/>
      <c r="E18" s="95">
        <f>E17 + (E14 * 7)</f>
        <v>45565</v>
      </c>
      <c r="F18" s="29"/>
      <c r="G18" s="30"/>
      <c r="H18" s="102"/>
      <c r="I18" s="52"/>
      <c r="J18" s="11"/>
      <c r="K18" s="23"/>
      <c r="L18" s="24"/>
      <c r="M18" s="24"/>
      <c r="N18" s="24"/>
      <c r="O18" s="24"/>
      <c r="P18" s="24"/>
      <c r="Q18" s="24"/>
      <c r="R18" s="441"/>
      <c r="S18" s="57">
        <v>0</v>
      </c>
      <c r="T18" s="117">
        <f t="shared" si="0"/>
        <v>0</v>
      </c>
      <c r="U18" s="116"/>
      <c r="V18" s="413" t="str">
        <f>IFERROR(VLOOKUP($J18, 'Jira Data'!$A:$R, 6, FALSE), "-")</f>
        <v>-</v>
      </c>
      <c r="W18" s="563" t="str">
        <f>IFERROR(VLOOKUP($J18, 'Jira Data'!$A:$R, 7, FALSE), "-")</f>
        <v>-</v>
      </c>
      <c r="X18" s="567" t="str" cm="1">
        <f t="array" ref="X18">CountUniquePeopleByTask($I18,$K$43:$AS$49,$I$43:$J$49)</f>
        <v>-</v>
      </c>
      <c r="Y18" s="16">
        <f t="shared" si="1"/>
        <v>0</v>
      </c>
      <c r="Z18" s="439" t="str">
        <f t="shared" si="2"/>
        <v>-</v>
      </c>
      <c r="AA18" s="35">
        <f t="shared" si="3"/>
        <v>0</v>
      </c>
      <c r="AB18" s="422">
        <f t="shared" si="4"/>
        <v>0</v>
      </c>
      <c r="AC18" s="567" t="str" cm="1">
        <f t="array" ref="AC18">CountUniquePeopleByTask($I18,$K$31:$AS$37,$I$31:$J$37)</f>
        <v>-</v>
      </c>
      <c r="AD18" s="452" t="str">
        <f>IFERROR(VLOOKUP($J18, 'Jira Data'!$A:$R, 3, FALSE), "-")</f>
        <v>-</v>
      </c>
      <c r="AE18" s="425" t="str">
        <f>IFERROR(IF(VLOOKUP($J18, 'Jira Data'!$A:$R, 8, FALSE)="","-",VLOOKUP($J18, 'Jira Data'!$A:$R, 8, FALSE)),"-")</f>
        <v>-</v>
      </c>
      <c r="AF18" s="16" t="str">
        <f>IFERROR(VLOOKUP($J18, 'Jira Data'!$A:$R, 11, FALSE), "-")</f>
        <v>-</v>
      </c>
      <c r="AG18" s="426" t="str">
        <f>IFERROR(VLOOKUP($J18, 'Jira Data'!$A:$R, 12, FALSE), "-")</f>
        <v>-</v>
      </c>
      <c r="AH18" s="425" t="str">
        <f>IFERROR(IF(VLOOKUP($J18, 'Jira Data'!$A:$R, 9, FALSE)="","-",VLOOKUP($J18, 'Jira Data'!$A:$R, 9, FALSE)), "-")</f>
        <v>-</v>
      </c>
      <c r="AI18" s="415" t="str">
        <f t="shared" si="5"/>
        <v>-</v>
      </c>
      <c r="AJ18" s="16" t="str">
        <f t="shared" si="6"/>
        <v>-</v>
      </c>
      <c r="AK18" s="16" t="str">
        <f>IFERROR(VLOOKUP($J18, 'Jira Data'!$A:$R, 15, FALSE), "-")</f>
        <v>-</v>
      </c>
      <c r="AL18" s="16" t="str">
        <f>IFERROR(VLOOKUP($J18, 'Jira Data'!$A:$R, 16, FALSE), "-")</f>
        <v>-</v>
      </c>
      <c r="AM18" s="426" t="str">
        <f>IFERROR(VLOOKUP($J18, 'Jira Data'!$A:$R, 18, FALSE), "-")</f>
        <v>-</v>
      </c>
      <c r="AN18" s="425" t="str">
        <f>IFERROR(IF(VLOOKUP($J18, 'Jira Data'!$A:$R, 10, FALSE)="", "-", VLOOKUP($J18, 'Jira Data'!$A:$R, 10, FALSE)), "-")</f>
        <v>-</v>
      </c>
      <c r="AO18" s="16" t="str">
        <f>IFERROR(VLOOKUP($J18, 'Jira Data'!$A:$R, 13, FALSE), "-")</f>
        <v>-</v>
      </c>
      <c r="AP18" s="426" t="str">
        <f>IFERROR(VLOOKUP($J18, 'Jira Data'!$A:$R, 14, FALSE), "-")</f>
        <v>-</v>
      </c>
      <c r="AQ18" s="49">
        <f t="shared" si="9"/>
        <v>0</v>
      </c>
      <c r="AR18" s="90">
        <f t="shared" si="7"/>
        <v>0</v>
      </c>
      <c r="AS18" s="433" t="str">
        <f t="shared" si="8"/>
        <v>-</v>
      </c>
    </row>
    <row r="19" spans="2:45" ht="17" thickBot="1" x14ac:dyDescent="0.25">
      <c r="B19" s="19"/>
      <c r="C19" s="19"/>
      <c r="D19" s="19"/>
      <c r="E19" s="19"/>
      <c r="F19" s="29"/>
      <c r="G19" s="30"/>
      <c r="H19" s="102"/>
      <c r="I19" s="327" t="s">
        <v>293</v>
      </c>
      <c r="J19" s="11"/>
      <c r="K19" s="408"/>
      <c r="L19" s="400"/>
      <c r="M19" s="400"/>
      <c r="N19" s="400"/>
      <c r="O19" s="400"/>
      <c r="P19" s="400"/>
      <c r="Q19" s="400"/>
      <c r="R19" s="441" t="s">
        <v>26</v>
      </c>
      <c r="S19" s="57">
        <v>0</v>
      </c>
      <c r="T19" s="117">
        <f t="shared" si="0"/>
        <v>0</v>
      </c>
      <c r="U19" s="116"/>
      <c r="V19" s="413" t="str">
        <f>IFERROR(VLOOKUP($J19, 'Jira Data'!$A:$R, 6, FALSE), "-")</f>
        <v>-</v>
      </c>
      <c r="W19" s="563" t="str">
        <f>IFERROR(VLOOKUP($J19, 'Jira Data'!$A:$R, 7, FALSE), "-")</f>
        <v>-</v>
      </c>
      <c r="X19" s="567" cm="1">
        <f t="array" ref="X19">CountUniquePeopleByTask($I19,$K$43:$AS$49,$I$43:$J$49)</f>
        <v>7</v>
      </c>
      <c r="Y19" s="16">
        <f t="shared" si="1"/>
        <v>21</v>
      </c>
      <c r="Z19" s="439" t="str">
        <f t="shared" si="2"/>
        <v>-</v>
      </c>
      <c r="AA19" s="35">
        <f t="shared" si="3"/>
        <v>8.5714285714285715E-2</v>
      </c>
      <c r="AB19" s="422">
        <f t="shared" si="4"/>
        <v>104.25882352941179</v>
      </c>
      <c r="AC19" s="567" cm="1">
        <f t="array" ref="AC19">CountUniquePeopleByTask($I19,$K$31:$AS$37,$I$31:$J$37)</f>
        <v>7</v>
      </c>
      <c r="AD19" s="452" t="str">
        <f>IFERROR(VLOOKUP($J19, 'Jira Data'!$A:$R, 3, FALSE), "-")</f>
        <v>-</v>
      </c>
      <c r="AE19" s="425" t="str">
        <f>IFERROR(IF(VLOOKUP($J19, 'Jira Data'!$A:$R, 8, FALSE)="","-",VLOOKUP($J19, 'Jira Data'!$A:$R, 8, FALSE)),"-")</f>
        <v>-</v>
      </c>
      <c r="AF19" s="16" t="str">
        <f>IFERROR(VLOOKUP($J19, 'Jira Data'!$A:$R, 11, FALSE), "-")</f>
        <v>-</v>
      </c>
      <c r="AG19" s="426" t="str">
        <f>IFERROR(VLOOKUP($J19, 'Jira Data'!$A:$R, 12, FALSE), "-")</f>
        <v>-</v>
      </c>
      <c r="AH19" s="425" t="str">
        <f>IFERROR(IF(VLOOKUP($J19, 'Jira Data'!$A:$R, 9, FALSE)="","-",VLOOKUP($J19, 'Jira Data'!$A:$R, 9, FALSE)), "-")</f>
        <v>-</v>
      </c>
      <c r="AI19" s="415" t="str">
        <f t="shared" si="5"/>
        <v>-</v>
      </c>
      <c r="AJ19" s="16" t="str">
        <f t="shared" si="6"/>
        <v>-</v>
      </c>
      <c r="AK19" s="16" t="str">
        <f>IFERROR(VLOOKUP($J19, 'Jira Data'!$A:$R, 15, FALSE), "-")</f>
        <v>-</v>
      </c>
      <c r="AL19" s="16" t="str">
        <f>IFERROR(VLOOKUP($J19, 'Jira Data'!$A:$R, 16, FALSE), "-")</f>
        <v>-</v>
      </c>
      <c r="AM19" s="426" t="str">
        <f>IFERROR(VLOOKUP($J19, 'Jira Data'!$A:$R, 18, FALSE), "-")</f>
        <v>-</v>
      </c>
      <c r="AN19" s="425" t="str">
        <f>IFERROR(IF(VLOOKUP($J19, 'Jira Data'!$A:$R, 10, FALSE)="", "-", VLOOKUP($J19, 'Jira Data'!$A:$R, 10, FALSE)), "-")</f>
        <v>-</v>
      </c>
      <c r="AO19" s="16" t="str">
        <f>IFERROR(VLOOKUP($J19, 'Jira Data'!$A:$R, 13, FALSE), "-")</f>
        <v>-</v>
      </c>
      <c r="AP19" s="426" t="str">
        <f>IFERROR(VLOOKUP($J19, 'Jira Data'!$A:$R, 14, FALSE), "-")</f>
        <v>-</v>
      </c>
      <c r="AQ19" s="49">
        <f t="shared" si="9"/>
        <v>21</v>
      </c>
      <c r="AR19" s="90">
        <f t="shared" si="7"/>
        <v>104.25882352941179</v>
      </c>
      <c r="AS19" s="433">
        <f t="shared" si="8"/>
        <v>0</v>
      </c>
    </row>
    <row r="20" spans="2:45" ht="17" thickBot="1" x14ac:dyDescent="0.25">
      <c r="B20" s="644" t="s">
        <v>128</v>
      </c>
      <c r="C20" s="644"/>
      <c r="D20" s="644"/>
      <c r="E20" s="644" t="s">
        <v>128</v>
      </c>
      <c r="F20" s="29"/>
      <c r="G20" s="30"/>
      <c r="H20" s="102"/>
      <c r="I20" s="162" t="s">
        <v>51</v>
      </c>
      <c r="J20" s="11"/>
      <c r="K20" s="408"/>
      <c r="L20" s="400"/>
      <c r="M20" s="400"/>
      <c r="N20" s="400"/>
      <c r="O20" s="400"/>
      <c r="P20" s="400"/>
      <c r="Q20" s="400"/>
      <c r="R20" s="441" t="s">
        <v>149</v>
      </c>
      <c r="S20" s="57">
        <v>0</v>
      </c>
      <c r="T20" s="117">
        <f t="shared" si="0"/>
        <v>0</v>
      </c>
      <c r="U20" s="116"/>
      <c r="V20" s="413" t="str">
        <f>IFERROR(VLOOKUP($J20, 'Jira Data'!$A:$R, 6, FALSE), "-")</f>
        <v>-</v>
      </c>
      <c r="W20" s="563" t="str">
        <f>IFERROR(VLOOKUP($J20, 'Jira Data'!$A:$R, 7, FALSE), "-")</f>
        <v>-</v>
      </c>
      <c r="X20" s="567" cm="1">
        <f t="array" ref="X20">CountUniquePeopleByTask($I20,$K$43:$AS$49,$I$43:$J$49)</f>
        <v>1</v>
      </c>
      <c r="Y20" s="16">
        <f t="shared" si="1"/>
        <v>11</v>
      </c>
      <c r="Z20" s="439" t="str">
        <f t="shared" si="2"/>
        <v>-</v>
      </c>
      <c r="AA20" s="35">
        <f t="shared" si="3"/>
        <v>4.4897959183673466E-2</v>
      </c>
      <c r="AB20" s="422">
        <f t="shared" si="4"/>
        <v>54.611764705882365</v>
      </c>
      <c r="AC20" s="567" cm="1">
        <f t="array" ref="AC20">CountUniquePeopleByTask($I20,$K$31:$AS$37,$I$31:$J$37)</f>
        <v>1</v>
      </c>
      <c r="AD20" s="452" t="str">
        <f>IFERROR(VLOOKUP($J20, 'Jira Data'!$A:$R, 3, FALSE), "-")</f>
        <v>-</v>
      </c>
      <c r="AE20" s="425" t="str">
        <f>IFERROR(IF(VLOOKUP($J20, 'Jira Data'!$A:$R, 8, FALSE)="","-",VLOOKUP($J20, 'Jira Data'!$A:$R, 8, FALSE)),"-")</f>
        <v>-</v>
      </c>
      <c r="AF20" s="16" t="str">
        <f>IFERROR(VLOOKUP($J20, 'Jira Data'!$A:$R, 11, FALSE), "-")</f>
        <v>-</v>
      </c>
      <c r="AG20" s="426" t="str">
        <f>IFERROR(VLOOKUP($J20, 'Jira Data'!$A:$R, 12, FALSE), "-")</f>
        <v>-</v>
      </c>
      <c r="AH20" s="425" t="str">
        <f>IFERROR(IF(VLOOKUP($J20, 'Jira Data'!$A:$R, 9, FALSE)="","-",VLOOKUP($J20, 'Jira Data'!$A:$R, 9, FALSE)), "-")</f>
        <v>-</v>
      </c>
      <c r="AI20" s="415" t="str">
        <f t="shared" si="5"/>
        <v>-</v>
      </c>
      <c r="AJ20" s="16" t="str">
        <f t="shared" si="6"/>
        <v>-</v>
      </c>
      <c r="AK20" s="16" t="str">
        <f>IFERROR(VLOOKUP($J20, 'Jira Data'!$A:$R, 15, FALSE), "-")</f>
        <v>-</v>
      </c>
      <c r="AL20" s="16" t="str">
        <f>IFERROR(VLOOKUP($J20, 'Jira Data'!$A:$R, 16, FALSE), "-")</f>
        <v>-</v>
      </c>
      <c r="AM20" s="426" t="str">
        <f>IFERROR(VLOOKUP($J20, 'Jira Data'!$A:$R, 18, FALSE), "-")</f>
        <v>-</v>
      </c>
      <c r="AN20" s="425" t="str">
        <f>IFERROR(IF(VLOOKUP($J20, 'Jira Data'!$A:$R, 10, FALSE)="", "-", VLOOKUP($J20, 'Jira Data'!$A:$R, 10, FALSE)), "-")</f>
        <v>-</v>
      </c>
      <c r="AO20" s="16" t="str">
        <f>IFERROR(VLOOKUP($J20, 'Jira Data'!$A:$R, 13, FALSE), "-")</f>
        <v>-</v>
      </c>
      <c r="AP20" s="426" t="str">
        <f>IFERROR(VLOOKUP($J20, 'Jira Data'!$A:$R, 14, FALSE), "-")</f>
        <v>-</v>
      </c>
      <c r="AQ20" s="49">
        <f t="shared" si="9"/>
        <v>11</v>
      </c>
      <c r="AR20" s="90">
        <f t="shared" si="7"/>
        <v>54.611764705882365</v>
      </c>
      <c r="AS20" s="433">
        <f t="shared" si="8"/>
        <v>0</v>
      </c>
    </row>
    <row r="21" spans="2:45" x14ac:dyDescent="0.2">
      <c r="B21" s="693" t="s">
        <v>175</v>
      </c>
      <c r="C21" s="694"/>
      <c r="D21" s="157">
        <v>0.25</v>
      </c>
      <c r="E21" s="156"/>
      <c r="F21" s="29"/>
      <c r="G21" s="30"/>
      <c r="H21" s="102"/>
      <c r="I21" s="248" t="s">
        <v>62</v>
      </c>
      <c r="J21" s="11"/>
      <c r="K21" s="23"/>
      <c r="L21" s="24"/>
      <c r="M21" s="24"/>
      <c r="N21" s="24"/>
      <c r="O21" s="24"/>
      <c r="P21" s="24"/>
      <c r="Q21" s="24"/>
      <c r="R21" s="441" t="s">
        <v>26</v>
      </c>
      <c r="S21" s="57">
        <v>0</v>
      </c>
      <c r="T21" s="117">
        <f t="shared" si="0"/>
        <v>0</v>
      </c>
      <c r="U21" s="116"/>
      <c r="V21" s="413" t="str">
        <f>IFERROR(VLOOKUP($J21, 'Jira Data'!$A:$R, 6, FALSE), "-")</f>
        <v>-</v>
      </c>
      <c r="W21" s="563" t="str">
        <f>IFERROR(VLOOKUP($J21, 'Jira Data'!$A:$R, 7, FALSE), "-")</f>
        <v>-</v>
      </c>
      <c r="X21" s="567" cm="1">
        <f t="array" ref="X21">CountUniquePeopleByTask($I21,$K$43:$AS$49,$I$43:$J$49)</f>
        <v>3</v>
      </c>
      <c r="Y21" s="16">
        <f t="shared" si="1"/>
        <v>7</v>
      </c>
      <c r="Z21" s="439" t="str">
        <f t="shared" si="2"/>
        <v>-</v>
      </c>
      <c r="AA21" s="35">
        <f t="shared" si="3"/>
        <v>2.8571428571428571E-2</v>
      </c>
      <c r="AB21" s="422">
        <f t="shared" si="4"/>
        <v>34.752941176470593</v>
      </c>
      <c r="AC21" s="567" cm="1">
        <f t="array" ref="AC21">CountUniquePeopleByTask($I21,$K$31:$AS$37,$I$31:$J$37)</f>
        <v>3</v>
      </c>
      <c r="AD21" s="452" t="str">
        <f>IFERROR(VLOOKUP($J21, 'Jira Data'!$A:$R, 3, FALSE), "-")</f>
        <v>-</v>
      </c>
      <c r="AE21" s="425" t="str">
        <f>IFERROR(IF(VLOOKUP($J21, 'Jira Data'!$A:$R, 8, FALSE)="","-",VLOOKUP($J21, 'Jira Data'!$A:$R, 8, FALSE)),"-")</f>
        <v>-</v>
      </c>
      <c r="AF21" s="16" t="str">
        <f>IFERROR(VLOOKUP($J21, 'Jira Data'!$A:$R, 11, FALSE), "-")</f>
        <v>-</v>
      </c>
      <c r="AG21" s="426" t="str">
        <f>IFERROR(VLOOKUP($J21, 'Jira Data'!$A:$R, 12, FALSE), "-")</f>
        <v>-</v>
      </c>
      <c r="AH21" s="425" t="str">
        <f>IFERROR(IF(VLOOKUP($J21, 'Jira Data'!$A:$R, 9, FALSE)="","-",VLOOKUP($J21, 'Jira Data'!$A:$R, 9, FALSE)), "-")</f>
        <v>-</v>
      </c>
      <c r="AI21" s="415" t="str">
        <f t="shared" si="5"/>
        <v>-</v>
      </c>
      <c r="AJ21" s="16" t="str">
        <f t="shared" si="6"/>
        <v>-</v>
      </c>
      <c r="AK21" s="16" t="str">
        <f>IFERROR(VLOOKUP($J21, 'Jira Data'!$A:$R, 15, FALSE), "-")</f>
        <v>-</v>
      </c>
      <c r="AL21" s="16" t="str">
        <f>IFERROR(VLOOKUP($J21, 'Jira Data'!$A:$R, 16, FALSE), "-")</f>
        <v>-</v>
      </c>
      <c r="AM21" s="426" t="str">
        <f>IFERROR(VLOOKUP($J21, 'Jira Data'!$A:$R, 18, FALSE), "-")</f>
        <v>-</v>
      </c>
      <c r="AN21" s="425" t="str">
        <f>IFERROR(IF(VLOOKUP($J21, 'Jira Data'!$A:$R, 10, FALSE)="", "-", VLOOKUP($J21, 'Jira Data'!$A:$R, 10, FALSE)), "-")</f>
        <v>-</v>
      </c>
      <c r="AO21" s="16" t="str">
        <f>IFERROR(VLOOKUP($J21, 'Jira Data'!$A:$R, 13, FALSE), "-")</f>
        <v>-</v>
      </c>
      <c r="AP21" s="426" t="str">
        <f>IFERROR(VLOOKUP($J21, 'Jira Data'!$A:$R, 14, FALSE), "-")</f>
        <v>-</v>
      </c>
      <c r="AQ21" s="49">
        <f t="shared" si="9"/>
        <v>8</v>
      </c>
      <c r="AR21" s="90">
        <f t="shared" si="7"/>
        <v>39.717647058823538</v>
      </c>
      <c r="AS21" s="433">
        <f t="shared" si="8"/>
        <v>0.14285714285714285</v>
      </c>
    </row>
    <row r="22" spans="2:45" x14ac:dyDescent="0.2">
      <c r="B22" s="684" t="s">
        <v>24</v>
      </c>
      <c r="C22" s="685"/>
      <c r="D22" s="26">
        <v>0.125</v>
      </c>
      <c r="E22" s="156"/>
      <c r="F22" s="29"/>
      <c r="G22" s="30"/>
      <c r="H22" s="102"/>
      <c r="I22" s="159" t="s">
        <v>85</v>
      </c>
      <c r="J22" s="11"/>
      <c r="K22" s="408"/>
      <c r="L22" s="400"/>
      <c r="M22" s="400"/>
      <c r="N22" s="400"/>
      <c r="O22" s="400"/>
      <c r="P22" s="400"/>
      <c r="Q22" s="400"/>
      <c r="R22" s="441" t="s">
        <v>152</v>
      </c>
      <c r="S22" s="57">
        <v>0</v>
      </c>
      <c r="T22" s="117">
        <f t="shared" si="0"/>
        <v>0</v>
      </c>
      <c r="U22" s="116"/>
      <c r="V22" s="413" t="str">
        <f>IFERROR(VLOOKUP($J22, 'Jira Data'!$A:$R, 6, FALSE), "-")</f>
        <v>-</v>
      </c>
      <c r="W22" s="563" t="str">
        <f>IFERROR(VLOOKUP($J22, 'Jira Data'!$A:$R, 7, FALSE), "-")</f>
        <v>-</v>
      </c>
      <c r="X22" s="567" cm="1">
        <f t="array" ref="X22">CountUniquePeopleByTask($I22,$K$43:$AS$49,$I$43:$J$49)</f>
        <v>0</v>
      </c>
      <c r="Y22" s="16">
        <f t="shared" si="1"/>
        <v>0</v>
      </c>
      <c r="Z22" s="439" t="str">
        <f t="shared" si="2"/>
        <v>-</v>
      </c>
      <c r="AA22" s="35">
        <f t="shared" si="3"/>
        <v>0</v>
      </c>
      <c r="AB22" s="422">
        <f t="shared" si="4"/>
        <v>0</v>
      </c>
      <c r="AC22" s="567" cm="1">
        <f t="array" ref="AC22">CountUniquePeopleByTask($I22,$K$31:$AS$37,$I$31:$J$37)</f>
        <v>0</v>
      </c>
      <c r="AD22" s="452" t="str">
        <f>IFERROR(VLOOKUP($J22, 'Jira Data'!$A:$R, 3, FALSE), "-")</f>
        <v>-</v>
      </c>
      <c r="AE22" s="425" t="str">
        <f>IFERROR(IF(VLOOKUP($J22, 'Jira Data'!$A:$R, 8, FALSE)="","-",VLOOKUP($J22, 'Jira Data'!$A:$R, 8, FALSE)),"-")</f>
        <v>-</v>
      </c>
      <c r="AF22" s="16" t="str">
        <f>IFERROR(VLOOKUP($J22, 'Jira Data'!$A:$R, 11, FALSE), "-")</f>
        <v>-</v>
      </c>
      <c r="AG22" s="426" t="str">
        <f>IFERROR(VLOOKUP($J22, 'Jira Data'!$A:$R, 12, FALSE), "-")</f>
        <v>-</v>
      </c>
      <c r="AH22" s="425" t="str">
        <f>IFERROR(IF(VLOOKUP($J22, 'Jira Data'!$A:$R, 9, FALSE)="","-",VLOOKUP($J22, 'Jira Data'!$A:$R, 9, FALSE)), "-")</f>
        <v>-</v>
      </c>
      <c r="AI22" s="415" t="str">
        <f t="shared" si="5"/>
        <v>-</v>
      </c>
      <c r="AJ22" s="16" t="str">
        <f t="shared" si="6"/>
        <v>-</v>
      </c>
      <c r="AK22" s="16" t="str">
        <f>IFERROR(VLOOKUP($J22, 'Jira Data'!$A:$R, 15, FALSE), "-")</f>
        <v>-</v>
      </c>
      <c r="AL22" s="16" t="str">
        <f>IFERROR(VLOOKUP($J22, 'Jira Data'!$A:$R, 16, FALSE), "-")</f>
        <v>-</v>
      </c>
      <c r="AM22" s="426" t="str">
        <f>IFERROR(VLOOKUP($J22, 'Jira Data'!$A:$R, 18, FALSE), "-")</f>
        <v>-</v>
      </c>
      <c r="AN22" s="425" t="str">
        <f>IFERROR(IF(VLOOKUP($J22, 'Jira Data'!$A:$R, 10, FALSE)="", "-", VLOOKUP($J22, 'Jira Data'!$A:$R, 10, FALSE)), "-")</f>
        <v>-</v>
      </c>
      <c r="AO22" s="16" t="str">
        <f>IFERROR(VLOOKUP($J22, 'Jira Data'!$A:$R, 13, FALSE), "-")</f>
        <v>-</v>
      </c>
      <c r="AP22" s="426" t="str">
        <f>IFERROR(VLOOKUP($J22, 'Jira Data'!$A:$R, 14, FALSE), "-")</f>
        <v>-</v>
      </c>
      <c r="AQ22" s="49">
        <f t="shared" si="9"/>
        <v>0</v>
      </c>
      <c r="AR22" s="90">
        <f t="shared" si="7"/>
        <v>0</v>
      </c>
      <c r="AS22" s="433" t="str">
        <f t="shared" si="8"/>
        <v>-</v>
      </c>
    </row>
    <row r="23" spans="2:45" x14ac:dyDescent="0.2">
      <c r="B23" s="684" t="s">
        <v>28</v>
      </c>
      <c r="C23" s="685"/>
      <c r="D23" s="686"/>
      <c r="E23" s="93">
        <v>2</v>
      </c>
      <c r="F23" s="29"/>
      <c r="G23" s="30"/>
      <c r="H23" s="102"/>
      <c r="I23" s="54" t="s">
        <v>23</v>
      </c>
      <c r="J23" s="11"/>
      <c r="K23" s="408" t="s">
        <v>24</v>
      </c>
      <c r="L23" s="400"/>
      <c r="M23" s="400"/>
      <c r="N23" s="400"/>
      <c r="O23" s="400"/>
      <c r="P23" s="400"/>
      <c r="Q23" s="400"/>
      <c r="R23" s="441" t="s">
        <v>23</v>
      </c>
      <c r="S23" s="57">
        <v>0</v>
      </c>
      <c r="T23" s="117">
        <f>S23</f>
        <v>0</v>
      </c>
      <c r="U23" s="116"/>
      <c r="V23" s="413" t="str">
        <f>IFERROR(VLOOKUP($J23, 'Jira Data'!$A:$R, 6, FALSE), "-")</f>
        <v>-</v>
      </c>
      <c r="W23" s="563" t="str">
        <f>IFERROR(VLOOKUP($J23, 'Jira Data'!$A:$R, 7, FALSE), "-")</f>
        <v>-</v>
      </c>
      <c r="X23" s="567" cm="1">
        <f t="array" ref="X23">CountUniquePeopleByTask($I23,$K$43:$AS$49,$I$43:$J$49)</f>
        <v>7</v>
      </c>
      <c r="Y23" s="16">
        <f t="shared" si="1"/>
        <v>28</v>
      </c>
      <c r="Z23" s="439" t="str">
        <f t="shared" si="2"/>
        <v>-</v>
      </c>
      <c r="AA23" s="35">
        <f t="shared" si="3"/>
        <v>0.11428571428571428</v>
      </c>
      <c r="AB23" s="422">
        <f t="shared" si="4"/>
        <v>139.01176470588237</v>
      </c>
      <c r="AC23" s="567" cm="1">
        <f t="array" ref="AC23">CountUniquePeopleByTask($I23,$K$31:$AS$37,$I$31:$J$37)</f>
        <v>7</v>
      </c>
      <c r="AD23" s="452" t="str">
        <f>IFERROR(VLOOKUP($J23, 'Jira Data'!$A:$R, 3, FALSE), "-")</f>
        <v>-</v>
      </c>
      <c r="AE23" s="425" t="str">
        <f>IFERROR(IF(VLOOKUP($J23, 'Jira Data'!$A:$R, 8, FALSE)="","-",VLOOKUP($J23, 'Jira Data'!$A:$R, 8, FALSE)),"-")</f>
        <v>-</v>
      </c>
      <c r="AF23" s="16" t="str">
        <f>IFERROR(VLOOKUP($J23, 'Jira Data'!$A:$R, 11, FALSE), "-")</f>
        <v>-</v>
      </c>
      <c r="AG23" s="426" t="str">
        <f>IFERROR(VLOOKUP($J23, 'Jira Data'!$A:$R, 12, FALSE), "-")</f>
        <v>-</v>
      </c>
      <c r="AH23" s="425" t="str">
        <f>IFERROR(IF(VLOOKUP($J23, 'Jira Data'!$A:$R, 9, FALSE)="","-",VLOOKUP($J23, 'Jira Data'!$A:$R, 9, FALSE)), "-")</f>
        <v>-</v>
      </c>
      <c r="AI23" s="415" t="str">
        <f t="shared" si="5"/>
        <v>-</v>
      </c>
      <c r="AJ23" s="16" t="str">
        <f t="shared" si="6"/>
        <v>-</v>
      </c>
      <c r="AK23" s="16" t="str">
        <f>IFERROR(VLOOKUP($J23, 'Jira Data'!$A:$R, 15, FALSE), "-")</f>
        <v>-</v>
      </c>
      <c r="AL23" s="16" t="str">
        <f>IFERROR(VLOOKUP($J23, 'Jira Data'!$A:$R, 16, FALSE), "-")</f>
        <v>-</v>
      </c>
      <c r="AM23" s="426" t="str">
        <f>IFERROR(VLOOKUP($J23, 'Jira Data'!$A:$R, 18, FALSE), "-")</f>
        <v>-</v>
      </c>
      <c r="AN23" s="425" t="str">
        <f>IFERROR(IF(VLOOKUP($J23, 'Jira Data'!$A:$R, 10, FALSE)="", "-", VLOOKUP($J23, 'Jira Data'!$A:$R, 10, FALSE)), "-")</f>
        <v>-</v>
      </c>
      <c r="AO23" s="16" t="str">
        <f>IFERROR(VLOOKUP($J23, 'Jira Data'!$A:$R, 13, FALSE), "-")</f>
        <v>-</v>
      </c>
      <c r="AP23" s="426" t="str">
        <f>IFERROR(VLOOKUP($J23, 'Jira Data'!$A:$R, 14, FALSE), "-")</f>
        <v>-</v>
      </c>
      <c r="AQ23" s="49">
        <f t="shared" si="9"/>
        <v>27</v>
      </c>
      <c r="AR23" s="90">
        <f t="shared" si="7"/>
        <v>134.04705882352943</v>
      </c>
      <c r="AS23" s="433">
        <f t="shared" si="8"/>
        <v>-3.5714285714285712E-2</v>
      </c>
    </row>
    <row r="24" spans="2:45" ht="17" thickBot="1" x14ac:dyDescent="0.25">
      <c r="B24" s="687" t="s">
        <v>32</v>
      </c>
      <c r="C24" s="688"/>
      <c r="D24" s="689"/>
      <c r="E24" s="96">
        <v>2</v>
      </c>
      <c r="F24" s="29"/>
      <c r="G24" s="30"/>
      <c r="H24" s="102"/>
      <c r="I24" s="53" t="s">
        <v>126</v>
      </c>
      <c r="J24" s="11"/>
      <c r="K24" s="408" t="s">
        <v>27</v>
      </c>
      <c r="L24" s="400"/>
      <c r="M24" s="400"/>
      <c r="N24" s="400"/>
      <c r="O24" s="400"/>
      <c r="P24" s="400"/>
      <c r="Q24" s="400"/>
      <c r="R24" s="441" t="s">
        <v>26</v>
      </c>
      <c r="S24" s="57">
        <v>0</v>
      </c>
      <c r="T24" s="117">
        <f>S24</f>
        <v>0</v>
      </c>
      <c r="U24" s="116"/>
      <c r="V24" s="413" t="str">
        <f>IFERROR(VLOOKUP($J24, 'Jira Data'!$A:$R, 6, FALSE), "-")</f>
        <v>-</v>
      </c>
      <c r="W24" s="563" t="str">
        <f>IFERROR(VLOOKUP($J24, 'Jira Data'!$A:$R, 7, FALSE), "-")</f>
        <v>-</v>
      </c>
      <c r="X24" s="567" cm="1">
        <f t="array" ref="X24">CountUniquePeopleByTask($I24,$K$43:$AS$49,$I$43:$J$49)</f>
        <v>0</v>
      </c>
      <c r="Y24" s="16">
        <f t="shared" si="1"/>
        <v>0</v>
      </c>
      <c r="Z24" s="439" t="str">
        <f t="shared" si="2"/>
        <v>-</v>
      </c>
      <c r="AA24" s="35">
        <f t="shared" si="3"/>
        <v>0</v>
      </c>
      <c r="AB24" s="422">
        <f t="shared" si="4"/>
        <v>0</v>
      </c>
      <c r="AC24" s="567" cm="1">
        <f t="array" ref="AC24">CountUniquePeopleByTask($I24,$K$31:$AS$37,$I$31:$J$37)</f>
        <v>0</v>
      </c>
      <c r="AD24" s="452" t="str">
        <f>IFERROR(VLOOKUP($J24, 'Jira Data'!$A:$R, 3, FALSE), "-")</f>
        <v>-</v>
      </c>
      <c r="AE24" s="425" t="str">
        <f>IFERROR(IF(VLOOKUP($J24, 'Jira Data'!$A:$R, 8, FALSE)="","-",VLOOKUP($J24, 'Jira Data'!$A:$R, 8, FALSE)),"-")</f>
        <v>-</v>
      </c>
      <c r="AF24" s="16" t="str">
        <f>IFERROR(VLOOKUP($J24, 'Jira Data'!$A:$R, 11, FALSE), "-")</f>
        <v>-</v>
      </c>
      <c r="AG24" s="426" t="str">
        <f>IFERROR(VLOOKUP($J24, 'Jira Data'!$A:$R, 12, FALSE), "-")</f>
        <v>-</v>
      </c>
      <c r="AH24" s="425" t="str">
        <f>IFERROR(IF(VLOOKUP($J24, 'Jira Data'!$A:$R, 9, FALSE)="","-",VLOOKUP($J24, 'Jira Data'!$A:$R, 9, FALSE)), "-")</f>
        <v>-</v>
      </c>
      <c r="AI24" s="415" t="str">
        <f t="shared" si="5"/>
        <v>-</v>
      </c>
      <c r="AJ24" s="16" t="str">
        <f t="shared" si="6"/>
        <v>-</v>
      </c>
      <c r="AK24" s="16" t="str">
        <f>IFERROR(VLOOKUP($J24, 'Jira Data'!$A:$R, 15, FALSE), "-")</f>
        <v>-</v>
      </c>
      <c r="AL24" s="16" t="str">
        <f>IFERROR(VLOOKUP($J24, 'Jira Data'!$A:$R, 16, FALSE), "-")</f>
        <v>-</v>
      </c>
      <c r="AM24" s="426" t="str">
        <f>IFERROR(VLOOKUP($J24, 'Jira Data'!$A:$R, 18, FALSE), "-")</f>
        <v>-</v>
      </c>
      <c r="AN24" s="425" t="str">
        <f>IFERROR(IF(VLOOKUP($J24, 'Jira Data'!$A:$R, 10, FALSE)="", "-", VLOOKUP($J24, 'Jira Data'!$A:$R, 10, FALSE)), "-")</f>
        <v>-</v>
      </c>
      <c r="AO24" s="16" t="str">
        <f>IFERROR(VLOOKUP($J24, 'Jira Data'!$A:$R, 13, FALSE), "-")</f>
        <v>-</v>
      </c>
      <c r="AP24" s="426" t="str">
        <f>IFERROR(VLOOKUP($J24, 'Jira Data'!$A:$R, 14, FALSE), "-")</f>
        <v>-</v>
      </c>
      <c r="AQ24" s="49">
        <f t="shared" si="9"/>
        <v>0</v>
      </c>
      <c r="AR24" s="90">
        <f t="shared" si="7"/>
        <v>0</v>
      </c>
      <c r="AS24" s="433" t="str">
        <f t="shared" si="8"/>
        <v>-</v>
      </c>
    </row>
    <row r="25" spans="2:45" ht="17" thickBot="1" x14ac:dyDescent="0.25">
      <c r="B25" s="19"/>
      <c r="C25" s="19"/>
      <c r="D25" s="19"/>
      <c r="E25" s="19"/>
      <c r="F25" s="29"/>
      <c r="G25" s="30"/>
      <c r="H25" s="324"/>
      <c r="I25" s="443" t="s">
        <v>29</v>
      </c>
      <c r="J25" s="106"/>
      <c r="K25" s="409" t="s">
        <v>30</v>
      </c>
      <c r="L25" s="410"/>
      <c r="M25" s="410"/>
      <c r="N25" s="410"/>
      <c r="O25" s="410"/>
      <c r="P25" s="410"/>
      <c r="Q25" s="410"/>
      <c r="R25" s="442" t="s">
        <v>29</v>
      </c>
      <c r="S25" s="449">
        <v>0</v>
      </c>
      <c r="T25" s="118">
        <f>S25</f>
        <v>0</v>
      </c>
      <c r="U25" s="555"/>
      <c r="V25" s="414" t="str">
        <f>IFERROR(VLOOKUP($J25, 'Jira Data'!$A:$R, 6, FALSE), "-")</f>
        <v>-</v>
      </c>
      <c r="W25" s="565" t="str">
        <f>IFERROR(VLOOKUP($J25, 'Jira Data'!$A:$R, 7, FALSE), "-")</f>
        <v>-</v>
      </c>
      <c r="X25" s="568" cm="1">
        <f t="array" ref="X25">CountUniquePeopleByTask($I25,$K$43:$AS$49,$I$43:$J$49)</f>
        <v>7</v>
      </c>
      <c r="Y25" s="44">
        <f t="shared" si="1"/>
        <v>26</v>
      </c>
      <c r="Z25" s="440" t="str">
        <f t="shared" si="2"/>
        <v>-</v>
      </c>
      <c r="AA25" s="43">
        <f t="shared" si="3"/>
        <v>0.10612244897959183</v>
      </c>
      <c r="AB25" s="423">
        <f t="shared" si="4"/>
        <v>129.08235294117651</v>
      </c>
      <c r="AC25" s="568" cm="1">
        <f t="array" ref="AC25">CountUniquePeopleByTask($I25,$K$31:$AS$37,$I$31:$J$37)</f>
        <v>7</v>
      </c>
      <c r="AD25" s="453" t="str">
        <f>IFERROR(VLOOKUP($J25, 'Jira Data'!$A:$R, 3, FALSE), "-")</f>
        <v>-</v>
      </c>
      <c r="AE25" s="427" t="str">
        <f>IFERROR(IF(VLOOKUP($J25, 'Jira Data'!$A:$R, 8, FALSE)="","-",VLOOKUP($J25, 'Jira Data'!$A:$R, 8, FALSE)),"-")</f>
        <v>-</v>
      </c>
      <c r="AF25" s="41" t="str">
        <f>IFERROR(VLOOKUP($J25, 'Jira Data'!$A:$R, 11, FALSE), "-")</f>
        <v>-</v>
      </c>
      <c r="AG25" s="428" t="str">
        <f>IFERROR(VLOOKUP($J25, 'Jira Data'!$A:$R, 12, FALSE), "-")</f>
        <v>-</v>
      </c>
      <c r="AH25" s="427" t="str">
        <f>IFERROR(IF(VLOOKUP($J25, 'Jira Data'!$A:$R, 9, FALSE)="","-",VLOOKUP($J25, 'Jira Data'!$A:$R, 9, FALSE)), "-")</f>
        <v>-</v>
      </c>
      <c r="AI25" s="430" t="str">
        <f t="shared" si="5"/>
        <v>-</v>
      </c>
      <c r="AJ25" s="41" t="str">
        <f t="shared" si="6"/>
        <v>-</v>
      </c>
      <c r="AK25" s="41" t="str">
        <f>IFERROR(VLOOKUP($J25, 'Jira Data'!$A:$R, 15, FALSE), "-")</f>
        <v>-</v>
      </c>
      <c r="AL25" s="41" t="str">
        <f>IFERROR(VLOOKUP($J25, 'Jira Data'!$A:$R, 16, FALSE), "-")</f>
        <v>-</v>
      </c>
      <c r="AM25" s="428" t="str">
        <f>IFERROR(VLOOKUP($J25, 'Jira Data'!$A:$R, 18, FALSE), "-")</f>
        <v>-</v>
      </c>
      <c r="AN25" s="427" t="str">
        <f>IFERROR(IF(VLOOKUP($J25, 'Jira Data'!$A:$R, 10, FALSE)="", "-", VLOOKUP($J25, 'Jira Data'!$A:$R, 10, FALSE)), "-")</f>
        <v>-</v>
      </c>
      <c r="AO25" s="41" t="str">
        <f>IFERROR(VLOOKUP($J25, 'Jira Data'!$A:$R, 13, FALSE), "-")</f>
        <v>-</v>
      </c>
      <c r="AP25" s="428" t="str">
        <f>IFERROR(VLOOKUP($J25, 'Jira Data'!$A:$R, 14, FALSE), "-")</f>
        <v>-</v>
      </c>
      <c r="AQ25" s="86">
        <f t="shared" si="9"/>
        <v>27</v>
      </c>
      <c r="AR25" s="434">
        <f t="shared" si="7"/>
        <v>134.04705882352943</v>
      </c>
      <c r="AS25" s="435">
        <f t="shared" si="8"/>
        <v>3.8461538461538464E-2</v>
      </c>
    </row>
    <row r="26" spans="2:45" ht="17" thickBot="1" x14ac:dyDescent="0.25">
      <c r="B26" s="677" t="s">
        <v>54</v>
      </c>
      <c r="C26" s="678"/>
      <c r="D26" s="678"/>
      <c r="E26" s="679"/>
      <c r="F26" s="29"/>
      <c r="G26" s="30"/>
      <c r="I26" s="12"/>
      <c r="J26" s="12"/>
      <c r="K26" s="13"/>
      <c r="L26" s="13"/>
      <c r="M26" s="13"/>
      <c r="N26" s="13"/>
      <c r="O26" s="13"/>
      <c r="P26" s="13"/>
      <c r="Q26" s="13"/>
      <c r="R26" s="13"/>
      <c r="S26" s="14"/>
      <c r="T26" s="51"/>
      <c r="U26" s="51"/>
      <c r="V26" s="51"/>
      <c r="W26" s="51"/>
      <c r="X26" s="561"/>
      <c r="Y26" s="436">
        <f>SUM(Y6:Y25)</f>
        <v>245</v>
      </c>
      <c r="Z26" s="51"/>
      <c r="AA26" s="51"/>
      <c r="AB26" s="436">
        <f>SUM(AB6:AB24)</f>
        <v>1087.2705882352943</v>
      </c>
      <c r="AC26" s="450"/>
      <c r="AD26" s="450"/>
      <c r="AE26" s="51"/>
      <c r="AF26" s="51"/>
      <c r="AG26" s="51"/>
      <c r="AH26" s="1"/>
      <c r="AI26" s="1"/>
      <c r="AJ26" s="1"/>
      <c r="AK26" s="1"/>
      <c r="AN26" s="1"/>
      <c r="AO26" s="1"/>
      <c r="AP26" s="1"/>
      <c r="AQ26" s="436">
        <f>SUM(AQ6:AQ25)</f>
        <v>245</v>
      </c>
      <c r="AR26" s="436">
        <f>SUM(AR6:AR25)</f>
        <v>1216.3529411764707</v>
      </c>
    </row>
    <row r="27" spans="2:45" x14ac:dyDescent="0.2">
      <c r="B27" s="97"/>
      <c r="C27" s="92" t="s">
        <v>37</v>
      </c>
      <c r="D27" s="75" t="s">
        <v>38</v>
      </c>
      <c r="E27" s="98" t="s">
        <v>39</v>
      </c>
      <c r="F27" s="29"/>
      <c r="G27" s="30"/>
    </row>
    <row r="28" spans="2:45" x14ac:dyDescent="0.2">
      <c r="B28" s="97" t="s">
        <v>177</v>
      </c>
      <c r="C28" s="16">
        <f>COUNTIF($B$4:$B$11,"=D")</f>
        <v>7</v>
      </c>
      <c r="D28" s="36">
        <f>COUNTIF($B$4:$B$11,"=I")</f>
        <v>0</v>
      </c>
      <c r="E28" s="99">
        <f>C28+D28</f>
        <v>7</v>
      </c>
      <c r="F28" s="29"/>
      <c r="G28" s="30"/>
      <c r="K28" s="719" t="s">
        <v>41</v>
      </c>
      <c r="L28" s="720"/>
      <c r="M28" s="720"/>
      <c r="N28" s="720"/>
      <c r="O28" s="720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5"/>
      <c r="AN28" s="675"/>
      <c r="AO28" s="675"/>
      <c r="AP28" s="675"/>
      <c r="AQ28" s="675"/>
      <c r="AR28" s="675"/>
      <c r="AS28" s="676"/>
    </row>
    <row r="29" spans="2:45" x14ac:dyDescent="0.2">
      <c r="B29" s="100" t="s">
        <v>42</v>
      </c>
      <c r="C29" s="16">
        <f>($E$14*5*$C$28)-($C$28*$E$16)</f>
        <v>238</v>
      </c>
      <c r="D29" s="36">
        <f>($E$14*5*$D$28)-($D$28*$E$16)</f>
        <v>0</v>
      </c>
      <c r="E29" s="99">
        <f t="shared" ref="E29:E36" si="10">C29+D29</f>
        <v>238</v>
      </c>
      <c r="F29" s="29"/>
      <c r="G29" s="30"/>
      <c r="I29"/>
      <c r="J29" s="7"/>
      <c r="K29" s="600" t="s">
        <v>43</v>
      </c>
      <c r="L29" s="601"/>
      <c r="M29" s="601"/>
      <c r="N29" s="601"/>
      <c r="O29" s="699"/>
      <c r="P29" s="601" t="s">
        <v>44</v>
      </c>
      <c r="Q29" s="601"/>
      <c r="R29" s="601"/>
      <c r="S29" s="601"/>
      <c r="T29" s="699"/>
      <c r="U29" s="601" t="s">
        <v>45</v>
      </c>
      <c r="V29" s="601"/>
      <c r="W29" s="601"/>
      <c r="X29" s="601"/>
      <c r="Y29" s="699"/>
      <c r="Z29" s="601" t="s">
        <v>46</v>
      </c>
      <c r="AA29" s="601"/>
      <c r="AB29" s="601"/>
      <c r="AC29" s="601"/>
      <c r="AD29" s="699"/>
      <c r="AE29" s="601" t="s">
        <v>47</v>
      </c>
      <c r="AF29" s="601"/>
      <c r="AG29" s="601"/>
      <c r="AH29" s="601"/>
      <c r="AI29" s="699"/>
      <c r="AJ29" s="601" t="s">
        <v>83</v>
      </c>
      <c r="AK29" s="601"/>
      <c r="AL29" s="601"/>
      <c r="AM29" s="601"/>
      <c r="AN29" s="699"/>
      <c r="AO29" s="601" t="s">
        <v>210</v>
      </c>
      <c r="AP29" s="601"/>
      <c r="AQ29" s="601"/>
      <c r="AR29" s="601"/>
      <c r="AS29" s="602"/>
    </row>
    <row r="30" spans="2:45" x14ac:dyDescent="0.2">
      <c r="B30" s="97" t="s">
        <v>48</v>
      </c>
      <c r="C30" s="16">
        <f>8*$E$15</f>
        <v>7.2</v>
      </c>
      <c r="D30" s="36">
        <f>6*$E$15</f>
        <v>5.4</v>
      </c>
      <c r="E30" s="99">
        <f>C28*C30+D28*D30</f>
        <v>50.4</v>
      </c>
      <c r="F30" s="29"/>
      <c r="G30" s="30"/>
      <c r="I30" s="600" t="s">
        <v>49</v>
      </c>
      <c r="J30" s="601"/>
      <c r="K30" s="15">
        <f>$E$17+(7*ROUNDDOWN((COLUMN(K$30)-COLUMN($K$30))/5,0))+MOD(COLUMN(K$30)-COLUMN($K$30),5)</f>
        <v>45516</v>
      </c>
      <c r="L30" s="15">
        <f t="shared" ref="L30:AS30" si="11">$E$17+(7*ROUNDDOWN((COLUMN(L$30)-COLUMN($K$30))/5,0))+MOD(COLUMN(L$30)-COLUMN($K$30),5)</f>
        <v>45517</v>
      </c>
      <c r="M30" s="15">
        <f t="shared" si="11"/>
        <v>45518</v>
      </c>
      <c r="N30" s="15">
        <f t="shared" si="11"/>
        <v>45519</v>
      </c>
      <c r="O30" s="284">
        <f t="shared" si="11"/>
        <v>45520</v>
      </c>
      <c r="P30" s="291">
        <f t="shared" si="11"/>
        <v>45523</v>
      </c>
      <c r="Q30" s="15">
        <f t="shared" si="11"/>
        <v>45524</v>
      </c>
      <c r="R30" s="15">
        <f t="shared" si="11"/>
        <v>45525</v>
      </c>
      <c r="S30" s="15">
        <f t="shared" si="11"/>
        <v>45526</v>
      </c>
      <c r="T30" s="284">
        <f t="shared" si="11"/>
        <v>45527</v>
      </c>
      <c r="U30" s="291">
        <f t="shared" si="11"/>
        <v>45530</v>
      </c>
      <c r="V30" s="15">
        <f t="shared" si="11"/>
        <v>45531</v>
      </c>
      <c r="W30" s="15">
        <f t="shared" si="11"/>
        <v>45532</v>
      </c>
      <c r="X30" s="15">
        <f t="shared" si="11"/>
        <v>45533</v>
      </c>
      <c r="Y30" s="284">
        <f t="shared" si="11"/>
        <v>45534</v>
      </c>
      <c r="Z30" s="291">
        <f t="shared" si="11"/>
        <v>45537</v>
      </c>
      <c r="AA30" s="15">
        <f t="shared" si="11"/>
        <v>45538</v>
      </c>
      <c r="AB30" s="15">
        <f t="shared" si="11"/>
        <v>45539</v>
      </c>
      <c r="AC30" s="15">
        <f t="shared" si="11"/>
        <v>45540</v>
      </c>
      <c r="AD30" s="284">
        <f t="shared" si="11"/>
        <v>45541</v>
      </c>
      <c r="AE30" s="291">
        <f t="shared" si="11"/>
        <v>45544</v>
      </c>
      <c r="AF30" s="15">
        <f t="shared" si="11"/>
        <v>45545</v>
      </c>
      <c r="AG30" s="15">
        <f t="shared" si="11"/>
        <v>45546</v>
      </c>
      <c r="AH30" s="15">
        <f t="shared" si="11"/>
        <v>45547</v>
      </c>
      <c r="AI30" s="284">
        <f t="shared" si="11"/>
        <v>45548</v>
      </c>
      <c r="AJ30" s="291">
        <f t="shared" si="11"/>
        <v>45551</v>
      </c>
      <c r="AK30" s="15">
        <f t="shared" si="11"/>
        <v>45552</v>
      </c>
      <c r="AL30" s="15">
        <f t="shared" si="11"/>
        <v>45553</v>
      </c>
      <c r="AM30" s="15">
        <f t="shared" si="11"/>
        <v>45554</v>
      </c>
      <c r="AN30" s="284">
        <f t="shared" si="11"/>
        <v>45555</v>
      </c>
      <c r="AO30" s="291">
        <f t="shared" si="11"/>
        <v>45558</v>
      </c>
      <c r="AP30" s="15">
        <f t="shared" si="11"/>
        <v>45559</v>
      </c>
      <c r="AQ30" s="15">
        <f t="shared" si="11"/>
        <v>45560</v>
      </c>
      <c r="AR30" s="15">
        <f t="shared" si="11"/>
        <v>45561</v>
      </c>
      <c r="AS30" s="15">
        <f t="shared" si="11"/>
        <v>45562</v>
      </c>
    </row>
    <row r="31" spans="2:45" x14ac:dyDescent="0.2">
      <c r="B31" s="97" t="s">
        <v>50</v>
      </c>
      <c r="C31" s="16">
        <f>C29*C30</f>
        <v>1713.6000000000001</v>
      </c>
      <c r="D31" s="36">
        <f>D29*D30</f>
        <v>0</v>
      </c>
      <c r="E31" s="99">
        <f>C31+D31</f>
        <v>1713.6000000000001</v>
      </c>
      <c r="F31" s="29"/>
      <c r="G31" s="30"/>
      <c r="I31" s="593" t="str">
        <f t="shared" ref="I31:I37" si="12">$D4</f>
        <v>Andréa</v>
      </c>
      <c r="J31" s="683"/>
      <c r="K31" s="200" t="s">
        <v>23</v>
      </c>
      <c r="L31" s="332" t="s">
        <v>267</v>
      </c>
      <c r="M31" s="332" t="s">
        <v>267</v>
      </c>
      <c r="N31" s="328" t="s">
        <v>29</v>
      </c>
      <c r="O31" s="332" t="s">
        <v>267</v>
      </c>
      <c r="P31" s="367" t="s">
        <v>267</v>
      </c>
      <c r="Q31" s="332" t="s">
        <v>267</v>
      </c>
      <c r="R31" s="332" t="s">
        <v>267</v>
      </c>
      <c r="S31" s="332" t="s">
        <v>267</v>
      </c>
      <c r="T31" s="377" t="s">
        <v>267</v>
      </c>
      <c r="U31" s="372" t="s">
        <v>267</v>
      </c>
      <c r="V31" s="332" t="s">
        <v>267</v>
      </c>
      <c r="W31" s="332" t="s">
        <v>267</v>
      </c>
      <c r="X31" s="332" t="s">
        <v>267</v>
      </c>
      <c r="Y31" s="363" t="s">
        <v>267</v>
      </c>
      <c r="Z31" s="367" t="s">
        <v>267</v>
      </c>
      <c r="AA31" s="54" t="s">
        <v>23</v>
      </c>
      <c r="AB31" s="391" t="s">
        <v>267</v>
      </c>
      <c r="AC31" s="54" t="s">
        <v>23</v>
      </c>
      <c r="AD31" s="391" t="s">
        <v>267</v>
      </c>
      <c r="AE31" s="328" t="s">
        <v>29</v>
      </c>
      <c r="AF31" s="328" t="s">
        <v>29</v>
      </c>
      <c r="AG31" s="328" t="s">
        <v>29</v>
      </c>
      <c r="AH31" s="328" t="s">
        <v>29</v>
      </c>
      <c r="AI31" s="328" t="s">
        <v>29</v>
      </c>
      <c r="AJ31" s="456" t="s">
        <v>267</v>
      </c>
      <c r="AK31" s="54" t="s">
        <v>23</v>
      </c>
      <c r="AL31" s="391" t="s">
        <v>267</v>
      </c>
      <c r="AM31" s="54" t="s">
        <v>23</v>
      </c>
      <c r="AN31" s="391" t="s">
        <v>267</v>
      </c>
      <c r="AO31" s="456" t="s">
        <v>267</v>
      </c>
      <c r="AP31" s="391" t="s">
        <v>267</v>
      </c>
      <c r="AQ31" s="401" t="s">
        <v>293</v>
      </c>
      <c r="AR31" s="401" t="s">
        <v>293</v>
      </c>
      <c r="AS31" s="401" t="s">
        <v>293</v>
      </c>
    </row>
    <row r="32" spans="2:45" x14ac:dyDescent="0.2">
      <c r="B32" s="97" t="s">
        <v>51</v>
      </c>
      <c r="C32" s="16">
        <f>$E$14*$E$23*C28</f>
        <v>98</v>
      </c>
      <c r="D32" s="36">
        <f>$E$14*$E$23*D28</f>
        <v>0</v>
      </c>
      <c r="E32" s="99">
        <f t="shared" si="10"/>
        <v>98</v>
      </c>
      <c r="F32" s="29"/>
      <c r="G32" s="30"/>
      <c r="I32" s="593" t="str">
        <f t="shared" si="12"/>
        <v>André</v>
      </c>
      <c r="J32" s="683"/>
      <c r="K32" s="248" t="s">
        <v>62</v>
      </c>
      <c r="L32" s="54" t="s">
        <v>23</v>
      </c>
      <c r="M32" s="248" t="s">
        <v>62</v>
      </c>
      <c r="N32" s="328" t="s">
        <v>29</v>
      </c>
      <c r="O32" s="54" t="s">
        <v>23</v>
      </c>
      <c r="P32" s="382" t="s">
        <v>160</v>
      </c>
      <c r="Q32" s="330" t="s">
        <v>160</v>
      </c>
      <c r="R32" s="330" t="s">
        <v>160</v>
      </c>
      <c r="S32" s="330" t="s">
        <v>160</v>
      </c>
      <c r="T32" s="378" t="s">
        <v>160</v>
      </c>
      <c r="U32" s="373" t="s">
        <v>160</v>
      </c>
      <c r="V32" s="330" t="s">
        <v>160</v>
      </c>
      <c r="W32" s="330" t="s">
        <v>160</v>
      </c>
      <c r="X32" s="131" t="s">
        <v>273</v>
      </c>
      <c r="Y32" s="364" t="s">
        <v>273</v>
      </c>
      <c r="Z32" s="356" t="s">
        <v>273</v>
      </c>
      <c r="AA32" s="131" t="s">
        <v>273</v>
      </c>
      <c r="AB32" s="131" t="s">
        <v>273</v>
      </c>
      <c r="AC32" s="131" t="s">
        <v>273</v>
      </c>
      <c r="AD32" s="348" t="s">
        <v>273</v>
      </c>
      <c r="AE32" s="454" t="s">
        <v>270</v>
      </c>
      <c r="AF32" s="54" t="s">
        <v>23</v>
      </c>
      <c r="AG32" s="197" t="s">
        <v>270</v>
      </c>
      <c r="AH32" s="54" t="s">
        <v>23</v>
      </c>
      <c r="AI32" s="455" t="s">
        <v>270</v>
      </c>
      <c r="AJ32" s="454" t="s">
        <v>270</v>
      </c>
      <c r="AK32" s="457" t="s">
        <v>262</v>
      </c>
      <c r="AL32" s="457" t="s">
        <v>262</v>
      </c>
      <c r="AM32" s="457" t="s">
        <v>262</v>
      </c>
      <c r="AN32" s="458" t="s">
        <v>262</v>
      </c>
      <c r="AO32" s="459" t="s">
        <v>262</v>
      </c>
      <c r="AP32" s="457" t="s">
        <v>262</v>
      </c>
      <c r="AQ32" s="401" t="s">
        <v>293</v>
      </c>
      <c r="AR32" s="401" t="s">
        <v>293</v>
      </c>
      <c r="AS32" s="401" t="s">
        <v>293</v>
      </c>
    </row>
    <row r="33" spans="1:45" x14ac:dyDescent="0.2">
      <c r="B33" s="97" t="s">
        <v>1</v>
      </c>
      <c r="C33" s="16">
        <f>$E$14*$E$24*COUNTIF($C$4:$C$11,"=Y")</f>
        <v>98</v>
      </c>
      <c r="D33" s="36">
        <v>0</v>
      </c>
      <c r="E33" s="99">
        <f t="shared" si="10"/>
        <v>98</v>
      </c>
      <c r="F33" s="29"/>
      <c r="G33" s="30"/>
      <c r="I33" s="593" t="str">
        <f t="shared" si="12"/>
        <v>Marcela</v>
      </c>
      <c r="J33" s="683"/>
      <c r="K33" s="248" t="s">
        <v>62</v>
      </c>
      <c r="L33" s="248" t="s">
        <v>62</v>
      </c>
      <c r="M33" s="385" t="s">
        <v>62</v>
      </c>
      <c r="N33" s="328" t="s">
        <v>29</v>
      </c>
      <c r="O33" s="329" t="s">
        <v>262</v>
      </c>
      <c r="P33" s="357" t="s">
        <v>262</v>
      </c>
      <c r="Q33" s="54" t="s">
        <v>23</v>
      </c>
      <c r="R33" s="329" t="s">
        <v>262</v>
      </c>
      <c r="S33" s="54" t="s">
        <v>23</v>
      </c>
      <c r="T33" s="349" t="s">
        <v>262</v>
      </c>
      <c r="U33" s="343" t="s">
        <v>262</v>
      </c>
      <c r="V33" s="54" t="s">
        <v>23</v>
      </c>
      <c r="W33" s="329" t="s">
        <v>262</v>
      </c>
      <c r="X33" s="54" t="s">
        <v>23</v>
      </c>
      <c r="Y33" s="365" t="s">
        <v>262</v>
      </c>
      <c r="Z33" s="357" t="s">
        <v>262</v>
      </c>
      <c r="AA33" s="329" t="s">
        <v>262</v>
      </c>
      <c r="AB33" s="329" t="s">
        <v>262</v>
      </c>
      <c r="AC33" s="329" t="s">
        <v>262</v>
      </c>
      <c r="AD33" s="349" t="s">
        <v>262</v>
      </c>
      <c r="AE33" s="329" t="s">
        <v>262</v>
      </c>
      <c r="AF33" s="329" t="s">
        <v>262</v>
      </c>
      <c r="AG33" s="329" t="s">
        <v>262</v>
      </c>
      <c r="AH33" s="329" t="s">
        <v>262</v>
      </c>
      <c r="AI33" s="329" t="s">
        <v>262</v>
      </c>
      <c r="AJ33" s="357" t="s">
        <v>262</v>
      </c>
      <c r="AK33" s="329" t="s">
        <v>262</v>
      </c>
      <c r="AL33" s="329" t="s">
        <v>262</v>
      </c>
      <c r="AM33" s="329" t="s">
        <v>262</v>
      </c>
      <c r="AN33" s="349" t="s">
        <v>262</v>
      </c>
      <c r="AO33" s="343" t="s">
        <v>262</v>
      </c>
      <c r="AP33" s="457" t="s">
        <v>262</v>
      </c>
      <c r="AQ33" s="401" t="s">
        <v>293</v>
      </c>
      <c r="AR33" s="401" t="s">
        <v>293</v>
      </c>
      <c r="AS33" s="401" t="s">
        <v>293</v>
      </c>
    </row>
    <row r="34" spans="1:45" x14ac:dyDescent="0.2">
      <c r="B34" s="97" t="s">
        <v>52</v>
      </c>
      <c r="C34" s="16">
        <f>(0.25*$C$29)+($C$28*$E$14)+$C$28</f>
        <v>115.5</v>
      </c>
      <c r="D34" s="16">
        <f>(0.25*$D$29)+($D$28*$E$14)+$D$28</f>
        <v>0</v>
      </c>
      <c r="E34" s="99">
        <f t="shared" si="10"/>
        <v>115.5</v>
      </c>
      <c r="F34" s="29"/>
      <c r="G34" s="30"/>
      <c r="I34" s="593" t="str">
        <f t="shared" si="12"/>
        <v>Josiel</v>
      </c>
      <c r="J34" s="683"/>
      <c r="K34" s="328" t="s">
        <v>29</v>
      </c>
      <c r="L34" s="328" t="s">
        <v>29</v>
      </c>
      <c r="M34" s="328" t="s">
        <v>29</v>
      </c>
      <c r="N34" s="328" t="s">
        <v>29</v>
      </c>
      <c r="O34" s="328" t="s">
        <v>29</v>
      </c>
      <c r="P34" s="383" t="s">
        <v>29</v>
      </c>
      <c r="Q34" s="328" t="s">
        <v>29</v>
      </c>
      <c r="R34" s="328" t="s">
        <v>29</v>
      </c>
      <c r="S34" s="328" t="s">
        <v>29</v>
      </c>
      <c r="T34" s="379" t="s">
        <v>29</v>
      </c>
      <c r="U34" s="374" t="s">
        <v>29</v>
      </c>
      <c r="V34" s="328" t="s">
        <v>29</v>
      </c>
      <c r="W34" s="328" t="s">
        <v>29</v>
      </c>
      <c r="X34" s="328" t="s">
        <v>29</v>
      </c>
      <c r="Y34" s="333" t="s">
        <v>29</v>
      </c>
      <c r="Z34" s="200" t="s">
        <v>23</v>
      </c>
      <c r="AA34" s="401" t="s">
        <v>29</v>
      </c>
      <c r="AB34" s="395" t="s">
        <v>195</v>
      </c>
      <c r="AC34" s="54" t="s">
        <v>23</v>
      </c>
      <c r="AD34" s="394" t="s">
        <v>195</v>
      </c>
      <c r="AE34" s="461" t="s">
        <v>195</v>
      </c>
      <c r="AF34" s="395" t="s">
        <v>195</v>
      </c>
      <c r="AG34" s="395" t="s">
        <v>195</v>
      </c>
      <c r="AH34" s="395" t="s">
        <v>195</v>
      </c>
      <c r="AI34" s="393" t="s">
        <v>167</v>
      </c>
      <c r="AJ34" s="462" t="s">
        <v>167</v>
      </c>
      <c r="AK34" s="392" t="s">
        <v>167</v>
      </c>
      <c r="AL34" s="336" t="s">
        <v>195</v>
      </c>
      <c r="AM34" s="336" t="s">
        <v>195</v>
      </c>
      <c r="AN34" s="350" t="s">
        <v>195</v>
      </c>
      <c r="AO34" s="344" t="s">
        <v>195</v>
      </c>
      <c r="AP34" s="395" t="s">
        <v>195</v>
      </c>
      <c r="AQ34" s="401" t="s">
        <v>293</v>
      </c>
      <c r="AR34" s="401" t="s">
        <v>293</v>
      </c>
      <c r="AS34" s="401" t="s">
        <v>293</v>
      </c>
    </row>
    <row r="35" spans="1:45" x14ac:dyDescent="0.2">
      <c r="B35" s="97" t="s">
        <v>129</v>
      </c>
      <c r="C35" s="16">
        <f>(4*$E$14*$C$28)+($C$28*($E$14/2))</f>
        <v>220.5</v>
      </c>
      <c r="D35" s="16">
        <f>(4*$E$14*$D$28)+($D$28*($E$14/2))</f>
        <v>0</v>
      </c>
      <c r="E35" s="99">
        <f>C35+D35</f>
        <v>220.5</v>
      </c>
      <c r="F35" s="29"/>
      <c r="G35" s="30"/>
      <c r="I35" s="593" t="str">
        <f t="shared" si="12"/>
        <v>Fernando</v>
      </c>
      <c r="J35" s="683"/>
      <c r="K35" s="338" t="s">
        <v>248</v>
      </c>
      <c r="L35" s="54" t="s">
        <v>23</v>
      </c>
      <c r="M35" s="338" t="s">
        <v>248</v>
      </c>
      <c r="N35" s="328" t="s">
        <v>29</v>
      </c>
      <c r="O35" s="54" t="s">
        <v>23</v>
      </c>
      <c r="P35" s="384" t="s">
        <v>248</v>
      </c>
      <c r="Q35" s="338" t="s">
        <v>248</v>
      </c>
      <c r="R35" s="338" t="s">
        <v>248</v>
      </c>
      <c r="S35" s="338" t="s">
        <v>248</v>
      </c>
      <c r="T35" s="380" t="s">
        <v>248</v>
      </c>
      <c r="U35" s="396" t="s">
        <v>248</v>
      </c>
      <c r="V35" s="341" t="s">
        <v>290</v>
      </c>
      <c r="W35" s="341" t="s">
        <v>290</v>
      </c>
      <c r="X35" s="341" t="s">
        <v>290</v>
      </c>
      <c r="Y35" s="366" t="s">
        <v>290</v>
      </c>
      <c r="Z35" s="359" t="s">
        <v>290</v>
      </c>
      <c r="AA35" s="341" t="s">
        <v>290</v>
      </c>
      <c r="AB35" s="341" t="s">
        <v>290</v>
      </c>
      <c r="AC35" s="341" t="s">
        <v>290</v>
      </c>
      <c r="AD35" s="351" t="s">
        <v>290</v>
      </c>
      <c r="AE35" s="341" t="s">
        <v>290</v>
      </c>
      <c r="AF35" s="54" t="s">
        <v>23</v>
      </c>
      <c r="AG35" s="341" t="s">
        <v>290</v>
      </c>
      <c r="AH35" s="54" t="s">
        <v>23</v>
      </c>
      <c r="AI35" s="341" t="s">
        <v>290</v>
      </c>
      <c r="AJ35" s="359" t="s">
        <v>290</v>
      </c>
      <c r="AK35" s="200" t="s">
        <v>23</v>
      </c>
      <c r="AL35" s="341" t="s">
        <v>290</v>
      </c>
      <c r="AM35" s="200" t="s">
        <v>23</v>
      </c>
      <c r="AN35" s="351" t="s">
        <v>290</v>
      </c>
      <c r="AO35" s="216" t="s">
        <v>23</v>
      </c>
      <c r="AP35" s="200" t="s">
        <v>23</v>
      </c>
      <c r="AQ35" s="401" t="s">
        <v>293</v>
      </c>
      <c r="AR35" s="401" t="s">
        <v>293</v>
      </c>
      <c r="AS35" s="401" t="s">
        <v>293</v>
      </c>
    </row>
    <row r="36" spans="1:45" x14ac:dyDescent="0.2">
      <c r="B36" s="97" t="s">
        <v>53</v>
      </c>
      <c r="C36" s="16">
        <f>C31-C32-C33-C34-C35</f>
        <v>1181.6000000000001</v>
      </c>
      <c r="D36" s="36">
        <f>D31-D32-D33-D34-D35</f>
        <v>0</v>
      </c>
      <c r="E36" s="99">
        <f t="shared" si="10"/>
        <v>1181.6000000000001</v>
      </c>
      <c r="F36" s="29"/>
      <c r="G36" s="30"/>
      <c r="I36" s="593" t="str">
        <f t="shared" si="12"/>
        <v>Elias</v>
      </c>
      <c r="J36" s="683"/>
      <c r="K36" s="260" t="s">
        <v>276</v>
      </c>
      <c r="L36" s="260" t="s">
        <v>276</v>
      </c>
      <c r="M36" s="260" t="s">
        <v>276</v>
      </c>
      <c r="N36" s="333" t="s">
        <v>29</v>
      </c>
      <c r="O36" s="260" t="s">
        <v>276</v>
      </c>
      <c r="P36" s="369" t="s">
        <v>276</v>
      </c>
      <c r="Q36" s="54" t="s">
        <v>23</v>
      </c>
      <c r="R36" s="260" t="s">
        <v>276</v>
      </c>
      <c r="S36" s="54" t="s">
        <v>23</v>
      </c>
      <c r="T36" s="309" t="s">
        <v>276</v>
      </c>
      <c r="U36" s="386" t="s">
        <v>283</v>
      </c>
      <c r="V36" s="386" t="s">
        <v>283</v>
      </c>
      <c r="W36" s="386" t="s">
        <v>283</v>
      </c>
      <c r="X36" s="386" t="s">
        <v>283</v>
      </c>
      <c r="Y36" s="388" t="s">
        <v>283</v>
      </c>
      <c r="Z36" s="389" t="s">
        <v>283</v>
      </c>
      <c r="AA36" s="386" t="s">
        <v>283</v>
      </c>
      <c r="AB36" s="386" t="s">
        <v>283</v>
      </c>
      <c r="AC36" s="386" t="s">
        <v>283</v>
      </c>
      <c r="AD36" s="388" t="s">
        <v>283</v>
      </c>
      <c r="AE36" s="389" t="s">
        <v>283</v>
      </c>
      <c r="AF36" s="386" t="s">
        <v>283</v>
      </c>
      <c r="AG36" s="386" t="s">
        <v>283</v>
      </c>
      <c r="AH36" s="386" t="s">
        <v>283</v>
      </c>
      <c r="AI36" s="387" t="s">
        <v>276</v>
      </c>
      <c r="AJ36" s="390" t="s">
        <v>276</v>
      </c>
      <c r="AK36" s="283" t="s">
        <v>276</v>
      </c>
      <c r="AL36" s="283" t="s">
        <v>276</v>
      </c>
      <c r="AM36" s="283" t="s">
        <v>276</v>
      </c>
      <c r="AN36" s="387" t="s">
        <v>276</v>
      </c>
      <c r="AO36" s="390" t="s">
        <v>276</v>
      </c>
      <c r="AP36" s="283" t="s">
        <v>276</v>
      </c>
      <c r="AQ36" s="401" t="s">
        <v>293</v>
      </c>
      <c r="AR36" s="401" t="s">
        <v>293</v>
      </c>
      <c r="AS36" s="401" t="s">
        <v>293</v>
      </c>
    </row>
    <row r="37" spans="1:45" x14ac:dyDescent="0.2">
      <c r="B37" s="101" t="s">
        <v>130</v>
      </c>
      <c r="C37" s="76">
        <v>1</v>
      </c>
      <c r="D37" s="119">
        <v>0.8</v>
      </c>
      <c r="E37" s="120" t="s">
        <v>31</v>
      </c>
      <c r="F37" s="29"/>
      <c r="G37" s="30"/>
      <c r="I37" s="593" t="str">
        <f t="shared" si="12"/>
        <v>Ricardo</v>
      </c>
      <c r="J37" s="683"/>
      <c r="K37" s="248" t="s">
        <v>62</v>
      </c>
      <c r="L37" s="248" t="s">
        <v>62</v>
      </c>
      <c r="M37" s="248" t="s">
        <v>62</v>
      </c>
      <c r="N37" s="333" t="s">
        <v>29</v>
      </c>
      <c r="O37" s="162" t="s">
        <v>51</v>
      </c>
      <c r="P37" s="370" t="s">
        <v>51</v>
      </c>
      <c r="Q37" s="162" t="s">
        <v>51</v>
      </c>
      <c r="R37" s="162" t="s">
        <v>51</v>
      </c>
      <c r="S37" s="162" t="s">
        <v>51</v>
      </c>
      <c r="T37" s="381" t="s">
        <v>51</v>
      </c>
      <c r="U37" s="376" t="s">
        <v>51</v>
      </c>
      <c r="V37" s="54" t="s">
        <v>23</v>
      </c>
      <c r="W37" s="162" t="s">
        <v>51</v>
      </c>
      <c r="X37" s="54" t="s">
        <v>23</v>
      </c>
      <c r="Y37" s="171" t="s">
        <v>51</v>
      </c>
      <c r="Z37" s="397" t="s">
        <v>235</v>
      </c>
      <c r="AA37" s="339" t="s">
        <v>235</v>
      </c>
      <c r="AB37" s="339" t="s">
        <v>235</v>
      </c>
      <c r="AC37" s="339" t="s">
        <v>235</v>
      </c>
      <c r="AD37" s="353" t="s">
        <v>235</v>
      </c>
      <c r="AE37" s="339" t="s">
        <v>235</v>
      </c>
      <c r="AF37" s="339" t="s">
        <v>235</v>
      </c>
      <c r="AG37" s="339" t="s">
        <v>235</v>
      </c>
      <c r="AH37" s="339" t="s">
        <v>235</v>
      </c>
      <c r="AI37" s="339" t="s">
        <v>235</v>
      </c>
      <c r="AJ37" s="361" t="s">
        <v>235</v>
      </c>
      <c r="AK37" s="201" t="s">
        <v>51</v>
      </c>
      <c r="AL37" s="339" t="s">
        <v>235</v>
      </c>
      <c r="AM37" s="201" t="s">
        <v>51</v>
      </c>
      <c r="AN37" s="353" t="s">
        <v>235</v>
      </c>
      <c r="AO37" s="346" t="s">
        <v>235</v>
      </c>
      <c r="AP37" s="397" t="s">
        <v>235</v>
      </c>
      <c r="AQ37" s="401" t="s">
        <v>293</v>
      </c>
      <c r="AR37" s="401" t="s">
        <v>293</v>
      </c>
      <c r="AS37" s="401" t="s">
        <v>293</v>
      </c>
    </row>
    <row r="38" spans="1:45" x14ac:dyDescent="0.2">
      <c r="B38" s="101" t="s">
        <v>131</v>
      </c>
      <c r="C38" s="76">
        <f>IF(C29=0,0,C36/C29)</f>
        <v>4.9647058823529422</v>
      </c>
      <c r="D38" s="119">
        <f>IF(D29=0,0,D36/D29)</f>
        <v>0</v>
      </c>
      <c r="E38" s="121">
        <f>IF(D28=0, C38, ((C38*C37)+(D38*D37))/(C37+D37))</f>
        <v>4.9647058823529422</v>
      </c>
      <c r="F38" s="29"/>
      <c r="G38" s="30"/>
      <c r="I38"/>
      <c r="J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45" ht="17" thickBot="1" x14ac:dyDescent="0.25">
      <c r="B39" s="122" t="s">
        <v>132</v>
      </c>
      <c r="C39" s="123">
        <v>1</v>
      </c>
      <c r="D39" s="124">
        <f>IF(D38=0,0,C38/D38)</f>
        <v>0</v>
      </c>
      <c r="E39" s="125" t="s">
        <v>31</v>
      </c>
      <c r="F39" s="29"/>
      <c r="G39" s="30"/>
    </row>
    <row r="40" spans="1:45" x14ac:dyDescent="0.2">
      <c r="B40" s="7"/>
      <c r="F40" s="29"/>
      <c r="G40" s="30"/>
      <c r="K40" s="674" t="s">
        <v>96</v>
      </c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675"/>
      <c r="AO40" s="675"/>
      <c r="AP40" s="675"/>
      <c r="AQ40" s="675"/>
      <c r="AR40" s="675"/>
      <c r="AS40" s="676"/>
    </row>
    <row r="41" spans="1:45" x14ac:dyDescent="0.2">
      <c r="F41" s="29"/>
      <c r="G41" s="30"/>
      <c r="I41"/>
      <c r="J41" s="7"/>
      <c r="K41" s="600" t="s">
        <v>43</v>
      </c>
      <c r="L41" s="601"/>
      <c r="M41" s="601"/>
      <c r="N41" s="601"/>
      <c r="O41" s="602"/>
      <c r="P41" s="721" t="s">
        <v>44</v>
      </c>
      <c r="Q41" s="601"/>
      <c r="R41" s="601"/>
      <c r="S41" s="601"/>
      <c r="T41" s="699"/>
      <c r="U41" s="601" t="s">
        <v>45</v>
      </c>
      <c r="V41" s="601"/>
      <c r="W41" s="601"/>
      <c r="X41" s="601"/>
      <c r="Y41" s="601"/>
      <c r="Z41" s="721" t="s">
        <v>46</v>
      </c>
      <c r="AA41" s="601"/>
      <c r="AB41" s="601"/>
      <c r="AC41" s="601"/>
      <c r="AD41" s="699"/>
      <c r="AE41" s="600" t="s">
        <v>47</v>
      </c>
      <c r="AF41" s="601"/>
      <c r="AG41" s="601"/>
      <c r="AH41" s="601"/>
      <c r="AI41" s="602"/>
      <c r="AJ41" s="721" t="s">
        <v>83</v>
      </c>
      <c r="AK41" s="601"/>
      <c r="AL41" s="601"/>
      <c r="AM41" s="601"/>
      <c r="AN41" s="699"/>
      <c r="AO41" s="601" t="s">
        <v>210</v>
      </c>
      <c r="AP41" s="601"/>
      <c r="AQ41" s="601"/>
      <c r="AR41" s="601"/>
      <c r="AS41" s="602"/>
    </row>
    <row r="42" spans="1:45" x14ac:dyDescent="0.2">
      <c r="F42" s="29"/>
      <c r="G42" s="30"/>
      <c r="I42" s="600" t="s">
        <v>49</v>
      </c>
      <c r="J42" s="602"/>
      <c r="K42" s="15">
        <f>$E$17+(7*ROUNDDOWN((COLUMN(K$30)-COLUMN($K$30))/5,0))+MOD(COLUMN(K$30)-COLUMN($K$30),5)</f>
        <v>45516</v>
      </c>
      <c r="L42" s="15">
        <f t="shared" ref="L42:AS42" si="13">$E$17+(7*ROUNDDOWN((COLUMN(L$30)-COLUMN($K$30))/5,0))+MOD(COLUMN(L$30)-COLUMN($K$30),5)</f>
        <v>45517</v>
      </c>
      <c r="M42" s="15">
        <f t="shared" si="13"/>
        <v>45518</v>
      </c>
      <c r="N42" s="15">
        <f t="shared" si="13"/>
        <v>45519</v>
      </c>
      <c r="O42" s="15">
        <f t="shared" si="13"/>
        <v>45520</v>
      </c>
      <c r="P42" s="15">
        <f t="shared" si="13"/>
        <v>45523</v>
      </c>
      <c r="Q42" s="15">
        <f t="shared" si="13"/>
        <v>45524</v>
      </c>
      <c r="R42" s="15">
        <f t="shared" si="13"/>
        <v>45525</v>
      </c>
      <c r="S42" s="15">
        <f t="shared" si="13"/>
        <v>45526</v>
      </c>
      <c r="T42" s="15">
        <f t="shared" si="13"/>
        <v>45527</v>
      </c>
      <c r="U42" s="15">
        <f t="shared" si="13"/>
        <v>45530</v>
      </c>
      <c r="V42" s="15">
        <f t="shared" si="13"/>
        <v>45531</v>
      </c>
      <c r="W42" s="15">
        <f t="shared" si="13"/>
        <v>45532</v>
      </c>
      <c r="X42" s="15">
        <f t="shared" si="13"/>
        <v>45533</v>
      </c>
      <c r="Y42" s="15">
        <f t="shared" si="13"/>
        <v>45534</v>
      </c>
      <c r="Z42" s="15">
        <f t="shared" si="13"/>
        <v>45537</v>
      </c>
      <c r="AA42" s="15">
        <f t="shared" si="13"/>
        <v>45538</v>
      </c>
      <c r="AB42" s="15">
        <f t="shared" si="13"/>
        <v>45539</v>
      </c>
      <c r="AC42" s="15">
        <f t="shared" si="13"/>
        <v>45540</v>
      </c>
      <c r="AD42" s="15">
        <f t="shared" si="13"/>
        <v>45541</v>
      </c>
      <c r="AE42" s="15">
        <f t="shared" si="13"/>
        <v>45544</v>
      </c>
      <c r="AF42" s="15">
        <f t="shared" si="13"/>
        <v>45545</v>
      </c>
      <c r="AG42" s="15">
        <f t="shared" si="13"/>
        <v>45546</v>
      </c>
      <c r="AH42" s="15">
        <f t="shared" si="13"/>
        <v>45547</v>
      </c>
      <c r="AI42" s="15">
        <f t="shared" si="13"/>
        <v>45548</v>
      </c>
      <c r="AJ42" s="15">
        <f t="shared" si="13"/>
        <v>45551</v>
      </c>
      <c r="AK42" s="15">
        <f t="shared" si="13"/>
        <v>45552</v>
      </c>
      <c r="AL42" s="15">
        <f t="shared" si="13"/>
        <v>45553</v>
      </c>
      <c r="AM42" s="15">
        <f t="shared" si="13"/>
        <v>45554</v>
      </c>
      <c r="AN42" s="15">
        <f t="shared" si="13"/>
        <v>45555</v>
      </c>
      <c r="AO42" s="15">
        <f t="shared" si="13"/>
        <v>45558</v>
      </c>
      <c r="AP42" s="15">
        <f t="shared" si="13"/>
        <v>45559</v>
      </c>
      <c r="AQ42" s="15">
        <f t="shared" si="13"/>
        <v>45560</v>
      </c>
      <c r="AR42" s="15">
        <f t="shared" si="13"/>
        <v>45561</v>
      </c>
      <c r="AS42" s="15">
        <f t="shared" si="13"/>
        <v>45562</v>
      </c>
    </row>
    <row r="43" spans="1:45" x14ac:dyDescent="0.2">
      <c r="F43" s="29"/>
      <c r="G43" s="30"/>
      <c r="I43" s="722" t="str">
        <f t="shared" ref="I43:I49" si="14">$D4</f>
        <v>Andréa</v>
      </c>
      <c r="J43" s="722"/>
      <c r="K43" s="332" t="s">
        <v>267</v>
      </c>
      <c r="L43" s="332" t="s">
        <v>267</v>
      </c>
      <c r="M43" s="332" t="s">
        <v>267</v>
      </c>
      <c r="N43" s="328" t="s">
        <v>29</v>
      </c>
      <c r="O43" s="332" t="s">
        <v>267</v>
      </c>
      <c r="P43" s="367" t="s">
        <v>267</v>
      </c>
      <c r="Q43" s="332" t="s">
        <v>267</v>
      </c>
      <c r="R43" s="332" t="s">
        <v>267</v>
      </c>
      <c r="S43" s="332" t="s">
        <v>267</v>
      </c>
      <c r="T43" s="377" t="s">
        <v>267</v>
      </c>
      <c r="U43" s="372" t="s">
        <v>267</v>
      </c>
      <c r="V43" s="332" t="s">
        <v>267</v>
      </c>
      <c r="W43" s="332" t="s">
        <v>267</v>
      </c>
      <c r="X43" s="332" t="s">
        <v>267</v>
      </c>
      <c r="Y43" s="363" t="s">
        <v>267</v>
      </c>
      <c r="Z43" s="367" t="s">
        <v>267</v>
      </c>
      <c r="AA43" s="54" t="s">
        <v>23</v>
      </c>
      <c r="AB43" s="330" t="s">
        <v>160</v>
      </c>
      <c r="AC43" s="54" t="s">
        <v>23</v>
      </c>
      <c r="AD43" s="330" t="s">
        <v>160</v>
      </c>
      <c r="AE43" s="328" t="s">
        <v>29</v>
      </c>
      <c r="AF43" s="328" t="s">
        <v>29</v>
      </c>
      <c r="AG43" s="328" t="s">
        <v>29</v>
      </c>
      <c r="AH43" s="328" t="s">
        <v>29</v>
      </c>
      <c r="AI43" s="328" t="s">
        <v>29</v>
      </c>
      <c r="AJ43" s="355" t="s">
        <v>270</v>
      </c>
      <c r="AK43" s="54" t="s">
        <v>23</v>
      </c>
      <c r="AL43" s="133" t="s">
        <v>270</v>
      </c>
      <c r="AM43" s="54" t="s">
        <v>23</v>
      </c>
      <c r="AN43" s="347" t="s">
        <v>270</v>
      </c>
      <c r="AO43" s="342" t="s">
        <v>270</v>
      </c>
      <c r="AP43" s="327" t="s">
        <v>293</v>
      </c>
      <c r="AQ43" s="327" t="s">
        <v>293</v>
      </c>
      <c r="AR43" s="327" t="s">
        <v>293</v>
      </c>
      <c r="AS43" s="133" t="s">
        <v>270</v>
      </c>
    </row>
    <row r="44" spans="1:45" x14ac:dyDescent="0.2">
      <c r="F44" s="29"/>
      <c r="G44" s="30"/>
      <c r="I44" s="593" t="str">
        <f t="shared" si="14"/>
        <v>André</v>
      </c>
      <c r="J44" s="594"/>
      <c r="K44" s="248" t="s">
        <v>62</v>
      </c>
      <c r="L44" s="54" t="s">
        <v>23</v>
      </c>
      <c r="M44" s="248" t="s">
        <v>62</v>
      </c>
      <c r="N44" s="328" t="s">
        <v>29</v>
      </c>
      <c r="O44" s="54" t="s">
        <v>23</v>
      </c>
      <c r="P44" s="382" t="s">
        <v>160</v>
      </c>
      <c r="Q44" s="330" t="s">
        <v>160</v>
      </c>
      <c r="R44" s="330" t="s">
        <v>160</v>
      </c>
      <c r="S44" s="330" t="s">
        <v>160</v>
      </c>
      <c r="T44" s="378" t="s">
        <v>160</v>
      </c>
      <c r="U44" s="373" t="s">
        <v>160</v>
      </c>
      <c r="V44" s="330" t="s">
        <v>160</v>
      </c>
      <c r="W44" s="330" t="s">
        <v>160</v>
      </c>
      <c r="X44" s="131" t="s">
        <v>273</v>
      </c>
      <c r="Y44" s="364" t="s">
        <v>273</v>
      </c>
      <c r="Z44" s="356" t="s">
        <v>273</v>
      </c>
      <c r="AA44" s="131" t="s">
        <v>273</v>
      </c>
      <c r="AB44" s="131" t="s">
        <v>273</v>
      </c>
      <c r="AC44" s="131" t="s">
        <v>273</v>
      </c>
      <c r="AD44" s="348" t="s">
        <v>273</v>
      </c>
      <c r="AE44" s="131" t="s">
        <v>273</v>
      </c>
      <c r="AF44" s="54" t="s">
        <v>23</v>
      </c>
      <c r="AG44" s="131" t="s">
        <v>273</v>
      </c>
      <c r="AH44" s="54" t="s">
        <v>23</v>
      </c>
      <c r="AI44" s="131" t="s">
        <v>273</v>
      </c>
      <c r="AJ44" s="356" t="s">
        <v>273</v>
      </c>
      <c r="AK44" s="131" t="s">
        <v>273</v>
      </c>
      <c r="AL44" s="131" t="s">
        <v>273</v>
      </c>
      <c r="AM44" s="131" t="s">
        <v>273</v>
      </c>
      <c r="AN44" s="348" t="s">
        <v>273</v>
      </c>
      <c r="AO44" s="216" t="s">
        <v>23</v>
      </c>
      <c r="AP44" s="327" t="s">
        <v>293</v>
      </c>
      <c r="AQ44" s="327" t="s">
        <v>293</v>
      </c>
      <c r="AR44" s="327" t="s">
        <v>293</v>
      </c>
      <c r="AS44" s="54" t="s">
        <v>23</v>
      </c>
    </row>
    <row r="45" spans="1:45" x14ac:dyDescent="0.2">
      <c r="F45" s="29"/>
      <c r="G45" s="30"/>
      <c r="I45" s="593" t="str">
        <f t="shared" si="14"/>
        <v>Marcela</v>
      </c>
      <c r="J45" s="594"/>
      <c r="K45" s="248" t="s">
        <v>62</v>
      </c>
      <c r="L45" s="248" t="s">
        <v>62</v>
      </c>
      <c r="M45" s="329" t="s">
        <v>262</v>
      </c>
      <c r="N45" s="328" t="s">
        <v>29</v>
      </c>
      <c r="O45" s="329" t="s">
        <v>262</v>
      </c>
      <c r="P45" s="357" t="s">
        <v>262</v>
      </c>
      <c r="Q45" s="54" t="s">
        <v>23</v>
      </c>
      <c r="R45" s="329" t="s">
        <v>262</v>
      </c>
      <c r="S45" s="54" t="s">
        <v>23</v>
      </c>
      <c r="T45" s="349" t="s">
        <v>262</v>
      </c>
      <c r="U45" s="343" t="s">
        <v>262</v>
      </c>
      <c r="V45" s="54" t="s">
        <v>23</v>
      </c>
      <c r="W45" s="329" t="s">
        <v>262</v>
      </c>
      <c r="X45" s="54" t="s">
        <v>23</v>
      </c>
      <c r="Y45" s="365" t="s">
        <v>262</v>
      </c>
      <c r="Z45" s="357" t="s">
        <v>262</v>
      </c>
      <c r="AA45" s="329" t="s">
        <v>262</v>
      </c>
      <c r="AB45" s="329" t="s">
        <v>262</v>
      </c>
      <c r="AC45" s="329" t="s">
        <v>262</v>
      </c>
      <c r="AD45" s="349" t="s">
        <v>262</v>
      </c>
      <c r="AE45" s="329" t="s">
        <v>262</v>
      </c>
      <c r="AF45" s="329" t="s">
        <v>262</v>
      </c>
      <c r="AG45" s="329" t="s">
        <v>262</v>
      </c>
      <c r="AH45" s="329" t="s">
        <v>262</v>
      </c>
      <c r="AI45" s="329" t="s">
        <v>262</v>
      </c>
      <c r="AJ45" s="357" t="s">
        <v>262</v>
      </c>
      <c r="AK45" s="329" t="s">
        <v>262</v>
      </c>
      <c r="AL45" s="329" t="s">
        <v>262</v>
      </c>
      <c r="AM45" s="329" t="s">
        <v>262</v>
      </c>
      <c r="AN45" s="349" t="s">
        <v>262</v>
      </c>
      <c r="AO45" s="343" t="s">
        <v>262</v>
      </c>
      <c r="AP45" s="327" t="s">
        <v>293</v>
      </c>
      <c r="AQ45" s="327" t="s">
        <v>293</v>
      </c>
      <c r="AR45" s="327" t="s">
        <v>293</v>
      </c>
      <c r="AS45" s="329" t="s">
        <v>262</v>
      </c>
    </row>
    <row r="46" spans="1:45" x14ac:dyDescent="0.2">
      <c r="F46" s="29"/>
      <c r="G46" s="30"/>
      <c r="I46" s="593" t="str">
        <f t="shared" si="14"/>
        <v>Josiel</v>
      </c>
      <c r="J46" s="594"/>
      <c r="K46" s="328" t="s">
        <v>29</v>
      </c>
      <c r="L46" s="328" t="s">
        <v>29</v>
      </c>
      <c r="M46" s="328" t="s">
        <v>29</v>
      </c>
      <c r="N46" s="328" t="s">
        <v>29</v>
      </c>
      <c r="O46" s="328" t="s">
        <v>29</v>
      </c>
      <c r="P46" s="383" t="s">
        <v>29</v>
      </c>
      <c r="Q46" s="328" t="s">
        <v>29</v>
      </c>
      <c r="R46" s="328" t="s">
        <v>29</v>
      </c>
      <c r="S46" s="328" t="s">
        <v>29</v>
      </c>
      <c r="T46" s="379" t="s">
        <v>29</v>
      </c>
      <c r="U46" s="374" t="s">
        <v>29</v>
      </c>
      <c r="V46" s="328" t="s">
        <v>29</v>
      </c>
      <c r="W46" s="328" t="s">
        <v>29</v>
      </c>
      <c r="X46" s="328" t="s">
        <v>29</v>
      </c>
      <c r="Y46" s="333" t="s">
        <v>29</v>
      </c>
      <c r="Z46" s="368" t="s">
        <v>167</v>
      </c>
      <c r="AA46" s="54" t="s">
        <v>23</v>
      </c>
      <c r="AB46" s="334" t="s">
        <v>167</v>
      </c>
      <c r="AC46" s="54" t="s">
        <v>23</v>
      </c>
      <c r="AD46" s="371" t="s">
        <v>167</v>
      </c>
      <c r="AE46" s="334" t="s">
        <v>167</v>
      </c>
      <c r="AF46" s="335" t="s">
        <v>167</v>
      </c>
      <c r="AG46" s="336" t="s">
        <v>195</v>
      </c>
      <c r="AH46" s="336" t="s">
        <v>195</v>
      </c>
      <c r="AI46" s="336" t="s">
        <v>195</v>
      </c>
      <c r="AJ46" s="358" t="s">
        <v>195</v>
      </c>
      <c r="AK46" s="336" t="s">
        <v>195</v>
      </c>
      <c r="AL46" s="336" t="s">
        <v>195</v>
      </c>
      <c r="AM46" s="336" t="s">
        <v>195</v>
      </c>
      <c r="AN46" s="350" t="s">
        <v>195</v>
      </c>
      <c r="AO46" s="344" t="s">
        <v>195</v>
      </c>
      <c r="AP46" s="327" t="s">
        <v>293</v>
      </c>
      <c r="AQ46" s="327" t="s">
        <v>293</v>
      </c>
      <c r="AR46" s="327" t="s">
        <v>293</v>
      </c>
      <c r="AS46" s="336" t="s">
        <v>195</v>
      </c>
    </row>
    <row r="47" spans="1:45" x14ac:dyDescent="0.2">
      <c r="F47" s="29"/>
      <c r="G47" s="30"/>
      <c r="I47" s="593" t="str">
        <f t="shared" si="14"/>
        <v>Fernando</v>
      </c>
      <c r="J47" s="683"/>
      <c r="K47" s="338" t="s">
        <v>248</v>
      </c>
      <c r="L47" s="54" t="s">
        <v>23</v>
      </c>
      <c r="M47" s="338" t="s">
        <v>248</v>
      </c>
      <c r="N47" s="328" t="s">
        <v>29</v>
      </c>
      <c r="O47" s="54" t="s">
        <v>23</v>
      </c>
      <c r="P47" s="384" t="s">
        <v>248</v>
      </c>
      <c r="Q47" s="338" t="s">
        <v>248</v>
      </c>
      <c r="R47" s="338" t="s">
        <v>248</v>
      </c>
      <c r="S47" s="338" t="s">
        <v>248</v>
      </c>
      <c r="T47" s="380" t="s">
        <v>248</v>
      </c>
      <c r="U47" s="375" t="s">
        <v>290</v>
      </c>
      <c r="V47" s="341" t="s">
        <v>290</v>
      </c>
      <c r="W47" s="341" t="s">
        <v>290</v>
      </c>
      <c r="X47" s="341" t="s">
        <v>290</v>
      </c>
      <c r="Y47" s="366" t="s">
        <v>290</v>
      </c>
      <c r="Z47" s="359" t="s">
        <v>290</v>
      </c>
      <c r="AA47" s="341" t="s">
        <v>290</v>
      </c>
      <c r="AB47" s="341" t="s">
        <v>290</v>
      </c>
      <c r="AC47" s="341" t="s">
        <v>290</v>
      </c>
      <c r="AD47" s="351" t="s">
        <v>290</v>
      </c>
      <c r="AE47" s="341" t="s">
        <v>290</v>
      </c>
      <c r="AF47" s="54" t="s">
        <v>23</v>
      </c>
      <c r="AG47" s="341" t="s">
        <v>290</v>
      </c>
      <c r="AH47" s="54" t="s">
        <v>23</v>
      </c>
      <c r="AI47" s="341" t="s">
        <v>290</v>
      </c>
      <c r="AJ47" s="359" t="s">
        <v>290</v>
      </c>
      <c r="AK47" s="341" t="s">
        <v>290</v>
      </c>
      <c r="AL47" s="341" t="s">
        <v>290</v>
      </c>
      <c r="AM47" s="341" t="s">
        <v>290</v>
      </c>
      <c r="AN47" s="351" t="s">
        <v>290</v>
      </c>
      <c r="AO47" s="216" t="s">
        <v>23</v>
      </c>
      <c r="AP47" s="327" t="s">
        <v>293</v>
      </c>
      <c r="AQ47" s="327" t="s">
        <v>293</v>
      </c>
      <c r="AR47" s="327" t="s">
        <v>293</v>
      </c>
      <c r="AS47" s="54" t="s">
        <v>23</v>
      </c>
    </row>
    <row r="48" spans="1:45" ht="16" customHeight="1" x14ac:dyDescent="0.2">
      <c r="A48" s="8"/>
      <c r="F48" s="29"/>
      <c r="G48" s="30"/>
      <c r="I48" s="593" t="str">
        <f t="shared" si="14"/>
        <v>Elias</v>
      </c>
      <c r="J48" s="683"/>
      <c r="K48" s="260" t="s">
        <v>276</v>
      </c>
      <c r="L48" s="260" t="s">
        <v>276</v>
      </c>
      <c r="M48" s="260" t="s">
        <v>276</v>
      </c>
      <c r="N48" s="333" t="s">
        <v>29</v>
      </c>
      <c r="O48" s="260" t="s">
        <v>276</v>
      </c>
      <c r="P48" s="369" t="s">
        <v>276</v>
      </c>
      <c r="Q48" s="54" t="s">
        <v>23</v>
      </c>
      <c r="R48" s="260" t="s">
        <v>276</v>
      </c>
      <c r="S48" s="54" t="s">
        <v>23</v>
      </c>
      <c r="T48" s="309" t="s">
        <v>276</v>
      </c>
      <c r="U48" s="312" t="s">
        <v>276</v>
      </c>
      <c r="V48" s="260" t="s">
        <v>276</v>
      </c>
      <c r="W48" s="260" t="s">
        <v>276</v>
      </c>
      <c r="X48" s="260" t="s">
        <v>276</v>
      </c>
      <c r="Y48" s="337" t="s">
        <v>276</v>
      </c>
      <c r="Z48" s="369" t="s">
        <v>276</v>
      </c>
      <c r="AA48" s="260" t="s">
        <v>276</v>
      </c>
      <c r="AB48" s="260" t="s">
        <v>276</v>
      </c>
      <c r="AC48" s="260" t="s">
        <v>276</v>
      </c>
      <c r="AD48" s="309" t="s">
        <v>276</v>
      </c>
      <c r="AE48" s="260" t="s">
        <v>276</v>
      </c>
      <c r="AF48" s="260" t="s">
        <v>276</v>
      </c>
      <c r="AG48" s="337" t="s">
        <v>276</v>
      </c>
      <c r="AH48" s="340" t="s">
        <v>283</v>
      </c>
      <c r="AI48" s="340" t="s">
        <v>283</v>
      </c>
      <c r="AJ48" s="360" t="s">
        <v>283</v>
      </c>
      <c r="AK48" s="340" t="s">
        <v>283</v>
      </c>
      <c r="AL48" s="340" t="s">
        <v>283</v>
      </c>
      <c r="AM48" s="340" t="s">
        <v>283</v>
      </c>
      <c r="AN48" s="352" t="s">
        <v>283</v>
      </c>
      <c r="AO48" s="345" t="s">
        <v>283</v>
      </c>
      <c r="AP48" s="327" t="s">
        <v>293</v>
      </c>
      <c r="AQ48" s="327" t="s">
        <v>293</v>
      </c>
      <c r="AR48" s="327" t="s">
        <v>293</v>
      </c>
      <c r="AS48" s="340" t="s">
        <v>283</v>
      </c>
    </row>
    <row r="49" spans="1:45" x14ac:dyDescent="0.2">
      <c r="A49" s="8"/>
      <c r="F49" s="31"/>
      <c r="G49" s="32"/>
      <c r="I49" s="593" t="str">
        <f t="shared" si="14"/>
        <v>Ricardo</v>
      </c>
      <c r="J49" s="683"/>
      <c r="K49" s="248" t="s">
        <v>62</v>
      </c>
      <c r="L49" s="248" t="s">
        <v>62</v>
      </c>
      <c r="M49" s="248" t="s">
        <v>62</v>
      </c>
      <c r="N49" s="333" t="s">
        <v>29</v>
      </c>
      <c r="O49" s="162" t="s">
        <v>51</v>
      </c>
      <c r="P49" s="370" t="s">
        <v>51</v>
      </c>
      <c r="Q49" s="162" t="s">
        <v>51</v>
      </c>
      <c r="R49" s="162" t="s">
        <v>51</v>
      </c>
      <c r="S49" s="162" t="s">
        <v>51</v>
      </c>
      <c r="T49" s="381" t="s">
        <v>51</v>
      </c>
      <c r="U49" s="376" t="s">
        <v>51</v>
      </c>
      <c r="V49" s="54" t="s">
        <v>23</v>
      </c>
      <c r="W49" s="162" t="s">
        <v>51</v>
      </c>
      <c r="X49" s="54" t="s">
        <v>23</v>
      </c>
      <c r="Y49" s="171" t="s">
        <v>51</v>
      </c>
      <c r="Z49" s="370" t="s">
        <v>51</v>
      </c>
      <c r="AA49" s="162" t="s">
        <v>51</v>
      </c>
      <c r="AB49" s="339" t="s">
        <v>235</v>
      </c>
      <c r="AC49" s="339" t="s">
        <v>235</v>
      </c>
      <c r="AD49" s="353" t="s">
        <v>235</v>
      </c>
      <c r="AE49" s="339" t="s">
        <v>235</v>
      </c>
      <c r="AF49" s="339" t="s">
        <v>235</v>
      </c>
      <c r="AG49" s="339" t="s">
        <v>235</v>
      </c>
      <c r="AH49" s="339" t="s">
        <v>235</v>
      </c>
      <c r="AI49" s="339" t="s">
        <v>235</v>
      </c>
      <c r="AJ49" s="361" t="s">
        <v>235</v>
      </c>
      <c r="AK49" s="54" t="s">
        <v>23</v>
      </c>
      <c r="AL49" s="339" t="s">
        <v>235</v>
      </c>
      <c r="AM49" s="54" t="s">
        <v>23</v>
      </c>
      <c r="AN49" s="353" t="s">
        <v>235</v>
      </c>
      <c r="AO49" s="346" t="s">
        <v>235</v>
      </c>
      <c r="AP49" s="327" t="s">
        <v>293</v>
      </c>
      <c r="AQ49" s="327" t="s">
        <v>293</v>
      </c>
      <c r="AR49" s="327" t="s">
        <v>293</v>
      </c>
      <c r="AS49" s="339" t="s">
        <v>235</v>
      </c>
    </row>
    <row r="50" spans="1:45" ht="17" thickBot="1" x14ac:dyDescent="0.25">
      <c r="A50" s="8"/>
      <c r="F50" s="29"/>
      <c r="G50" s="30"/>
      <c r="T50"/>
      <c r="U50"/>
      <c r="V50"/>
      <c r="W50"/>
      <c r="Y50"/>
      <c r="Z50"/>
      <c r="AA50"/>
      <c r="AB50"/>
      <c r="AC50"/>
      <c r="AD50"/>
      <c r="AE50"/>
      <c r="AF50"/>
      <c r="AG50"/>
    </row>
    <row r="51" spans="1:45" x14ac:dyDescent="0.2">
      <c r="F51" s="29"/>
      <c r="G51" s="30"/>
      <c r="K51" s="186" t="str">
        <f>BB6</f>
        <v>Eng</v>
      </c>
      <c r="L51" s="187" cm="1">
        <f t="array" ref="L51:L55">SUMIFS(AB6:AB25, R6:R25, BB6:BB10)</f>
        <v>233.34117647058827</v>
      </c>
      <c r="M51" s="183">
        <f>IF($L$56=0,0,L51/$L$56)</f>
        <v>0.19183673469387755</v>
      </c>
      <c r="O51" s="271" t="s">
        <v>26</v>
      </c>
      <c r="P51" s="272">
        <f>(L51+L55)/(L51+L52+L55)</f>
        <v>0.34246575342465746</v>
      </c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45" ht="17" thickBot="1" x14ac:dyDescent="0.25">
      <c r="F52" s="33"/>
      <c r="G52" s="30"/>
      <c r="H52" s="1"/>
      <c r="K52" s="188" t="str">
        <f>BB7</f>
        <v>Prod</v>
      </c>
      <c r="L52" s="189">
        <v>714.9176470588236</v>
      </c>
      <c r="M52" s="191">
        <f t="shared" ref="M52:M55" si="15">IF($L$56=0,0,L52/$L$56)</f>
        <v>0.58775510204081627</v>
      </c>
      <c r="O52" s="273" t="s">
        <v>149</v>
      </c>
      <c r="P52" s="274">
        <f>L52/(L51+L52+L55)</f>
        <v>0.65753424657534243</v>
      </c>
      <c r="AB52"/>
      <c r="AE52"/>
      <c r="AF52"/>
      <c r="AG52"/>
    </row>
    <row r="53" spans="1:45" x14ac:dyDescent="0.2">
      <c r="F53" s="33"/>
      <c r="G53" s="30"/>
      <c r="I53"/>
      <c r="K53" s="188" t="str">
        <f>BB8</f>
        <v>Day-by-Day</v>
      </c>
      <c r="L53" s="189">
        <v>0</v>
      </c>
      <c r="M53" s="191">
        <f t="shared" si="15"/>
        <v>0</v>
      </c>
      <c r="O53"/>
      <c r="P53"/>
      <c r="Q53"/>
      <c r="S53"/>
      <c r="T53"/>
      <c r="U53"/>
      <c r="V53"/>
      <c r="W53"/>
      <c r="Y53"/>
      <c r="Z53"/>
      <c r="AA53"/>
      <c r="AC53"/>
      <c r="AD53"/>
      <c r="AE53"/>
      <c r="AF53"/>
      <c r="AG53"/>
    </row>
    <row r="54" spans="1:45" x14ac:dyDescent="0.2">
      <c r="F54" s="33"/>
      <c r="G54" s="30"/>
      <c r="I54"/>
      <c r="J54" s="7"/>
      <c r="K54" s="184" t="str">
        <f>BB9</f>
        <v>Out</v>
      </c>
      <c r="L54" s="189">
        <v>129.08235294117651</v>
      </c>
      <c r="M54" s="192">
        <f t="shared" si="15"/>
        <v>0.10612244897959186</v>
      </c>
      <c r="N54"/>
      <c r="O54"/>
      <c r="P54"/>
      <c r="Q54"/>
      <c r="S54"/>
      <c r="T54"/>
      <c r="U54"/>
      <c r="V54"/>
      <c r="W54"/>
      <c r="Y54"/>
      <c r="Z54"/>
      <c r="AA54"/>
      <c r="AB54"/>
      <c r="AC54"/>
      <c r="AD54"/>
      <c r="AE54"/>
      <c r="AF54"/>
      <c r="AG54"/>
    </row>
    <row r="55" spans="1:45" ht="17" thickBot="1" x14ac:dyDescent="0.25">
      <c r="F55" s="33"/>
      <c r="G55" s="30"/>
      <c r="I55"/>
      <c r="J55" s="7"/>
      <c r="K55" s="190" t="str">
        <f>BB10</f>
        <v>Bug</v>
      </c>
      <c r="L55" s="193">
        <v>139.01176470588237</v>
      </c>
      <c r="M55" s="185">
        <f t="shared" si="15"/>
        <v>0.11428571428571428</v>
      </c>
      <c r="N55"/>
      <c r="R55"/>
      <c r="S55"/>
      <c r="T55"/>
      <c r="U55"/>
      <c r="V55"/>
      <c r="W55"/>
      <c r="Y55"/>
      <c r="Z55"/>
      <c r="AA55"/>
      <c r="AB55"/>
      <c r="AC55"/>
      <c r="AD55"/>
      <c r="AE55"/>
      <c r="AF55"/>
      <c r="AG55"/>
    </row>
    <row r="56" spans="1:45" x14ac:dyDescent="0.2">
      <c r="F56" s="33"/>
      <c r="G56" s="30"/>
      <c r="I56"/>
      <c r="J56" s="7"/>
      <c r="K56"/>
      <c r="L56" s="231">
        <f>SUM(_xlfn.ANCHORARRAY(L51))</f>
        <v>1216.3529411764707</v>
      </c>
      <c r="M56"/>
      <c r="N56"/>
      <c r="R56"/>
      <c r="S56"/>
      <c r="T56"/>
      <c r="U56"/>
      <c r="V56"/>
      <c r="W56"/>
      <c r="Y56"/>
      <c r="Z56"/>
      <c r="AA56"/>
      <c r="AB56"/>
      <c r="AC56"/>
      <c r="AD56"/>
      <c r="AE56"/>
      <c r="AF56"/>
      <c r="AG56"/>
    </row>
    <row r="57" spans="1:45" x14ac:dyDescent="0.2">
      <c r="F57" s="33"/>
      <c r="G57" s="30"/>
      <c r="I57"/>
      <c r="J57" s="7"/>
      <c r="N57"/>
      <c r="R57"/>
      <c r="S57"/>
      <c r="T57"/>
      <c r="U57"/>
      <c r="V57"/>
      <c r="W57"/>
      <c r="Y57"/>
      <c r="Z57"/>
      <c r="AA57"/>
      <c r="AB57"/>
      <c r="AC57"/>
      <c r="AD57"/>
      <c r="AE57"/>
      <c r="AF57"/>
      <c r="AG57"/>
    </row>
    <row r="58" spans="1:45" x14ac:dyDescent="0.2">
      <c r="F58" s="33"/>
      <c r="G58" s="30"/>
      <c r="I58"/>
      <c r="J58" s="7"/>
      <c r="N58"/>
      <c r="R58"/>
      <c r="S58"/>
      <c r="T58"/>
      <c r="U58"/>
      <c r="V58"/>
      <c r="W58"/>
      <c r="Y58"/>
      <c r="Z58"/>
      <c r="AA58"/>
      <c r="AB58"/>
      <c r="AC58"/>
      <c r="AD58"/>
      <c r="AE58"/>
      <c r="AF58"/>
      <c r="AG58"/>
    </row>
    <row r="59" spans="1:45" x14ac:dyDescent="0.2">
      <c r="F59" s="33"/>
      <c r="G59" s="30"/>
      <c r="I59"/>
      <c r="J59" s="7"/>
      <c r="N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45" x14ac:dyDescent="0.2">
      <c r="F60" s="33"/>
      <c r="G60" s="30"/>
      <c r="I60"/>
      <c r="J60" s="7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45" x14ac:dyDescent="0.2">
      <c r="F61" s="33"/>
      <c r="G61" s="34"/>
      <c r="I61"/>
      <c r="J61" s="7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45" x14ac:dyDescent="0.2">
      <c r="F62" s="33"/>
      <c r="G62" s="34"/>
      <c r="I62"/>
      <c r="J62" s="7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45" x14ac:dyDescent="0.2">
      <c r="G63"/>
      <c r="I63"/>
      <c r="J63" s="7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45" x14ac:dyDescent="0.2">
      <c r="H64"/>
      <c r="I64"/>
      <c r="J64" s="7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2:45" x14ac:dyDescent="0.2">
      <c r="F65"/>
      <c r="H65"/>
      <c r="I65"/>
      <c r="J65" s="7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2:45" x14ac:dyDescent="0.2">
      <c r="F66"/>
      <c r="H66"/>
      <c r="I66"/>
      <c r="J66" s="7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2:45" s="1" customFormat="1" x14ac:dyDescent="0.2">
      <c r="B67"/>
      <c r="C67"/>
      <c r="D67"/>
      <c r="F67"/>
      <c r="G67" s="7"/>
      <c r="H67" s="7"/>
      <c r="I67"/>
      <c r="J67" s="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s="1" customFormat="1" x14ac:dyDescent="0.2">
      <c r="B68"/>
      <c r="C68"/>
      <c r="D68"/>
      <c r="F68" s="7"/>
      <c r="G68" s="7"/>
      <c r="H68" s="7"/>
      <c r="K68"/>
      <c r="L68"/>
      <c r="M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s="1" customFormat="1" x14ac:dyDescent="0.2">
      <c r="B69"/>
      <c r="C69"/>
      <c r="D69"/>
      <c r="F69" s="7"/>
      <c r="G69" s="7"/>
      <c r="H69" s="7"/>
      <c r="L69" s="1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2:45" s="1" customFormat="1" x14ac:dyDescent="0.2">
      <c r="B70"/>
      <c r="C70"/>
      <c r="D70"/>
      <c r="F70" s="7"/>
      <c r="G70" s="7"/>
      <c r="H70" s="7"/>
      <c r="L70" s="19"/>
      <c r="O70" s="19"/>
      <c r="R70"/>
      <c r="AB70"/>
      <c r="AH70"/>
      <c r="AI70"/>
      <c r="AJ70"/>
      <c r="AK70"/>
      <c r="AL70"/>
      <c r="AM70"/>
      <c r="AN70"/>
    </row>
    <row r="71" spans="2:45" s="1" customFormat="1" x14ac:dyDescent="0.2">
      <c r="B71"/>
      <c r="C71"/>
      <c r="D71"/>
      <c r="F71" s="7"/>
      <c r="G71" s="7"/>
      <c r="H71" s="7"/>
      <c r="O71" s="19"/>
      <c r="R71"/>
      <c r="AH71"/>
      <c r="AI71"/>
      <c r="AJ71"/>
      <c r="AK71"/>
      <c r="AL71"/>
      <c r="AM71"/>
      <c r="AN71"/>
    </row>
    <row r="72" spans="2:45" s="1" customFormat="1" x14ac:dyDescent="0.2">
      <c r="B72"/>
      <c r="C72"/>
      <c r="D72"/>
      <c r="F72" s="7"/>
      <c r="G72" s="7"/>
      <c r="H72" s="7"/>
      <c r="L72" s="19"/>
      <c r="AH72"/>
      <c r="AI72"/>
      <c r="AJ72"/>
      <c r="AK72"/>
      <c r="AL72"/>
      <c r="AM72"/>
      <c r="AN72"/>
    </row>
    <row r="73" spans="2:45" s="1" customFormat="1" x14ac:dyDescent="0.2">
      <c r="B73"/>
      <c r="C73"/>
      <c r="D73"/>
      <c r="F73" s="7"/>
      <c r="G73" s="7"/>
      <c r="H73" s="7"/>
      <c r="AH73"/>
      <c r="AI73"/>
      <c r="AJ73"/>
      <c r="AK73"/>
      <c r="AL73"/>
      <c r="AM73"/>
      <c r="AN73"/>
    </row>
    <row r="74" spans="2:45" s="1" customFormat="1" x14ac:dyDescent="0.2">
      <c r="B74"/>
      <c r="C74"/>
      <c r="D74"/>
      <c r="F74" s="7"/>
      <c r="G74" s="7"/>
      <c r="H74" s="7"/>
      <c r="AH74"/>
      <c r="AI74"/>
      <c r="AJ74"/>
      <c r="AK74"/>
      <c r="AL74"/>
      <c r="AM74"/>
      <c r="AN74"/>
    </row>
    <row r="75" spans="2:45" s="1" customFormat="1" x14ac:dyDescent="0.2">
      <c r="B75"/>
      <c r="C75"/>
      <c r="D75"/>
      <c r="F75" s="7"/>
      <c r="G75" s="7"/>
      <c r="H75" s="7"/>
      <c r="AH75"/>
      <c r="AI75"/>
      <c r="AJ75"/>
      <c r="AK75"/>
      <c r="AL75"/>
      <c r="AM75"/>
      <c r="AN75"/>
    </row>
    <row r="76" spans="2:45" s="1" customFormat="1" x14ac:dyDescent="0.2">
      <c r="B76"/>
      <c r="C76"/>
      <c r="D76"/>
      <c r="F76" s="7"/>
      <c r="G76" s="7"/>
      <c r="H76" s="7"/>
      <c r="AH76"/>
      <c r="AI76"/>
      <c r="AJ76"/>
      <c r="AK76"/>
      <c r="AL76"/>
      <c r="AM76"/>
      <c r="AN76"/>
    </row>
    <row r="77" spans="2:45" x14ac:dyDescent="0.2">
      <c r="AO77" s="1"/>
      <c r="AP77" s="1"/>
      <c r="AQ77" s="1"/>
      <c r="AR77" s="1"/>
      <c r="AS77" s="1"/>
    </row>
    <row r="78" spans="2:45" x14ac:dyDescent="0.2">
      <c r="AO78" s="1"/>
      <c r="AP78" s="1"/>
      <c r="AQ78" s="1"/>
      <c r="AR78" s="1"/>
      <c r="AS78" s="1"/>
    </row>
    <row r="79" spans="2:45" x14ac:dyDescent="0.2">
      <c r="AO79" s="1"/>
    </row>
    <row r="83" spans="37:40" x14ac:dyDescent="0.2">
      <c r="AK83" s="1"/>
      <c r="AL83" s="1"/>
      <c r="AM83" s="1"/>
      <c r="AN83" s="1"/>
    </row>
    <row r="84" spans="37:40" x14ac:dyDescent="0.2">
      <c r="AK84" s="1"/>
      <c r="AL84" s="1"/>
      <c r="AM84" s="1"/>
      <c r="AN84" s="1"/>
    </row>
    <row r="85" spans="37:40" x14ac:dyDescent="0.2">
      <c r="AK85" s="1"/>
      <c r="AL85" s="1"/>
      <c r="AM85" s="1"/>
      <c r="AN85" s="1"/>
    </row>
    <row r="86" spans="37:40" x14ac:dyDescent="0.2">
      <c r="AK86" s="1"/>
      <c r="AL86" s="1"/>
      <c r="AM86" s="1"/>
      <c r="AN86" s="1"/>
    </row>
    <row r="87" spans="37:40" x14ac:dyDescent="0.2">
      <c r="AK87" s="1"/>
      <c r="AL87" s="1"/>
      <c r="AM87" s="1"/>
      <c r="AN87" s="1"/>
    </row>
    <row r="88" spans="37:40" x14ac:dyDescent="0.2">
      <c r="AK88" s="1"/>
      <c r="AL88" s="1"/>
      <c r="AM88" s="1"/>
      <c r="AN88" s="1"/>
    </row>
    <row r="89" spans="37:40" x14ac:dyDescent="0.2">
      <c r="AK89" s="1"/>
      <c r="AL89" s="1"/>
      <c r="AM89" s="1"/>
      <c r="AN89" s="1"/>
    </row>
    <row r="90" spans="37:40" x14ac:dyDescent="0.2">
      <c r="AK90" s="1"/>
      <c r="AL90" s="1"/>
      <c r="AM90" s="1"/>
      <c r="AN90" s="1"/>
    </row>
    <row r="91" spans="37:40" x14ac:dyDescent="0.2">
      <c r="AK91" s="1"/>
      <c r="AL91" s="1"/>
      <c r="AM91" s="1"/>
      <c r="AN91" s="1"/>
    </row>
    <row r="92" spans="37:40" x14ac:dyDescent="0.2">
      <c r="AK92" s="1"/>
      <c r="AL92" s="1"/>
      <c r="AM92" s="1"/>
      <c r="AN92" s="1"/>
    </row>
  </sheetData>
  <mergeCells count="74">
    <mergeCell ref="AC3:AS3"/>
    <mergeCell ref="AE4:AG4"/>
    <mergeCell ref="H4:H5"/>
    <mergeCell ref="H3:Q3"/>
    <mergeCell ref="K4:Q5"/>
    <mergeCell ref="X4:AB4"/>
    <mergeCell ref="V3:AB3"/>
    <mergeCell ref="I47:J47"/>
    <mergeCell ref="I48:J48"/>
    <mergeCell ref="AJ29:AN29"/>
    <mergeCell ref="I30:J30"/>
    <mergeCell ref="I31:J31"/>
    <mergeCell ref="I32:J32"/>
    <mergeCell ref="I33:J33"/>
    <mergeCell ref="I34:J34"/>
    <mergeCell ref="Z29:AD29"/>
    <mergeCell ref="AE29:AI29"/>
    <mergeCell ref="I36:J36"/>
    <mergeCell ref="I37:J37"/>
    <mergeCell ref="K41:O41"/>
    <mergeCell ref="P41:T41"/>
    <mergeCell ref="U41:Y41"/>
    <mergeCell ref="I49:J49"/>
    <mergeCell ref="D4:E4"/>
    <mergeCell ref="AO41:AS41"/>
    <mergeCell ref="K40:AS40"/>
    <mergeCell ref="K28:AS28"/>
    <mergeCell ref="AO29:AS29"/>
    <mergeCell ref="AJ41:AN41"/>
    <mergeCell ref="I42:J42"/>
    <mergeCell ref="I43:J43"/>
    <mergeCell ref="I44:J44"/>
    <mergeCell ref="I45:J45"/>
    <mergeCell ref="I46:J46"/>
    <mergeCell ref="I35:J35"/>
    <mergeCell ref="AQ4:AS4"/>
    <mergeCell ref="Z41:AD41"/>
    <mergeCell ref="AE41:AI41"/>
    <mergeCell ref="B24:D24"/>
    <mergeCell ref="B26:E26"/>
    <mergeCell ref="K29:O29"/>
    <mergeCell ref="P29:T29"/>
    <mergeCell ref="U29:Y29"/>
    <mergeCell ref="D9:E9"/>
    <mergeCell ref="D7:E7"/>
    <mergeCell ref="D8:E8"/>
    <mergeCell ref="B23:D23"/>
    <mergeCell ref="B16:D16"/>
    <mergeCell ref="B18:D18"/>
    <mergeCell ref="B20:E20"/>
    <mergeCell ref="B21:C21"/>
    <mergeCell ref="B22:C22"/>
    <mergeCell ref="B13:E13"/>
    <mergeCell ref="B14:D14"/>
    <mergeCell ref="B15:D15"/>
    <mergeCell ref="D10:E10"/>
    <mergeCell ref="D11:E11"/>
    <mergeCell ref="B17:D17"/>
    <mergeCell ref="BB4:BB5"/>
    <mergeCell ref="D5:E5"/>
    <mergeCell ref="D6:E6"/>
    <mergeCell ref="B2:E2"/>
    <mergeCell ref="D3:E3"/>
    <mergeCell ref="R3:R5"/>
    <mergeCell ref="S3:S5"/>
    <mergeCell ref="U3:U5"/>
    <mergeCell ref="T3:T5"/>
    <mergeCell ref="I4:I5"/>
    <mergeCell ref="J4:J5"/>
    <mergeCell ref="V4:W4"/>
    <mergeCell ref="AD4:AD5"/>
    <mergeCell ref="AC4:AC5"/>
    <mergeCell ref="AN4:AP4"/>
    <mergeCell ref="AH4:AM4"/>
  </mergeCells>
  <conditionalFormatting sqref="Z6:Z25">
    <cfRule type="containsText" dxfId="89" priority="8" operator="containsText" text="Excess">
      <formula>NOT(ISERROR(SEARCH("Excess",Z6)))</formula>
    </cfRule>
    <cfRule type="containsText" dxfId="88" priority="9" stopIfTrue="1" operator="containsText" text="Risk">
      <formula>NOT(ISERROR(SEARCH("Risk",Z6)))</formula>
    </cfRule>
    <cfRule type="containsText" dxfId="87" priority="10" stopIfTrue="1" operator="containsText" text="Short">
      <formula>NOT(ISERROR(SEARCH("Short",Z6)))</formula>
    </cfRule>
    <cfRule type="containsText" dxfId="86" priority="11" stopIfTrue="1" operator="containsText" text="Attention">
      <formula>NOT(ISERROR(SEARCH("Attention",Z6)))</formula>
    </cfRule>
    <cfRule type="containsText" dxfId="85" priority="12" operator="containsText" text="Aligned">
      <formula>NOT(ISERROR(SEARCH("Aligned",Z6)))</formula>
    </cfRule>
  </conditionalFormatting>
  <conditionalFormatting sqref="AA6:AA25">
    <cfRule type="colorScale" priority="20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D25">
    <cfRule type="expression" dxfId="84" priority="2">
      <formula>AND($AD6&lt;&gt;"7 PI Started",$AD6&lt;&gt;"Done")</formula>
    </cfRule>
    <cfRule type="containsText" dxfId="83" priority="3" operator="containsText" text="7 PI Started">
      <formula>NOT(ISERROR(SEARCH("7 PI Started",AD6)))</formula>
    </cfRule>
    <cfRule type="containsText" dxfId="82" priority="4" stopIfTrue="1" operator="containsText" text="Done">
      <formula>NOT(ISERROR(SEARCH("Done",AD6)))</formula>
    </cfRule>
  </conditionalFormatting>
  <conditionalFormatting sqref="AF6:AF25">
    <cfRule type="containsText" dxfId="81" priority="5" operator="containsText" text="On Time">
      <formula>NOT(ISERROR(SEARCH("On Time",AF6)))</formula>
    </cfRule>
    <cfRule type="containsText" dxfId="80" priority="6" stopIfTrue="1" operator="containsText" text="Delayed">
      <formula>NOT(ISERROR(SEARCH("Delayed",AF6)))</formula>
    </cfRule>
    <cfRule type="containsText" dxfId="79" priority="7" stopIfTrue="1" operator="containsText" text="Not Started">
      <formula>NOT(ISERROR(SEARCH("Not Started",AF6)))</formula>
    </cfRule>
  </conditionalFormatting>
  <conditionalFormatting sqref="AI6:AI25">
    <cfRule type="containsText" dxfId="78" priority="29" operator="containsText" text="Postponed">
      <formula>NOT(ISERROR(SEARCH("Postponed",AI6)))</formula>
    </cfRule>
    <cfRule type="containsText" dxfId="77" priority="30" operator="containsText" text="Advanced">
      <formula>NOT(ISERROR(SEARCH("Advanced",AI6)))</formula>
    </cfRule>
    <cfRule type="containsText" dxfId="76" priority="31" operator="containsText" text="No Change">
      <formula>NOT(ISERROR(SEARCH("No Change",AI6)))</formula>
    </cfRule>
  </conditionalFormatting>
  <conditionalFormatting sqref="AK6:AK25">
    <cfRule type="containsText" dxfId="75" priority="23" stopIfTrue="1" operator="containsText" text="Not Started">
      <formula>NOT(ISERROR(SEARCH("Not Started",AK6)))</formula>
    </cfRule>
    <cfRule type="containsText" dxfId="74" priority="24" stopIfTrue="1" operator="containsText" text="Due Today">
      <formula>NOT(ISERROR(SEARCH("Due Today",AK6)))</formula>
    </cfRule>
    <cfRule type="containsText" dxfId="73" priority="25" operator="containsText" text="Near End">
      <formula>NOT(ISERROR(SEARCH("Near End",AK6)))</formula>
    </cfRule>
    <cfRule type="containsText" dxfId="72" priority="26" operator="containsText" text="Delivered">
      <formula>NOT(ISERROR(SEARCH("Delivered",AK6)))</formula>
    </cfRule>
    <cfRule type="containsText" dxfId="71" priority="27" operator="containsText" text="On Track">
      <formula>NOT(ISERROR(SEARCH("On Track",AK6)))</formula>
    </cfRule>
    <cfRule type="containsText" dxfId="70" priority="28" operator="containsText" text="Delayed">
      <formula>NOT(ISERROR(SEARCH("Delayed",AK6)))</formula>
    </cfRule>
  </conditionalFormatting>
  <conditionalFormatting sqref="AO6:AO25">
    <cfRule type="containsText" dxfId="69" priority="17" stopIfTrue="1" operator="containsText" text="Not Started">
      <formula>NOT(ISERROR(SEARCH("Not Started",AO6)))</formula>
    </cfRule>
    <cfRule type="containsText" dxfId="68" priority="18" stopIfTrue="1" operator="containsText" text="Due Today">
      <formula>NOT(ISERROR(SEARCH("Due Today",AO6)))</formula>
    </cfRule>
    <cfRule type="containsText" dxfId="67" priority="19" operator="containsText" text="Near End">
      <formula>NOT(ISERROR(SEARCH("Near End",AO6)))</formula>
    </cfRule>
    <cfRule type="containsText" dxfId="66" priority="20" operator="containsText" text="Delivered">
      <formula>NOT(ISERROR(SEARCH("Delivered",AO6)))</formula>
    </cfRule>
    <cfRule type="containsText" dxfId="65" priority="21" operator="containsText" text="On Track">
      <formula>NOT(ISERROR(SEARCH("On Track",AO6)))</formula>
    </cfRule>
    <cfRule type="containsText" dxfId="64" priority="22" operator="containsText" text="Delayed">
      <formula>NOT(ISERROR(SEARCH("Delayed",AO6)))</formula>
    </cfRule>
  </conditionalFormatting>
  <conditionalFormatting sqref="AS6:AS25">
    <cfRule type="expression" dxfId="63" priority="14" stopIfTrue="1">
      <formula>$AS6&lt;0</formula>
    </cfRule>
    <cfRule type="expression" dxfId="62" priority="15" stopIfTrue="1">
      <formula>$AS6&gt;0</formula>
    </cfRule>
    <cfRule type="expression" dxfId="61" priority="16" stopIfTrue="1">
      <formula>$AS6=0</formula>
    </cfRule>
  </conditionalFormatting>
  <dataValidations count="2">
    <dataValidation type="list" allowBlank="1" showInputMessage="1" showErrorMessage="1" sqref="N43:N49 AA34 AE31:AI31 K34:M34 O46:Y46 O34:Y34 N31:N37 AE43:AI43 K46:M46 AP43:AR49 AP31:AS37" xr:uid="{5B376304-B96B-3745-B889-A64FDE222D08}">
      <formula1>$I$6:$I$25</formula1>
    </dataValidation>
    <dataValidation type="list" allowBlank="1" showInputMessage="1" showErrorMessage="1" sqref="R6:R25" xr:uid="{00157E17-E23F-DD42-AEE4-39B0064E4197}">
      <formula1>$K$50:$K$54</formula1>
    </dataValidation>
  </dataValidations>
  <hyperlinks>
    <hyperlink ref="J17" r:id="rId1" display="https://digitial-product-engineering.atlassian.net/browse/CWS-10898" xr:uid="{1E733FAC-3473-B244-A743-B153C7BE0D18}"/>
  </hyperlinks>
  <pageMargins left="0.511811024" right="0.511811024" top="0.78740157499999996" bottom="0.78740157499999996" header="0.31496062000000002" footer="0.31496062000000002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6C4FFB2-305A-3741-8AEB-28C3F787897F}">
            <xm:f>NOT(ISERROR(SEARCH("-",AD6)))</xm:f>
            <xm:f>"-"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AD6:AD25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564D-22E5-9F4B-B14E-5C5279F5A19E}">
  <sheetPr codeName="Sheet9"/>
  <dimension ref="A1:BD92"/>
  <sheetViews>
    <sheetView showGridLines="0" topLeftCell="Z9" zoomScale="130" zoomScaleNormal="130" workbookViewId="0">
      <selection activeCell="K31" sqref="K31:AN31"/>
    </sheetView>
  </sheetViews>
  <sheetFormatPr baseColWidth="10" defaultColWidth="11" defaultRowHeight="16" x14ac:dyDescent="0.2"/>
  <cols>
    <col min="1" max="1" width="4.83203125" style="1" customWidth="1"/>
    <col min="2" max="2" width="16.6640625" customWidth="1"/>
    <col min="3" max="3" width="9.33203125" bestFit="1" customWidth="1"/>
    <col min="4" max="4" width="10.6640625" customWidth="1"/>
    <col min="5" max="5" width="10.6640625" style="1" customWidth="1"/>
    <col min="6" max="7" width="1.1640625" style="7" customWidth="1"/>
    <col min="8" max="8" width="4" style="7" customWidth="1"/>
    <col min="9" max="9" width="10.6640625" style="1" customWidth="1"/>
    <col min="10" max="10" width="11.6640625" style="1" customWidth="1"/>
    <col min="11" max="27" width="10.6640625" style="1" customWidth="1"/>
    <col min="28" max="30" width="12.83203125" style="1" bestFit="1" customWidth="1"/>
    <col min="31" max="31" width="10.6640625" style="1" customWidth="1"/>
    <col min="32" max="32" width="12.83203125" style="1" bestFit="1" customWidth="1"/>
    <col min="33" max="33" width="10.6640625" style="1" customWidth="1"/>
    <col min="34" max="40" width="10.6640625" customWidth="1"/>
  </cols>
  <sheetData>
    <row r="1" spans="1:56" ht="17" thickBot="1" x14ac:dyDescent="0.25">
      <c r="AF1"/>
      <c r="AG1"/>
      <c r="AH1" s="1"/>
      <c r="AI1" s="1"/>
      <c r="AJ1" s="1"/>
    </row>
    <row r="2" spans="1:56" ht="17" thickBot="1" x14ac:dyDescent="0.25">
      <c r="B2" s="644" t="s">
        <v>97</v>
      </c>
      <c r="C2" s="644"/>
      <c r="D2" s="644"/>
      <c r="E2" s="644"/>
      <c r="F2" s="29"/>
      <c r="G2" s="30"/>
      <c r="H2" s="581" t="s">
        <v>98</v>
      </c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  <c r="AF2" s="559"/>
      <c r="AG2" s="559"/>
      <c r="AH2" s="559"/>
      <c r="AI2" s="559"/>
      <c r="AJ2" s="559"/>
      <c r="AK2" s="559"/>
      <c r="AL2" s="559"/>
      <c r="AM2" s="559"/>
      <c r="AN2" s="559"/>
      <c r="AO2" s="559"/>
      <c r="AP2" s="559"/>
      <c r="AQ2" s="559"/>
      <c r="AR2" s="559"/>
      <c r="AS2" s="559"/>
      <c r="AT2" s="559"/>
      <c r="AU2" s="560"/>
    </row>
    <row r="3" spans="1:56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702" t="s">
        <v>133</v>
      </c>
      <c r="S3" s="728" t="s">
        <v>99</v>
      </c>
      <c r="T3" s="729"/>
      <c r="U3" s="730"/>
      <c r="V3" s="661" t="s">
        <v>100</v>
      </c>
      <c r="W3" s="655" t="s">
        <v>7</v>
      </c>
      <c r="X3" s="647" t="s">
        <v>135</v>
      </c>
      <c r="Y3" s="648"/>
      <c r="Z3" s="648"/>
      <c r="AA3" s="648"/>
      <c r="AB3" s="648"/>
      <c r="AC3" s="648"/>
      <c r="AD3" s="723"/>
      <c r="AE3" s="647" t="s">
        <v>136</v>
      </c>
      <c r="AF3" s="648"/>
      <c r="AG3" s="648"/>
      <c r="AH3" s="648"/>
      <c r="AI3" s="648"/>
      <c r="AJ3" s="648"/>
      <c r="AK3" s="648"/>
      <c r="AL3" s="648"/>
      <c r="AM3" s="648"/>
      <c r="AN3" s="648"/>
      <c r="AO3" s="648"/>
      <c r="AP3" s="648"/>
      <c r="AQ3" s="648"/>
      <c r="AR3" s="648"/>
      <c r="AS3" s="648"/>
      <c r="AT3" s="648"/>
      <c r="AU3" s="723"/>
    </row>
    <row r="4" spans="1:56" x14ac:dyDescent="0.2">
      <c r="B4" s="102" t="s">
        <v>19</v>
      </c>
      <c r="C4" s="4" t="s">
        <v>14</v>
      </c>
      <c r="D4" s="700" t="s">
        <v>67</v>
      </c>
      <c r="E4" s="701"/>
      <c r="F4" s="148"/>
      <c r="H4" s="726" t="s">
        <v>249</v>
      </c>
      <c r="I4" s="709" t="s">
        <v>16</v>
      </c>
      <c r="J4" s="608" t="s">
        <v>17</v>
      </c>
      <c r="K4" s="607" t="s">
        <v>18</v>
      </c>
      <c r="L4" s="613"/>
      <c r="M4" s="613"/>
      <c r="N4" s="613"/>
      <c r="O4" s="613"/>
      <c r="P4" s="613"/>
      <c r="Q4" s="613"/>
      <c r="R4" s="703"/>
      <c r="S4" s="731"/>
      <c r="T4" s="732"/>
      <c r="U4" s="733"/>
      <c r="V4" s="661"/>
      <c r="W4" s="655"/>
      <c r="X4" s="711" t="s">
        <v>250</v>
      </c>
      <c r="Y4" s="712"/>
      <c r="Z4" s="724" t="s">
        <v>39</v>
      </c>
      <c r="AA4" s="605"/>
      <c r="AB4" s="605"/>
      <c r="AC4" s="605"/>
      <c r="AD4" s="725"/>
      <c r="AE4" s="696" t="s">
        <v>470</v>
      </c>
      <c r="AF4" s="696" t="s">
        <v>251</v>
      </c>
      <c r="AG4" s="724" t="s">
        <v>252</v>
      </c>
      <c r="AH4" s="605"/>
      <c r="AI4" s="725"/>
      <c r="AJ4" s="711" t="s">
        <v>253</v>
      </c>
      <c r="AK4" s="714"/>
      <c r="AL4" s="714"/>
      <c r="AM4" s="714"/>
      <c r="AN4" s="714"/>
      <c r="AO4" s="712"/>
      <c r="AP4" s="630" t="s">
        <v>254</v>
      </c>
      <c r="AQ4" s="632"/>
      <c r="AR4" s="713"/>
      <c r="AS4" s="630" t="s">
        <v>39</v>
      </c>
      <c r="AT4" s="632"/>
      <c r="AU4" s="713"/>
      <c r="BD4" s="698" t="s">
        <v>140</v>
      </c>
    </row>
    <row r="5" spans="1:56" ht="16" customHeight="1" thickBot="1" x14ac:dyDescent="0.25">
      <c r="B5" s="102" t="s">
        <v>19</v>
      </c>
      <c r="C5" s="4" t="s">
        <v>14</v>
      </c>
      <c r="D5" s="700" t="s">
        <v>71</v>
      </c>
      <c r="E5" s="701"/>
      <c r="F5" s="29"/>
      <c r="G5" s="30"/>
      <c r="H5" s="631"/>
      <c r="I5" s="710"/>
      <c r="J5" s="627"/>
      <c r="K5" s="657"/>
      <c r="L5" s="658"/>
      <c r="M5" s="658"/>
      <c r="N5" s="658"/>
      <c r="O5" s="658"/>
      <c r="P5" s="658"/>
      <c r="Q5" s="658"/>
      <c r="R5" s="704"/>
      <c r="S5" s="584" t="s">
        <v>490</v>
      </c>
      <c r="T5" s="573" t="s">
        <v>491</v>
      </c>
      <c r="U5" s="574" t="s">
        <v>492</v>
      </c>
      <c r="V5" s="662"/>
      <c r="W5" s="658"/>
      <c r="X5" s="417" t="s">
        <v>252</v>
      </c>
      <c r="Y5" s="399" t="s">
        <v>254</v>
      </c>
      <c r="Z5" s="554" t="s">
        <v>470</v>
      </c>
      <c r="AA5" s="402" t="s">
        <v>42</v>
      </c>
      <c r="AB5" s="403" t="s">
        <v>255</v>
      </c>
      <c r="AC5" s="403" t="s">
        <v>256</v>
      </c>
      <c r="AD5" s="416" t="s">
        <v>11</v>
      </c>
      <c r="AE5" s="629"/>
      <c r="AF5" s="629"/>
      <c r="AG5" s="407" t="s">
        <v>250</v>
      </c>
      <c r="AH5" s="398" t="s">
        <v>134</v>
      </c>
      <c r="AI5" s="399" t="s">
        <v>257</v>
      </c>
      <c r="AJ5" s="407" t="s">
        <v>250</v>
      </c>
      <c r="AK5" s="398" t="s">
        <v>258</v>
      </c>
      <c r="AL5" s="398" t="s">
        <v>259</v>
      </c>
      <c r="AM5" s="398" t="s">
        <v>134</v>
      </c>
      <c r="AN5" s="398" t="s">
        <v>257</v>
      </c>
      <c r="AO5" s="399" t="s">
        <v>260</v>
      </c>
      <c r="AP5" s="407" t="s">
        <v>250</v>
      </c>
      <c r="AQ5" s="398" t="s">
        <v>134</v>
      </c>
      <c r="AR5" s="399" t="s">
        <v>257</v>
      </c>
      <c r="AS5" s="407" t="s">
        <v>42</v>
      </c>
      <c r="AT5" s="398" t="s">
        <v>11</v>
      </c>
      <c r="AU5" s="399" t="s">
        <v>261</v>
      </c>
      <c r="BD5" s="629"/>
    </row>
    <row r="6" spans="1:56" x14ac:dyDescent="0.2">
      <c r="B6" s="102" t="s">
        <v>19</v>
      </c>
      <c r="C6" s="4" t="s">
        <v>14</v>
      </c>
      <c r="D6" s="700" t="s">
        <v>20</v>
      </c>
      <c r="E6" s="701"/>
      <c r="F6" s="29"/>
      <c r="G6" s="30"/>
      <c r="H6" s="102" t="s">
        <v>294</v>
      </c>
      <c r="I6" s="330" t="s">
        <v>160</v>
      </c>
      <c r="J6" s="109" t="s">
        <v>295</v>
      </c>
      <c r="K6" s="408" t="s">
        <v>296</v>
      </c>
      <c r="L6" s="400"/>
      <c r="M6" s="400"/>
      <c r="N6" s="400"/>
      <c r="O6" s="400"/>
      <c r="P6" s="400"/>
      <c r="Q6" s="400"/>
      <c r="R6" s="446" t="s">
        <v>26</v>
      </c>
      <c r="S6" s="585">
        <v>5</v>
      </c>
      <c r="T6" s="589">
        <v>8</v>
      </c>
      <c r="U6" s="437">
        <f>IF(OR(S6="",T6=""),"-",AVERAGE(S6,T6))</f>
        <v>6.5</v>
      </c>
      <c r="V6" s="437">
        <f>IF(OR($C$37=0,$U6="-"),"-",IF($C$37=0,0,ROUNDUP(U6*8/$C$37,0)))</f>
        <v>10</v>
      </c>
      <c r="W6" s="115"/>
      <c r="X6" s="413">
        <f>IFERROR(IF(VLOOKUP($J6, 'Jira Data'!$A:$R, 6, FALSE)="", "-", VLOOKUP($J6, 'Jira Data'!$A:$R, 6, FALSE)), "-")</f>
        <v>45565</v>
      </c>
      <c r="Y6" s="418">
        <f>IFERROR(IF(VLOOKUP($J6, 'Jira Data'!$A:$R, 7, FALSE)="", "-", VLOOKUP($J6, 'Jira Data'!$A:$R, 7, FALSE)), "-")</f>
        <v>45586</v>
      </c>
      <c r="Z6" s="569" cm="1">
        <f t="array" ref="Z6">CountUniquePeopleByTask($I6,$K$43:$AS$49,$I$43:$J$49)</f>
        <v>1</v>
      </c>
      <c r="AA6" s="111">
        <f t="shared" ref="AA6:AA25" si="0">COUNTIF($K$43:$AN$49,I6)</f>
        <v>10</v>
      </c>
      <c r="AB6" s="438" t="str">
        <f>IF(OR(V6="-",AA6="",V6=0,AA6=0),"-",IF(AA6&gt;V6,"Excess",IF(AA6=V6,"Aligned",IF(V6-AA6&lt;=3,"Attention",IF(V6-AA6&lt;=5,"Risk","Short")))))</f>
        <v>Aligned</v>
      </c>
      <c r="AC6" s="46">
        <f t="shared" ref="AC6:AC25" si="1">IF($AA$26=0,0,AA6/$AA$26)</f>
        <v>4.7619047619047616E-2</v>
      </c>
      <c r="AD6" s="412">
        <f t="shared" ref="AD6:AD25" si="2">AA6*$C$37</f>
        <v>54.433333333333344</v>
      </c>
      <c r="AE6" s="566" cm="1">
        <f t="array" ref="AE6">CountUniquePeopleByTask($I6,$K$31:$AS$37,$I$31:$J$37)</f>
        <v>1</v>
      </c>
      <c r="AF6" s="451" t="str">
        <f>IFERROR(VLOOKUP($J6, 'Jira Data'!$A:$R, 3, FALSE), "-")</f>
        <v>7 PI Started</v>
      </c>
      <c r="AG6" s="411">
        <f>IFERROR(IF(VLOOKUP($J6, 'Jira Data'!$A:$R, 8, FALSE)="","-",VLOOKUP($J6, 'Jira Data'!$A:$R, 8, FALSE)),"-")</f>
        <v>45565</v>
      </c>
      <c r="AH6" s="45" t="str">
        <f>IFERROR(VLOOKUP($J6, 'Jira Data'!$A:$R, 11, FALSE), "-")</f>
        <v>On Time</v>
      </c>
      <c r="AI6" s="424">
        <f>IFERROR(VLOOKUP($J6, 'Jira Data'!$A:$R, 12, FALSE), "-")</f>
        <v>0</v>
      </c>
      <c r="AJ6" s="411">
        <f>IFERROR(IF(VLOOKUP($J6, 'Jira Data'!$A:$R, 9, FALSE)="","-",VLOOKUP($J6, 'Jira Data'!$A:$R, 9, FALSE)), "-")</f>
        <v>45586</v>
      </c>
      <c r="AK6" s="429" t="str">
        <f t="shared" ref="AK6:AK25" si="3">IF(OR(Y6="",AJ6="",Y6="-",AJ6="-"),"-",IF(AJ6&gt;Y6,"Postponed",IF(AJ6=Y6,"No change","Advanced")))</f>
        <v>No change</v>
      </c>
      <c r="AL6" s="45">
        <f t="shared" ref="AL6:AL25" si="4">IF(OR(Y6="",AJ6="",Y6="-",AJ6="-"),"-",IF(ABS(NETWORKDAYS(Y6,AJ6))=0,0,ABS(NETWORKDAYS(Y6,AJ6))-1))</f>
        <v>0</v>
      </c>
      <c r="AM6" s="45" t="str">
        <f ca="1">IFERROR(VLOOKUP($J6, 'Jira Data'!$A:$R, 15, FALSE), "-")</f>
        <v>On Track</v>
      </c>
      <c r="AN6" s="45" t="str">
        <f ca="1">IFERROR(VLOOKUP($J6, 'Jira Data'!$A:$R, 16, FALSE), "-")</f>
        <v>-</v>
      </c>
      <c r="AO6" s="424">
        <f ca="1">IFERROR(VLOOKUP($J6, 'Jira Data'!$A:$R, 18, FALSE), "-")</f>
        <v>15</v>
      </c>
      <c r="AP6" s="411" t="str">
        <f>IFERROR(IF(VLOOKUP($J6, 'Jira Data'!$A:$R, 10, FALSE)="", "-", VLOOKUP($J6, 'Jira Data'!$A:$R, 10, FALSE)), "-")</f>
        <v>-</v>
      </c>
      <c r="AQ6" s="45" t="str">
        <f ca="1">IFERROR(VLOOKUP($J6, 'Jira Data'!$A:$R, 13, FALSE), "-")</f>
        <v>On Track</v>
      </c>
      <c r="AR6" s="424">
        <f ca="1">IFERROR(VLOOKUP($J6, 'Jira Data'!$A:$R, 14, FALSE), "-")</f>
        <v>0</v>
      </c>
      <c r="AS6" s="111">
        <f t="shared" ref="AS6:AS13" si="5">COUNTIF($K$31:$AN$37,$I6)</f>
        <v>10</v>
      </c>
      <c r="AT6" s="431">
        <f t="shared" ref="AT6:AT25" si="6">AS6*$C$37</f>
        <v>54.433333333333344</v>
      </c>
      <c r="AU6" s="432">
        <f t="shared" ref="AU6:AU25" si="7">IF(OR(AA6="",AA6=0,AS6="",AS6=0),"-",(AS6-AA6)/AA6)</f>
        <v>0</v>
      </c>
      <c r="BD6" s="180" t="s">
        <v>26</v>
      </c>
    </row>
    <row r="7" spans="1:56" x14ac:dyDescent="0.2">
      <c r="A7" s="147"/>
      <c r="B7" s="102" t="s">
        <v>19</v>
      </c>
      <c r="C7" s="143" t="s">
        <v>14</v>
      </c>
      <c r="D7" s="700" t="s">
        <v>63</v>
      </c>
      <c r="E7" s="701"/>
      <c r="F7" s="29"/>
      <c r="G7" s="30"/>
      <c r="H7" s="102" t="s">
        <v>297</v>
      </c>
      <c r="I7" s="511" t="s">
        <v>298</v>
      </c>
      <c r="J7" s="11" t="s">
        <v>299</v>
      </c>
      <c r="K7" s="23" t="s">
        <v>300</v>
      </c>
      <c r="L7" s="24"/>
      <c r="M7" s="24"/>
      <c r="N7" s="24"/>
      <c r="O7" s="24"/>
      <c r="P7" s="24"/>
      <c r="Q7" s="24"/>
      <c r="R7" s="441" t="s">
        <v>26</v>
      </c>
      <c r="S7" s="586">
        <v>10</v>
      </c>
      <c r="T7" s="52">
        <v>17</v>
      </c>
      <c r="U7" s="117">
        <f t="shared" ref="U7:U25" si="8">IF(OR(S7="",T7=""),"-",AVERAGE(S7,T7))</f>
        <v>13.5</v>
      </c>
      <c r="V7" s="117">
        <f t="shared" ref="V7:V25" si="9">IF(OR($C$37=0,$U7="-"),"-",IF($C$37=0,0,ROUNDUP(U7*8/$C$37,0)))</f>
        <v>20</v>
      </c>
      <c r="W7" s="113"/>
      <c r="X7" s="413">
        <f>IFERROR(IF(VLOOKUP($J7, 'Jira Data'!$A:$R, 6, FALSE)="", "-", VLOOKUP($J7, 'Jira Data'!$A:$R, 6, FALSE)), "-")</f>
        <v>45565</v>
      </c>
      <c r="Y7" s="419">
        <f>IFERROR(IF(VLOOKUP($J7, 'Jira Data'!$A:$R, 7, FALSE)="", "-", VLOOKUP($J7, 'Jira Data'!$A:$R, 7, FALSE)), "-")</f>
        <v>45590</v>
      </c>
      <c r="Z7" s="567" cm="1">
        <f t="array" ref="Z7">CountUniquePeopleByTask($I7,$K$43:$AS$49,$I$43:$J$49)</f>
        <v>1</v>
      </c>
      <c r="AA7" s="49">
        <f t="shared" si="0"/>
        <v>18</v>
      </c>
      <c r="AB7" s="439" t="str">
        <f t="shared" ref="AB7:AB25" si="10">IF(OR(V7="-",AA7="",V7=0,AA7=0),"-",IF(AA7&gt;V7,"Excess",IF(AA7=V7,"Aligned",IF(V7-AA7&lt;=3,"Attention",IF(V7-AA7&lt;=5,"Risk","Short")))))</f>
        <v>Attention</v>
      </c>
      <c r="AC7" s="35">
        <f t="shared" si="1"/>
        <v>8.5714285714285715E-2</v>
      </c>
      <c r="AD7" s="422">
        <f t="shared" si="2"/>
        <v>97.980000000000018</v>
      </c>
      <c r="AE7" s="567" cm="1">
        <f t="array" ref="AE7">CountUniquePeopleByTask($I7,$K$31:$AS$37,$I$31:$J$37)</f>
        <v>1</v>
      </c>
      <c r="AF7" s="452" t="str">
        <f>IFERROR(VLOOKUP($J7, 'Jira Data'!$A:$R, 3, FALSE), "-")</f>
        <v>6 Epic Backlog</v>
      </c>
      <c r="AG7" s="425" t="str">
        <f>IFERROR(IF(VLOOKUP($J7, 'Jira Data'!$A:$R, 8, FALSE)="","-",VLOOKUP($J7, 'Jira Data'!$A:$R, 8, FALSE)),"-")</f>
        <v>-</v>
      </c>
      <c r="AH7" s="16" t="str">
        <f>IFERROR(VLOOKUP($J7, 'Jira Data'!$A:$R, 11, FALSE), "-")</f>
        <v>Not Started</v>
      </c>
      <c r="AI7" s="426" t="str">
        <f>IFERROR(VLOOKUP($J7, 'Jira Data'!$A:$R, 12, FALSE), "-")</f>
        <v>-</v>
      </c>
      <c r="AJ7" s="425">
        <f>IFERROR(IF(VLOOKUP($J7, 'Jira Data'!$A:$R, 9, FALSE)="","-",VLOOKUP($J7, 'Jira Data'!$A:$R, 9, FALSE)), "-")</f>
        <v>45590</v>
      </c>
      <c r="AK7" s="415" t="str">
        <f t="shared" si="3"/>
        <v>No change</v>
      </c>
      <c r="AL7" s="16">
        <f t="shared" si="4"/>
        <v>0</v>
      </c>
      <c r="AM7" s="16" t="str">
        <f ca="1">IFERROR(VLOOKUP($J7, 'Jira Data'!$A:$R, 15, FALSE), "-")</f>
        <v>Not Started</v>
      </c>
      <c r="AN7" s="16" t="str">
        <f ca="1">IFERROR(VLOOKUP($J7, 'Jira Data'!$A:$R, 16, FALSE), "-")</f>
        <v>-</v>
      </c>
      <c r="AO7" s="426">
        <f ca="1">IFERROR(VLOOKUP($J7, 'Jira Data'!$A:$R, 18, FALSE), "-")</f>
        <v>19</v>
      </c>
      <c r="AP7" s="425" t="str">
        <f>IFERROR(IF(VLOOKUP($J7, 'Jira Data'!$A:$R, 10, FALSE)="", "-", VLOOKUP($J7, 'Jira Data'!$A:$R, 10, FALSE)), "-")</f>
        <v>-</v>
      </c>
      <c r="AQ7" s="16" t="str">
        <f ca="1">IFERROR(VLOOKUP($J7, 'Jira Data'!$A:$R, 13, FALSE), "-")</f>
        <v>Not Started</v>
      </c>
      <c r="AR7" s="426">
        <f ca="1">IFERROR(VLOOKUP($J7, 'Jira Data'!$A:$R, 14, FALSE), "-")</f>
        <v>0</v>
      </c>
      <c r="AS7" s="49">
        <f t="shared" si="5"/>
        <v>18</v>
      </c>
      <c r="AT7" s="90">
        <f t="shared" si="6"/>
        <v>97.980000000000018</v>
      </c>
      <c r="AU7" s="433">
        <f t="shared" si="7"/>
        <v>0</v>
      </c>
      <c r="BD7" s="181" t="s">
        <v>149</v>
      </c>
    </row>
    <row r="8" spans="1:56" x14ac:dyDescent="0.2">
      <c r="A8" s="147"/>
      <c r="B8" s="102" t="s">
        <v>19</v>
      </c>
      <c r="C8" s="4" t="s">
        <v>14</v>
      </c>
      <c r="D8" s="700" t="s">
        <v>58</v>
      </c>
      <c r="E8" s="701"/>
      <c r="F8" s="29"/>
      <c r="G8" s="30"/>
      <c r="H8" s="102" t="s">
        <v>301</v>
      </c>
      <c r="I8" s="542" t="s">
        <v>167</v>
      </c>
      <c r="J8" s="11" t="s">
        <v>302</v>
      </c>
      <c r="K8" s="23" t="s">
        <v>303</v>
      </c>
      <c r="L8" s="24"/>
      <c r="M8" s="24"/>
      <c r="N8" s="24"/>
      <c r="O8" s="24"/>
      <c r="P8" s="24"/>
      <c r="Q8" s="24"/>
      <c r="R8" s="441" t="s">
        <v>26</v>
      </c>
      <c r="S8" s="586">
        <v>11</v>
      </c>
      <c r="T8" s="52">
        <v>15</v>
      </c>
      <c r="U8" s="117">
        <f t="shared" si="8"/>
        <v>13</v>
      </c>
      <c r="V8" s="117">
        <f t="shared" si="9"/>
        <v>20</v>
      </c>
      <c r="W8" s="113"/>
      <c r="X8" s="413">
        <f>IFERROR(IF(VLOOKUP($J8, 'Jira Data'!$A:$R, 6, FALSE)="", "-", VLOOKUP($J8, 'Jira Data'!$A:$R, 6, FALSE)), "-")</f>
        <v>45565</v>
      </c>
      <c r="Y8" s="419">
        <f>IFERROR(IF(VLOOKUP($J8, 'Jira Data'!$A:$R, 7, FALSE)="", "-", VLOOKUP($J8, 'Jira Data'!$A:$R, 7, FALSE)), "-")</f>
        <v>45595</v>
      </c>
      <c r="Z8" s="567" cm="1">
        <f t="array" ref="Z8">CountUniquePeopleByTask($I8,$K$43:$AS$49,$I$43:$J$49)</f>
        <v>1</v>
      </c>
      <c r="AA8" s="49">
        <f t="shared" si="0"/>
        <v>20</v>
      </c>
      <c r="AB8" s="439" t="str">
        <f t="shared" si="10"/>
        <v>Aligned</v>
      </c>
      <c r="AC8" s="35">
        <f t="shared" si="1"/>
        <v>9.5238095238095233E-2</v>
      </c>
      <c r="AD8" s="422">
        <f t="shared" si="2"/>
        <v>108.86666666666669</v>
      </c>
      <c r="AE8" s="567" cm="1">
        <f t="array" ref="AE8">CountUniquePeopleByTask($I8,$K$31:$AS$37,$I$31:$J$37)</f>
        <v>1</v>
      </c>
      <c r="AF8" s="452" t="str">
        <f>IFERROR(VLOOKUP($J8, 'Jira Data'!$A:$R, 3, FALSE), "-")</f>
        <v>7 PI Started</v>
      </c>
      <c r="AG8" s="425">
        <f>IFERROR(IF(VLOOKUP($J8, 'Jira Data'!$A:$R, 8, FALSE)="","-",VLOOKUP($J8, 'Jira Data'!$A:$R, 8, FALSE)),"-")</f>
        <v>45565</v>
      </c>
      <c r="AH8" s="16" t="str">
        <f>IFERROR(VLOOKUP($J8, 'Jira Data'!$A:$R, 11, FALSE), "-")</f>
        <v>On Time</v>
      </c>
      <c r="AI8" s="426">
        <f>IFERROR(VLOOKUP($J8, 'Jira Data'!$A:$R, 12, FALSE), "-")</f>
        <v>0</v>
      </c>
      <c r="AJ8" s="425">
        <f>IFERROR(IF(VLOOKUP($J8, 'Jira Data'!$A:$R, 9, FALSE)="","-",VLOOKUP($J8, 'Jira Data'!$A:$R, 9, FALSE)), "-")</f>
        <v>45595</v>
      </c>
      <c r="AK8" s="415" t="str">
        <f t="shared" si="3"/>
        <v>No change</v>
      </c>
      <c r="AL8" s="16">
        <f t="shared" si="4"/>
        <v>0</v>
      </c>
      <c r="AM8" s="16" t="str">
        <f ca="1">IFERROR(VLOOKUP($J8, 'Jira Data'!$A:$R, 15, FALSE), "-")</f>
        <v>On Track</v>
      </c>
      <c r="AN8" s="16" t="str">
        <f ca="1">IFERROR(VLOOKUP($J8, 'Jira Data'!$A:$R, 16, FALSE), "-")</f>
        <v>-</v>
      </c>
      <c r="AO8" s="426">
        <f ca="1">IFERROR(VLOOKUP($J8, 'Jira Data'!$A:$R, 18, FALSE), "-")</f>
        <v>22</v>
      </c>
      <c r="AP8" s="425" t="str">
        <f>IFERROR(IF(VLOOKUP($J8, 'Jira Data'!$A:$R, 10, FALSE)="", "-", VLOOKUP($J8, 'Jira Data'!$A:$R, 10, FALSE)), "-")</f>
        <v>-</v>
      </c>
      <c r="AQ8" s="16" t="str">
        <f ca="1">IFERROR(VLOOKUP($J8, 'Jira Data'!$A:$R, 13, FALSE), "-")</f>
        <v>On Track</v>
      </c>
      <c r="AR8" s="426">
        <f ca="1">IFERROR(VLOOKUP($J8, 'Jira Data'!$A:$R, 14, FALSE), "-")</f>
        <v>0</v>
      </c>
      <c r="AS8" s="49">
        <f t="shared" si="5"/>
        <v>20</v>
      </c>
      <c r="AT8" s="90">
        <f t="shared" si="6"/>
        <v>108.86666666666669</v>
      </c>
      <c r="AU8" s="433">
        <f t="shared" si="7"/>
        <v>0</v>
      </c>
      <c r="BD8" s="181" t="s">
        <v>152</v>
      </c>
    </row>
    <row r="9" spans="1:56" x14ac:dyDescent="0.2">
      <c r="A9" s="147"/>
      <c r="B9" s="146" t="s">
        <v>19</v>
      </c>
      <c r="C9" s="323" t="s">
        <v>14</v>
      </c>
      <c r="D9" s="700" t="s">
        <v>156</v>
      </c>
      <c r="E9" s="701"/>
      <c r="F9" s="29"/>
      <c r="G9" s="30"/>
      <c r="H9" s="326" t="s">
        <v>308</v>
      </c>
      <c r="I9" s="541" t="s">
        <v>305</v>
      </c>
      <c r="J9" s="516" t="s">
        <v>306</v>
      </c>
      <c r="K9" s="538" t="s">
        <v>307</v>
      </c>
      <c r="L9" s="539"/>
      <c r="M9" s="539"/>
      <c r="N9" s="539"/>
      <c r="O9" s="539"/>
      <c r="P9" s="539"/>
      <c r="Q9" s="539"/>
      <c r="R9" s="447" t="s">
        <v>26</v>
      </c>
      <c r="S9" s="587">
        <f>1+1+2+1+1+3+2+1+1+1+1</f>
        <v>15</v>
      </c>
      <c r="T9" s="126">
        <f>2+2+4+2+2+6+3+2+2+2+2</f>
        <v>29</v>
      </c>
      <c r="U9" s="117">
        <f t="shared" si="8"/>
        <v>22</v>
      </c>
      <c r="V9" s="117">
        <f t="shared" si="9"/>
        <v>33</v>
      </c>
      <c r="W9" s="113"/>
      <c r="X9" s="413">
        <f>IFERROR(IF(VLOOKUP($J9, 'Jira Data'!$A:$R, 6, FALSE)="", "-", VLOOKUP($J9, 'Jira Data'!$A:$R, 6, FALSE)), "-")</f>
        <v>45565</v>
      </c>
      <c r="Y9" s="419">
        <f>IFERROR(IF(VLOOKUP($J9, 'Jira Data'!$A:$R, 7, FALSE)="", "-", VLOOKUP($J9, 'Jira Data'!$A:$R, 7, FALSE)), "-")</f>
        <v>45604</v>
      </c>
      <c r="Z9" s="567" cm="1">
        <f t="array" ref="Z9">CountUniquePeopleByTask($I9,$K$43:$AS$49,$I$43:$J$49)</f>
        <v>1</v>
      </c>
      <c r="AA9" s="49">
        <f t="shared" si="0"/>
        <v>26</v>
      </c>
      <c r="AB9" s="439" t="str">
        <f t="shared" si="10"/>
        <v>Short</v>
      </c>
      <c r="AC9" s="35">
        <f t="shared" si="1"/>
        <v>0.12380952380952381</v>
      </c>
      <c r="AD9" s="422">
        <f t="shared" si="2"/>
        <v>141.5266666666667</v>
      </c>
      <c r="AE9" s="567" cm="1">
        <f t="array" ref="AE9">CountUniquePeopleByTask($I9,$K$31:$AS$37,$I$31:$J$37)</f>
        <v>1</v>
      </c>
      <c r="AF9" s="452" t="str">
        <f>IFERROR(VLOOKUP($J9, 'Jira Data'!$A:$R, 3, FALSE), "-")</f>
        <v>7 PI Started</v>
      </c>
      <c r="AG9" s="425">
        <f>IFERROR(IF(VLOOKUP($J9, 'Jira Data'!$A:$R, 8, FALSE)="","-",VLOOKUP($J9, 'Jira Data'!$A:$R, 8, FALSE)),"-")</f>
        <v>45565</v>
      </c>
      <c r="AH9" s="16" t="str">
        <f>IFERROR(VLOOKUP($J9, 'Jira Data'!$A:$R, 11, FALSE), "-")</f>
        <v>On Time</v>
      </c>
      <c r="AI9" s="426">
        <f>IFERROR(VLOOKUP($J9, 'Jira Data'!$A:$R, 12, FALSE), "-")</f>
        <v>0</v>
      </c>
      <c r="AJ9" s="425">
        <f>IFERROR(IF(VLOOKUP($J9, 'Jira Data'!$A:$R, 9, FALSE)="","-",VLOOKUP($J9, 'Jira Data'!$A:$R, 9, FALSE)), "-")</f>
        <v>45604</v>
      </c>
      <c r="AK9" s="415" t="str">
        <f t="shared" si="3"/>
        <v>No change</v>
      </c>
      <c r="AL9" s="16">
        <f t="shared" si="4"/>
        <v>0</v>
      </c>
      <c r="AM9" s="16" t="str">
        <f ca="1">IFERROR(VLOOKUP($J9, 'Jira Data'!$A:$R, 15, FALSE), "-")</f>
        <v>On Track</v>
      </c>
      <c r="AN9" s="16" t="str">
        <f ca="1">IFERROR(VLOOKUP($J9, 'Jira Data'!$A:$R, 16, FALSE), "-")</f>
        <v>-</v>
      </c>
      <c r="AO9" s="426">
        <f ca="1">IFERROR(VLOOKUP($J9, 'Jira Data'!$A:$R, 18, FALSE), "-")</f>
        <v>29</v>
      </c>
      <c r="AP9" s="425" t="str">
        <f>IFERROR(IF(VLOOKUP($J9, 'Jira Data'!$A:$R, 10, FALSE)="", "-", VLOOKUP($J9, 'Jira Data'!$A:$R, 10, FALSE)), "-")</f>
        <v>-</v>
      </c>
      <c r="AQ9" s="16" t="str">
        <f ca="1">IFERROR(VLOOKUP($J9, 'Jira Data'!$A:$R, 13, FALSE), "-")</f>
        <v>On Track</v>
      </c>
      <c r="AR9" s="426">
        <f ca="1">IFERROR(VLOOKUP($J9, 'Jira Data'!$A:$R, 14, FALSE), "-")</f>
        <v>0</v>
      </c>
      <c r="AS9" s="49">
        <f t="shared" si="5"/>
        <v>26</v>
      </c>
      <c r="AT9" s="90">
        <f t="shared" si="6"/>
        <v>141.5266666666667</v>
      </c>
      <c r="AU9" s="433">
        <f t="shared" si="7"/>
        <v>0</v>
      </c>
      <c r="BD9" s="194" t="s">
        <v>29</v>
      </c>
    </row>
    <row r="10" spans="1:56" ht="17" thickBot="1" x14ac:dyDescent="0.25">
      <c r="B10" s="326" t="s">
        <v>19</v>
      </c>
      <c r="C10" s="4" t="s">
        <v>14</v>
      </c>
      <c r="D10" s="715" t="s">
        <v>115</v>
      </c>
      <c r="E10" s="716"/>
      <c r="F10" s="29"/>
      <c r="G10" s="30"/>
      <c r="H10" s="102" t="s">
        <v>505</v>
      </c>
      <c r="I10" s="518" t="s">
        <v>309</v>
      </c>
      <c r="J10" s="11" t="s">
        <v>310</v>
      </c>
      <c r="K10" s="23" t="s">
        <v>311</v>
      </c>
      <c r="L10" s="24"/>
      <c r="M10" s="24"/>
      <c r="N10" s="24"/>
      <c r="O10" s="24"/>
      <c r="P10" s="24"/>
      <c r="Q10" s="24"/>
      <c r="R10" s="441" t="s">
        <v>26</v>
      </c>
      <c r="S10" s="586">
        <v>7</v>
      </c>
      <c r="T10" s="52">
        <v>11</v>
      </c>
      <c r="U10" s="117">
        <f t="shared" si="8"/>
        <v>9</v>
      </c>
      <c r="V10" s="117">
        <f t="shared" si="9"/>
        <v>14</v>
      </c>
      <c r="W10" s="113"/>
      <c r="X10" s="413">
        <f>IFERROR(IF(VLOOKUP($J10, 'Jira Data'!$A:$R, 6, FALSE)="", "-", VLOOKUP($J10, 'Jira Data'!$A:$R, 6, FALSE)), "-")</f>
        <v>45593</v>
      </c>
      <c r="Y10" s="419">
        <f>IFERROR(IF(VLOOKUP($J10, 'Jira Data'!$A:$R, 7, FALSE)="", "-", VLOOKUP($J10, 'Jira Data'!$A:$R, 7, FALSE)), "-")</f>
        <v>45604</v>
      </c>
      <c r="Z10" s="567" cm="1">
        <f t="array" ref="Z10">CountUniquePeopleByTask($I10,$K$43:$AS$49,$I$43:$J$49)</f>
        <v>2</v>
      </c>
      <c r="AA10" s="49">
        <f t="shared" si="0"/>
        <v>14</v>
      </c>
      <c r="AB10" s="439" t="str">
        <f t="shared" si="10"/>
        <v>Aligned</v>
      </c>
      <c r="AC10" s="35">
        <f t="shared" si="1"/>
        <v>6.6666666666666666E-2</v>
      </c>
      <c r="AD10" s="422">
        <f t="shared" si="2"/>
        <v>76.206666666666678</v>
      </c>
      <c r="AE10" s="567" cm="1">
        <f t="array" ref="AE10">CountUniquePeopleByTask($I10,$K$31:$AS$37,$I$31:$J$37)</f>
        <v>2</v>
      </c>
      <c r="AF10" s="452" t="str">
        <f>IFERROR(VLOOKUP($J10, 'Jira Data'!$A:$R, 3, FALSE), "-")</f>
        <v>6 Epic Backlog</v>
      </c>
      <c r="AG10" s="425" t="str">
        <f>IFERROR(IF(VLOOKUP($J10, 'Jira Data'!$A:$R, 8, FALSE)="","-",VLOOKUP($J10, 'Jira Data'!$A:$R, 8, FALSE)),"-")</f>
        <v>-</v>
      </c>
      <c r="AH10" s="16" t="str">
        <f>IFERROR(VLOOKUP($J10, 'Jira Data'!$A:$R, 11, FALSE), "-")</f>
        <v>Not Started</v>
      </c>
      <c r="AI10" s="426" t="str">
        <f>IFERROR(VLOOKUP($J10, 'Jira Data'!$A:$R, 12, FALSE), "-")</f>
        <v>-</v>
      </c>
      <c r="AJ10" s="425">
        <f>IFERROR(IF(VLOOKUP($J10, 'Jira Data'!$A:$R, 9, FALSE)="","-",VLOOKUP($J10, 'Jira Data'!$A:$R, 9, FALSE)), "-")</f>
        <v>45604</v>
      </c>
      <c r="AK10" s="415" t="str">
        <f t="shared" si="3"/>
        <v>No change</v>
      </c>
      <c r="AL10" s="16">
        <f t="shared" si="4"/>
        <v>0</v>
      </c>
      <c r="AM10" s="16" t="str">
        <f ca="1">IFERROR(VLOOKUP($J10, 'Jira Data'!$A:$R, 15, FALSE), "-")</f>
        <v>Not Started</v>
      </c>
      <c r="AN10" s="16" t="str">
        <f ca="1">IFERROR(VLOOKUP($J10, 'Jira Data'!$A:$R, 16, FALSE), "-")</f>
        <v>-</v>
      </c>
      <c r="AO10" s="426">
        <f ca="1">IFERROR(VLOOKUP($J10, 'Jira Data'!$A:$R, 18, FALSE), "-")</f>
        <v>29</v>
      </c>
      <c r="AP10" s="425" t="str">
        <f>IFERROR(IF(VLOOKUP($J10, 'Jira Data'!$A:$R, 10, FALSE)="", "-", VLOOKUP($J10, 'Jira Data'!$A:$R, 10, FALSE)), "-")</f>
        <v>-</v>
      </c>
      <c r="AQ10" s="16" t="str">
        <f ca="1">IFERROR(VLOOKUP($J10, 'Jira Data'!$A:$R, 13, FALSE), "-")</f>
        <v>Not Started</v>
      </c>
      <c r="AR10" s="426">
        <f ca="1">IFERROR(VLOOKUP($J10, 'Jira Data'!$A:$R, 14, FALSE), "-")</f>
        <v>0</v>
      </c>
      <c r="AS10" s="49">
        <f t="shared" si="5"/>
        <v>14</v>
      </c>
      <c r="AT10" s="90">
        <f t="shared" si="6"/>
        <v>76.206666666666678</v>
      </c>
      <c r="AU10" s="433">
        <f t="shared" si="7"/>
        <v>0</v>
      </c>
      <c r="BD10" s="182" t="s">
        <v>23</v>
      </c>
    </row>
    <row r="11" spans="1:56" ht="17" thickBot="1" x14ac:dyDescent="0.25">
      <c r="B11" s="324"/>
      <c r="C11" s="325"/>
      <c r="D11" s="717"/>
      <c r="E11" s="718"/>
      <c r="F11" s="29"/>
      <c r="G11" s="30"/>
      <c r="H11" s="102" t="s">
        <v>312</v>
      </c>
      <c r="I11" s="329" t="s">
        <v>267</v>
      </c>
      <c r="J11" s="11" t="s">
        <v>313</v>
      </c>
      <c r="K11" s="23" t="s">
        <v>314</v>
      </c>
      <c r="L11" s="24"/>
      <c r="M11" s="24"/>
      <c r="N11" s="24"/>
      <c r="O11" s="24"/>
      <c r="P11" s="24"/>
      <c r="Q11" s="24"/>
      <c r="R11" s="441" t="s">
        <v>149</v>
      </c>
      <c r="S11" s="586">
        <v>24</v>
      </c>
      <c r="T11" s="52">
        <v>37</v>
      </c>
      <c r="U11" s="117">
        <f t="shared" si="8"/>
        <v>30.5</v>
      </c>
      <c r="V11" s="117">
        <f t="shared" si="9"/>
        <v>45</v>
      </c>
      <c r="W11" s="113"/>
      <c r="X11" s="413">
        <f>IFERROR(IF(VLOOKUP($J11, 'Jira Data'!$A:$R, 6, FALSE)="", "-", VLOOKUP($J11, 'Jira Data'!$A:$R, 6, FALSE)), "-")</f>
        <v>45565</v>
      </c>
      <c r="Y11" s="419">
        <f>IFERROR(IF(VLOOKUP($J11, 'Jira Data'!$A:$R, 7, FALSE)="", "-", VLOOKUP($J11, 'Jira Data'!$A:$R, 7, FALSE)), "-")</f>
        <v>45604</v>
      </c>
      <c r="Z11" s="567" cm="1">
        <f t="array" ref="Z11">CountUniquePeopleByTask($I11,$K$43:$AS$49,$I$43:$J$49)</f>
        <v>1</v>
      </c>
      <c r="AA11" s="49">
        <f t="shared" si="0"/>
        <v>30</v>
      </c>
      <c r="AB11" s="439" t="str">
        <f t="shared" si="10"/>
        <v>Short</v>
      </c>
      <c r="AC11" s="35">
        <f t="shared" si="1"/>
        <v>0.14285714285714285</v>
      </c>
      <c r="AD11" s="422">
        <f t="shared" si="2"/>
        <v>163.30000000000004</v>
      </c>
      <c r="AE11" s="567" cm="1">
        <f t="array" ref="AE11">CountUniquePeopleByTask($I11,$K$31:$AS$37,$I$31:$J$37)</f>
        <v>1</v>
      </c>
      <c r="AF11" s="452" t="str">
        <f>IFERROR(VLOOKUP($J11, 'Jira Data'!$A:$R, 3, FALSE), "-")</f>
        <v>7 PI Started</v>
      </c>
      <c r="AG11" s="425">
        <f>IFERROR(IF(VLOOKUP($J11, 'Jira Data'!$A:$R, 8, FALSE)="","-",VLOOKUP($J11, 'Jira Data'!$A:$R, 8, FALSE)),"-")</f>
        <v>45565</v>
      </c>
      <c r="AH11" s="16" t="str">
        <f>IFERROR(VLOOKUP($J11, 'Jira Data'!$A:$R, 11, FALSE), "-")</f>
        <v>On Time</v>
      </c>
      <c r="AI11" s="426">
        <f>IFERROR(VLOOKUP($J11, 'Jira Data'!$A:$R, 12, FALSE), "-")</f>
        <v>0</v>
      </c>
      <c r="AJ11" s="425">
        <f>IFERROR(IF(VLOOKUP($J11, 'Jira Data'!$A:$R, 9, FALSE)="","-",VLOOKUP($J11, 'Jira Data'!$A:$R, 9, FALSE)), "-")</f>
        <v>45604</v>
      </c>
      <c r="AK11" s="415" t="str">
        <f t="shared" si="3"/>
        <v>No change</v>
      </c>
      <c r="AL11" s="16">
        <f t="shared" si="4"/>
        <v>0</v>
      </c>
      <c r="AM11" s="16" t="str">
        <f ca="1">IFERROR(VLOOKUP($J11, 'Jira Data'!$A:$R, 15, FALSE), "-")</f>
        <v>On Track</v>
      </c>
      <c r="AN11" s="16" t="str">
        <f ca="1">IFERROR(VLOOKUP($J11, 'Jira Data'!$A:$R, 16, FALSE), "-")</f>
        <v>-</v>
      </c>
      <c r="AO11" s="426">
        <f ca="1">IFERROR(VLOOKUP($J11, 'Jira Data'!$A:$R, 18, FALSE), "-")</f>
        <v>29</v>
      </c>
      <c r="AP11" s="425" t="str">
        <f>IFERROR(IF(VLOOKUP($J11, 'Jira Data'!$A:$R, 10, FALSE)="", "-", VLOOKUP($J11, 'Jira Data'!$A:$R, 10, FALSE)), "-")</f>
        <v>-</v>
      </c>
      <c r="AQ11" s="16" t="str">
        <f ca="1">IFERROR(VLOOKUP($J11, 'Jira Data'!$A:$R, 13, FALSE), "-")</f>
        <v>On Track</v>
      </c>
      <c r="AR11" s="426">
        <f ca="1">IFERROR(VLOOKUP($J11, 'Jira Data'!$A:$R, 14, FALSE), "-")</f>
        <v>0</v>
      </c>
      <c r="AS11" s="49">
        <f t="shared" si="5"/>
        <v>30</v>
      </c>
      <c r="AT11" s="90">
        <f t="shared" si="6"/>
        <v>163.30000000000004</v>
      </c>
      <c r="AU11" s="433">
        <f t="shared" si="7"/>
        <v>0</v>
      </c>
    </row>
    <row r="12" spans="1:56" ht="17" thickBot="1" x14ac:dyDescent="0.25">
      <c r="B12" s="7"/>
      <c r="C12" s="7"/>
      <c r="D12" s="1"/>
      <c r="F12" s="29"/>
      <c r="G12" s="30"/>
      <c r="H12" s="102" t="s">
        <v>315</v>
      </c>
      <c r="I12" s="540" t="s">
        <v>316</v>
      </c>
      <c r="J12" s="11" t="s">
        <v>317</v>
      </c>
      <c r="K12" s="23" t="s">
        <v>318</v>
      </c>
      <c r="L12" s="24"/>
      <c r="M12" s="24"/>
      <c r="N12" s="24"/>
      <c r="O12" s="24"/>
      <c r="P12" s="24"/>
      <c r="Q12" s="24"/>
      <c r="R12" s="441" t="s">
        <v>149</v>
      </c>
      <c r="S12" s="586">
        <v>3.5</v>
      </c>
      <c r="T12" s="52">
        <v>6</v>
      </c>
      <c r="U12" s="117">
        <f t="shared" si="8"/>
        <v>4.75</v>
      </c>
      <c r="V12" s="117">
        <f t="shared" si="9"/>
        <v>7</v>
      </c>
      <c r="W12" s="113"/>
      <c r="X12" s="413">
        <f>IFERROR(IF(VLOOKUP($J12, 'Jira Data'!$A:$R, 6, FALSE)="", "-", VLOOKUP($J12, 'Jira Data'!$A:$R, 6, FALSE)), "-")</f>
        <v>45588</v>
      </c>
      <c r="Y12" s="419">
        <f>IFERROR(IF(VLOOKUP($J12, 'Jira Data'!$A:$R, 7, FALSE)="", "-", VLOOKUP($J12, 'Jira Data'!$A:$R, 7, FALSE)), "-")</f>
        <v>45604</v>
      </c>
      <c r="Z12" s="567" cm="1">
        <f t="array" ref="Z12">CountUniquePeopleByTask($I12,$K$43:$AS$49,$I$43:$J$49)</f>
        <v>1</v>
      </c>
      <c r="AA12" s="49">
        <f t="shared" si="0"/>
        <v>10</v>
      </c>
      <c r="AB12" s="439" t="str">
        <f t="shared" si="10"/>
        <v>Excess</v>
      </c>
      <c r="AC12" s="35">
        <f t="shared" si="1"/>
        <v>4.7619047619047616E-2</v>
      </c>
      <c r="AD12" s="422">
        <f t="shared" si="2"/>
        <v>54.433333333333344</v>
      </c>
      <c r="AE12" s="567" cm="1">
        <f t="array" ref="AE12">CountUniquePeopleByTask($I12,$K$31:$AS$37,$I$31:$J$37)</f>
        <v>1</v>
      </c>
      <c r="AF12" s="452" t="str">
        <f>IFERROR(VLOOKUP($J12, 'Jira Data'!$A:$R, 3, FALSE), "-")</f>
        <v>6 Epic Backlog</v>
      </c>
      <c r="AG12" s="425" t="str">
        <f>IFERROR(IF(VLOOKUP($J12, 'Jira Data'!$A:$R, 8, FALSE)="","-",VLOOKUP($J12, 'Jira Data'!$A:$R, 8, FALSE)),"-")</f>
        <v>-</v>
      </c>
      <c r="AH12" s="16" t="str">
        <f>IFERROR(VLOOKUP($J12, 'Jira Data'!$A:$R, 11, FALSE), "-")</f>
        <v>Not Started</v>
      </c>
      <c r="AI12" s="426" t="str">
        <f>IFERROR(VLOOKUP($J12, 'Jira Data'!$A:$R, 12, FALSE), "-")</f>
        <v>-</v>
      </c>
      <c r="AJ12" s="425">
        <f>IFERROR(IF(VLOOKUP($J12, 'Jira Data'!$A:$R, 9, FALSE)="","-",VLOOKUP($J12, 'Jira Data'!$A:$R, 9, FALSE)), "-")</f>
        <v>45604</v>
      </c>
      <c r="AK12" s="415" t="str">
        <f t="shared" si="3"/>
        <v>No change</v>
      </c>
      <c r="AL12" s="16">
        <f t="shared" si="4"/>
        <v>0</v>
      </c>
      <c r="AM12" s="16" t="str">
        <f ca="1">IFERROR(VLOOKUP($J12, 'Jira Data'!$A:$R, 15, FALSE), "-")</f>
        <v>Not Started</v>
      </c>
      <c r="AN12" s="16" t="str">
        <f ca="1">IFERROR(VLOOKUP($J12, 'Jira Data'!$A:$R, 16, FALSE), "-")</f>
        <v>-</v>
      </c>
      <c r="AO12" s="426">
        <f ca="1">IFERROR(VLOOKUP($J12, 'Jira Data'!$A:$R, 18, FALSE), "-")</f>
        <v>29</v>
      </c>
      <c r="AP12" s="425" t="str">
        <f>IFERROR(IF(VLOOKUP($J12, 'Jira Data'!$A:$R, 10, FALSE)="", "-", VLOOKUP($J12, 'Jira Data'!$A:$R, 10, FALSE)), "-")</f>
        <v>-</v>
      </c>
      <c r="AQ12" s="16" t="str">
        <f ca="1">IFERROR(VLOOKUP($J12, 'Jira Data'!$A:$R, 13, FALSE), "-")</f>
        <v>Not Started</v>
      </c>
      <c r="AR12" s="426">
        <f ca="1">IFERROR(VLOOKUP($J12, 'Jira Data'!$A:$R, 14, FALSE), "-")</f>
        <v>0</v>
      </c>
      <c r="AS12" s="49">
        <f t="shared" si="5"/>
        <v>10</v>
      </c>
      <c r="AT12" s="90">
        <f t="shared" si="6"/>
        <v>54.433333333333344</v>
      </c>
      <c r="AU12" s="433">
        <f t="shared" si="7"/>
        <v>0</v>
      </c>
    </row>
    <row r="13" spans="1:56" ht="17" thickBot="1" x14ac:dyDescent="0.25">
      <c r="B13" s="644" t="s">
        <v>98</v>
      </c>
      <c r="C13" s="644"/>
      <c r="D13" s="644"/>
      <c r="E13" s="644"/>
      <c r="F13" s="29"/>
      <c r="G13" s="30"/>
      <c r="H13" s="102" t="s">
        <v>319</v>
      </c>
      <c r="I13" s="332" t="s">
        <v>73</v>
      </c>
      <c r="J13" s="11" t="s">
        <v>320</v>
      </c>
      <c r="K13" s="23" t="s">
        <v>321</v>
      </c>
      <c r="L13" s="24"/>
      <c r="M13" s="24"/>
      <c r="N13" s="24"/>
      <c r="O13" s="24"/>
      <c r="P13" s="24"/>
      <c r="Q13" s="24"/>
      <c r="R13" s="441" t="s">
        <v>149</v>
      </c>
      <c r="S13" s="586">
        <v>11</v>
      </c>
      <c r="T13" s="52">
        <v>18</v>
      </c>
      <c r="U13" s="117">
        <f t="shared" si="8"/>
        <v>14.5</v>
      </c>
      <c r="V13" s="117">
        <f t="shared" si="9"/>
        <v>22</v>
      </c>
      <c r="W13" s="113"/>
      <c r="X13" s="413">
        <f>IFERROR(IF(VLOOKUP($J13, 'Jira Data'!$A:$R, 6, FALSE)="", "-", VLOOKUP($J13, 'Jira Data'!$A:$R, 6, FALSE)), "-")</f>
        <v>45565</v>
      </c>
      <c r="Y13" s="420">
        <f>IFERROR(IF(VLOOKUP($J13, 'Jira Data'!$A:$R, 7, FALSE)="", "-", VLOOKUP($J13, 'Jira Data'!$A:$R, 7, FALSE)), "-")</f>
        <v>45604</v>
      </c>
      <c r="Z13" s="567" cm="1">
        <f t="array" ref="Z13">CountUniquePeopleByTask($I13,$K$43:$AS$49,$I$43:$J$49)</f>
        <v>1</v>
      </c>
      <c r="AA13" s="49">
        <f t="shared" si="0"/>
        <v>17</v>
      </c>
      <c r="AB13" s="439" t="str">
        <f t="shared" si="10"/>
        <v>Risk</v>
      </c>
      <c r="AC13" s="35">
        <f t="shared" si="1"/>
        <v>8.0952380952380956E-2</v>
      </c>
      <c r="AD13" s="422">
        <f t="shared" si="2"/>
        <v>92.536666666666676</v>
      </c>
      <c r="AE13" s="567" cm="1">
        <f t="array" ref="AE13">CountUniquePeopleByTask($I13,$K$31:$AS$37,$I$31:$J$37)</f>
        <v>1</v>
      </c>
      <c r="AF13" s="452" t="str">
        <f>IFERROR(VLOOKUP($J13, 'Jira Data'!$A:$R, 3, FALSE), "-")</f>
        <v>7 PI Started</v>
      </c>
      <c r="AG13" s="425">
        <f>IFERROR(IF(VLOOKUP($J13, 'Jira Data'!$A:$R, 8, FALSE)="","-",VLOOKUP($J13, 'Jira Data'!$A:$R, 8, FALSE)),"-")</f>
        <v>45565</v>
      </c>
      <c r="AH13" s="16" t="str">
        <f>IFERROR(VLOOKUP($J13, 'Jira Data'!$A:$R, 11, FALSE), "-")</f>
        <v>On Time</v>
      </c>
      <c r="AI13" s="426">
        <f>IFERROR(VLOOKUP($J13, 'Jira Data'!$A:$R, 12, FALSE), "-")</f>
        <v>0</v>
      </c>
      <c r="AJ13" s="425">
        <f>IFERROR(IF(VLOOKUP($J13, 'Jira Data'!$A:$R, 9, FALSE)="","-",VLOOKUP($J13, 'Jira Data'!$A:$R, 9, FALSE)), "-")</f>
        <v>45604</v>
      </c>
      <c r="AK13" s="415" t="str">
        <f t="shared" si="3"/>
        <v>No change</v>
      </c>
      <c r="AL13" s="16">
        <f t="shared" si="4"/>
        <v>0</v>
      </c>
      <c r="AM13" s="16" t="str">
        <f ca="1">IFERROR(VLOOKUP($J13, 'Jira Data'!$A:$R, 15, FALSE), "-")</f>
        <v>On Track</v>
      </c>
      <c r="AN13" s="16" t="str">
        <f ca="1">IFERROR(VLOOKUP($J13, 'Jira Data'!$A:$R, 16, FALSE), "-")</f>
        <v>-</v>
      </c>
      <c r="AO13" s="426">
        <f ca="1">IFERROR(VLOOKUP($J13, 'Jira Data'!$A:$R, 18, FALSE), "-")</f>
        <v>29</v>
      </c>
      <c r="AP13" s="425" t="str">
        <f>IFERROR(IF(VLOOKUP($J13, 'Jira Data'!$A:$R, 10, FALSE)="", "-", VLOOKUP($J13, 'Jira Data'!$A:$R, 10, FALSE)), "-")</f>
        <v>-</v>
      </c>
      <c r="AQ13" s="16" t="str">
        <f ca="1">IFERROR(VLOOKUP($J13, 'Jira Data'!$A:$R, 13, FALSE), "-")</f>
        <v>On Track</v>
      </c>
      <c r="AR13" s="426">
        <f ca="1">IFERROR(VLOOKUP($J13, 'Jira Data'!$A:$R, 14, FALSE), "-")</f>
        <v>0</v>
      </c>
      <c r="AS13" s="49">
        <f t="shared" si="5"/>
        <v>17</v>
      </c>
      <c r="AT13" s="90">
        <f t="shared" si="6"/>
        <v>92.536666666666676</v>
      </c>
      <c r="AU13" s="433">
        <f t="shared" si="7"/>
        <v>0</v>
      </c>
    </row>
    <row r="14" spans="1:56" x14ac:dyDescent="0.2">
      <c r="B14" s="670" t="s">
        <v>21</v>
      </c>
      <c r="C14" s="591"/>
      <c r="D14" s="591"/>
      <c r="E14" s="93">
        <v>6</v>
      </c>
      <c r="F14" s="29"/>
      <c r="G14" s="30"/>
      <c r="H14" s="102" t="s">
        <v>322</v>
      </c>
      <c r="I14" s="63" t="s">
        <v>323</v>
      </c>
      <c r="J14" s="11" t="s">
        <v>324</v>
      </c>
      <c r="K14" s="408" t="s">
        <v>325</v>
      </c>
      <c r="L14" s="400"/>
      <c r="M14" s="400"/>
      <c r="N14" s="400"/>
      <c r="O14" s="400"/>
      <c r="P14" s="400"/>
      <c r="Q14" s="400"/>
      <c r="R14" s="441" t="s">
        <v>149</v>
      </c>
      <c r="S14" s="586">
        <v>4</v>
      </c>
      <c r="T14" s="52">
        <v>6</v>
      </c>
      <c r="U14" s="117">
        <f t="shared" si="8"/>
        <v>5</v>
      </c>
      <c r="V14" s="117">
        <f t="shared" si="9"/>
        <v>8</v>
      </c>
      <c r="W14" s="113"/>
      <c r="X14" s="413">
        <f>IFERROR(IF(VLOOKUP($J14, 'Jira Data'!$A:$R, 6, FALSE)="", "-", VLOOKUP($J14, 'Jira Data'!$A:$R, 6, FALSE)), "-")</f>
        <v>45586</v>
      </c>
      <c r="Y14" s="419">
        <f>IFERROR(IF(VLOOKUP($J14, 'Jira Data'!$A:$R, 7, FALSE)="", "-", VLOOKUP($J14, 'Jira Data'!$A:$R, 7, FALSE)), "-")</f>
        <v>45595</v>
      </c>
      <c r="Z14" s="567" cm="1">
        <f t="array" ref="Z14">CountUniquePeopleByTask($I14,$K$43:$AS$49,$I$43:$J$49)</f>
        <v>1</v>
      </c>
      <c r="AA14" s="49">
        <f t="shared" si="0"/>
        <v>8</v>
      </c>
      <c r="AB14" s="439" t="str">
        <f t="shared" si="10"/>
        <v>Aligned</v>
      </c>
      <c r="AC14" s="35">
        <f t="shared" si="1"/>
        <v>3.8095238095238099E-2</v>
      </c>
      <c r="AD14" s="422">
        <f t="shared" si="2"/>
        <v>43.546666666666674</v>
      </c>
      <c r="AE14" s="567" cm="1">
        <f t="array" ref="AE14">CountUniquePeopleByTask($I14,$K$31:$AS$37,$I$31:$J$37)</f>
        <v>1</v>
      </c>
      <c r="AF14" s="452" t="str">
        <f>IFERROR(VLOOKUP($J14, 'Jira Data'!$A:$R, 3, FALSE), "-")</f>
        <v>6 Epic Backlog</v>
      </c>
      <c r="AG14" s="425" t="str">
        <f>IFERROR(IF(VLOOKUP($J14, 'Jira Data'!$A:$R, 8, FALSE)="","-",VLOOKUP($J14, 'Jira Data'!$A:$R, 8, FALSE)),"-")</f>
        <v>-</v>
      </c>
      <c r="AH14" s="16" t="str">
        <f>IFERROR(VLOOKUP($J14, 'Jira Data'!$A:$R, 11, FALSE), "-")</f>
        <v>Not Started</v>
      </c>
      <c r="AI14" s="426" t="str">
        <f>IFERROR(VLOOKUP($J14, 'Jira Data'!$A:$R, 12, FALSE), "-")</f>
        <v>-</v>
      </c>
      <c r="AJ14" s="425">
        <f>IFERROR(IF(VLOOKUP($J14, 'Jira Data'!$A:$R, 9, FALSE)="","-",VLOOKUP($J14, 'Jira Data'!$A:$R, 9, FALSE)), "-")</f>
        <v>45595</v>
      </c>
      <c r="AK14" s="415" t="str">
        <f t="shared" si="3"/>
        <v>No change</v>
      </c>
      <c r="AL14" s="16">
        <f t="shared" si="4"/>
        <v>0</v>
      </c>
      <c r="AM14" s="16" t="str">
        <f ca="1">IFERROR(VLOOKUP($J14, 'Jira Data'!$A:$R, 15, FALSE), "-")</f>
        <v>Not Started</v>
      </c>
      <c r="AN14" s="16" t="str">
        <f ca="1">IFERROR(VLOOKUP($J14, 'Jira Data'!$A:$R, 16, FALSE), "-")</f>
        <v>-</v>
      </c>
      <c r="AO14" s="426">
        <f ca="1">IFERROR(VLOOKUP($J14, 'Jira Data'!$A:$R, 18, FALSE), "-")</f>
        <v>22</v>
      </c>
      <c r="AP14" s="425" t="str">
        <f>IFERROR(IF(VLOOKUP($J14, 'Jira Data'!$A:$R, 10, FALSE)="", "-", VLOOKUP($J14, 'Jira Data'!$A:$R, 10, FALSE)), "-")</f>
        <v>-</v>
      </c>
      <c r="AQ14" s="16" t="str">
        <f ca="1">IFERROR(VLOOKUP($J14, 'Jira Data'!$A:$R, 13, FALSE), "-")</f>
        <v>Not Started</v>
      </c>
      <c r="AR14" s="426">
        <f ca="1">IFERROR(VLOOKUP($J14, 'Jira Data'!$A:$R, 14, FALSE), "-")</f>
        <v>0</v>
      </c>
      <c r="AS14" s="49">
        <f>COUNTIF($K$31:$AN$37,$I14)</f>
        <v>8</v>
      </c>
      <c r="AT14" s="90">
        <f t="shared" si="6"/>
        <v>43.546666666666674</v>
      </c>
      <c r="AU14" s="433">
        <f t="shared" si="7"/>
        <v>0</v>
      </c>
    </row>
    <row r="15" spans="1:56" x14ac:dyDescent="0.2">
      <c r="B15" s="671" t="s">
        <v>22</v>
      </c>
      <c r="C15" s="596"/>
      <c r="D15" s="597"/>
      <c r="E15" s="94">
        <v>0.92</v>
      </c>
      <c r="F15" s="29"/>
      <c r="G15" s="30"/>
      <c r="H15" s="102" t="s">
        <v>326</v>
      </c>
      <c r="I15" s="338" t="s">
        <v>327</v>
      </c>
      <c r="J15" s="11" t="s">
        <v>328</v>
      </c>
      <c r="K15" s="23" t="s">
        <v>329</v>
      </c>
      <c r="L15" s="24"/>
      <c r="M15" s="24"/>
      <c r="N15" s="24"/>
      <c r="O15" s="24"/>
      <c r="P15" s="24"/>
      <c r="Q15" s="24"/>
      <c r="R15" s="441" t="s">
        <v>149</v>
      </c>
      <c r="S15" s="586">
        <v>3</v>
      </c>
      <c r="T15" s="52">
        <v>6</v>
      </c>
      <c r="U15" s="117">
        <f t="shared" si="8"/>
        <v>4.5</v>
      </c>
      <c r="V15" s="117">
        <f t="shared" si="9"/>
        <v>7</v>
      </c>
      <c r="W15" s="113"/>
      <c r="X15" s="413">
        <f>IFERROR(IF(VLOOKUP($J15, 'Jira Data'!$A:$R, 6, FALSE)="", "-", VLOOKUP($J15, 'Jira Data'!$A:$R, 6, FALSE)), "-")</f>
        <v>45596</v>
      </c>
      <c r="Y15" s="419">
        <f>IFERROR(IF(VLOOKUP($J15, 'Jira Data'!$A:$R, 7, FALSE)="", "-", VLOOKUP($J15, 'Jira Data'!$A:$R, 7, FALSE)), "-")</f>
        <v>45604</v>
      </c>
      <c r="Z15" s="567" cm="1">
        <f t="array" ref="Z15">CountUniquePeopleByTask($I15,$K$43:$AS$49,$I$43:$J$49)</f>
        <v>1</v>
      </c>
      <c r="AA15" s="49">
        <f t="shared" si="0"/>
        <v>7</v>
      </c>
      <c r="AB15" s="439" t="str">
        <f t="shared" si="10"/>
        <v>Aligned</v>
      </c>
      <c r="AC15" s="35">
        <f t="shared" si="1"/>
        <v>3.3333333333333333E-2</v>
      </c>
      <c r="AD15" s="422">
        <f t="shared" si="2"/>
        <v>38.103333333333339</v>
      </c>
      <c r="AE15" s="567" cm="1">
        <f t="array" ref="AE15">CountUniquePeopleByTask($I15,$K$31:$AS$37,$I$31:$J$37)</f>
        <v>1</v>
      </c>
      <c r="AF15" s="452" t="str">
        <f>IFERROR(VLOOKUP($J15, 'Jira Data'!$A:$R, 3, FALSE), "-")</f>
        <v>6 Epic Backlog</v>
      </c>
      <c r="AG15" s="425" t="str">
        <f>IFERROR(IF(VLOOKUP($J15, 'Jira Data'!$A:$R, 8, FALSE)="","-",VLOOKUP($J15, 'Jira Data'!$A:$R, 8, FALSE)),"-")</f>
        <v>-</v>
      </c>
      <c r="AH15" s="16" t="str">
        <f>IFERROR(VLOOKUP($J15, 'Jira Data'!$A:$R, 11, FALSE), "-")</f>
        <v>Not Started</v>
      </c>
      <c r="AI15" s="426" t="str">
        <f>IFERROR(VLOOKUP($J15, 'Jira Data'!$A:$R, 12, FALSE), "-")</f>
        <v>-</v>
      </c>
      <c r="AJ15" s="425">
        <f>IFERROR(IF(VLOOKUP($J15, 'Jira Data'!$A:$R, 9, FALSE)="","-",VLOOKUP($J15, 'Jira Data'!$A:$R, 9, FALSE)), "-")</f>
        <v>45604</v>
      </c>
      <c r="AK15" s="415" t="str">
        <f t="shared" si="3"/>
        <v>No change</v>
      </c>
      <c r="AL15" s="16">
        <f t="shared" si="4"/>
        <v>0</v>
      </c>
      <c r="AM15" s="16" t="str">
        <f ca="1">IFERROR(VLOOKUP($J15, 'Jira Data'!$A:$R, 15, FALSE), "-")</f>
        <v>Not Started</v>
      </c>
      <c r="AN15" s="16" t="str">
        <f ca="1">IFERROR(VLOOKUP($J15, 'Jira Data'!$A:$R, 16, FALSE), "-")</f>
        <v>-</v>
      </c>
      <c r="AO15" s="426">
        <f ca="1">IFERROR(VLOOKUP($J15, 'Jira Data'!$A:$R, 18, FALSE), "-")</f>
        <v>29</v>
      </c>
      <c r="AP15" s="425" t="str">
        <f>IFERROR(IF(VLOOKUP($J15, 'Jira Data'!$A:$R, 10, FALSE)="", "-", VLOOKUP($J15, 'Jira Data'!$A:$R, 10, FALSE)), "-")</f>
        <v>-</v>
      </c>
      <c r="AQ15" s="16" t="str">
        <f ca="1">IFERROR(VLOOKUP($J15, 'Jira Data'!$A:$R, 13, FALSE), "-")</f>
        <v>Not Started</v>
      </c>
      <c r="AR15" s="426">
        <f ca="1">IFERROR(VLOOKUP($J15, 'Jira Data'!$A:$R, 14, FALSE), "-")</f>
        <v>0</v>
      </c>
      <c r="AS15" s="49">
        <f t="shared" ref="AS15:AS16" si="11">COUNTIF($K$31:$AN$37,$I15)</f>
        <v>7</v>
      </c>
      <c r="AT15" s="90">
        <f t="shared" si="6"/>
        <v>38.103333333333339</v>
      </c>
      <c r="AU15" s="433">
        <f t="shared" si="7"/>
        <v>0</v>
      </c>
    </row>
    <row r="16" spans="1:56" x14ac:dyDescent="0.2">
      <c r="B16" s="671" t="s">
        <v>3</v>
      </c>
      <c r="C16" s="596"/>
      <c r="D16" s="597"/>
      <c r="E16" s="93">
        <v>0</v>
      </c>
      <c r="F16" s="29"/>
      <c r="G16" s="30"/>
      <c r="H16" s="102" t="s">
        <v>304</v>
      </c>
      <c r="I16" s="514" t="s">
        <v>330</v>
      </c>
      <c r="J16" s="11" t="s">
        <v>341</v>
      </c>
      <c r="K16" s="23" t="s">
        <v>342</v>
      </c>
      <c r="L16" s="24"/>
      <c r="M16" s="24"/>
      <c r="N16" s="24"/>
      <c r="O16" s="24"/>
      <c r="P16" s="24"/>
      <c r="Q16" s="24"/>
      <c r="R16" s="441" t="s">
        <v>26</v>
      </c>
      <c r="S16" s="586">
        <v>8</v>
      </c>
      <c r="T16" s="52">
        <v>12</v>
      </c>
      <c r="U16" s="117">
        <f t="shared" si="8"/>
        <v>10</v>
      </c>
      <c r="V16" s="117">
        <f t="shared" si="9"/>
        <v>15</v>
      </c>
      <c r="W16" s="113"/>
      <c r="X16" s="413">
        <f>IFERROR(IF(VLOOKUP($J16, 'Jira Data'!$A:$R, 6, FALSE)="", "-", VLOOKUP($J16, 'Jira Data'!$A:$R, 6, FALSE)), "-")</f>
        <v>45565</v>
      </c>
      <c r="Y16" s="419">
        <f>IFERROR(IF(VLOOKUP($J16, 'Jira Data'!$A:$R, 7, FALSE)="", "-", VLOOKUP($J16, 'Jira Data'!$A:$R, 7, FALSE)), "-")</f>
        <v>45583</v>
      </c>
      <c r="Z16" s="567" cm="1">
        <f t="array" ref="Z16">CountUniquePeopleByTask($I16,$K$43:$AS$49,$I$43:$J$49)</f>
        <v>1</v>
      </c>
      <c r="AA16" s="49">
        <f t="shared" si="0"/>
        <v>15</v>
      </c>
      <c r="AB16" s="439" t="str">
        <f t="shared" si="10"/>
        <v>Aligned</v>
      </c>
      <c r="AC16" s="35">
        <f t="shared" si="1"/>
        <v>7.1428571428571425E-2</v>
      </c>
      <c r="AD16" s="422">
        <f t="shared" si="2"/>
        <v>81.65000000000002</v>
      </c>
      <c r="AE16" s="567" cm="1">
        <f t="array" ref="AE16">CountUniquePeopleByTask($I16,$K$31:$AS$37,$I$31:$J$37)</f>
        <v>1</v>
      </c>
      <c r="AF16" s="452" t="str">
        <f>IFERROR(VLOOKUP($J16, 'Jira Data'!$A:$R, 3, FALSE), "-")</f>
        <v>7 PI Started</v>
      </c>
      <c r="AG16" s="425">
        <f>IFERROR(IF(VLOOKUP($J16, 'Jira Data'!$A:$R, 8, FALSE)="","-",VLOOKUP($J16, 'Jira Data'!$A:$R, 8, FALSE)),"-")</f>
        <v>45565</v>
      </c>
      <c r="AH16" s="16" t="str">
        <f>IFERROR(VLOOKUP($J16, 'Jira Data'!$A:$R, 11, FALSE), "-")</f>
        <v>On Time</v>
      </c>
      <c r="AI16" s="426">
        <f>IFERROR(VLOOKUP($J16, 'Jira Data'!$A:$R, 12, FALSE), "-")</f>
        <v>0</v>
      </c>
      <c r="AJ16" s="425">
        <f>IFERROR(IF(VLOOKUP($J16, 'Jira Data'!$A:$R, 9, FALSE)="","-",VLOOKUP($J16, 'Jira Data'!$A:$R, 9, FALSE)), "-")</f>
        <v>45583</v>
      </c>
      <c r="AK16" s="415" t="str">
        <f t="shared" si="3"/>
        <v>No change</v>
      </c>
      <c r="AL16" s="16">
        <f t="shared" si="4"/>
        <v>0</v>
      </c>
      <c r="AM16" s="16" t="str">
        <f ca="1">IFERROR(VLOOKUP($J16, 'Jira Data'!$A:$R, 15, FALSE), "-")</f>
        <v>On Track</v>
      </c>
      <c r="AN16" s="16" t="str">
        <f ca="1">IFERROR(VLOOKUP($J16, 'Jira Data'!$A:$R, 16, FALSE), "-")</f>
        <v>-</v>
      </c>
      <c r="AO16" s="426">
        <f ca="1">IFERROR(VLOOKUP($J16, 'Jira Data'!$A:$R, 18, FALSE), "-")</f>
        <v>14</v>
      </c>
      <c r="AP16" s="425" t="str">
        <f>IFERROR(IF(VLOOKUP($J16, 'Jira Data'!$A:$R, 10, FALSE)="", "-", VLOOKUP($J16, 'Jira Data'!$A:$R, 10, FALSE)), "-")</f>
        <v>-</v>
      </c>
      <c r="AQ16" s="16" t="str">
        <f ca="1">IFERROR(VLOOKUP($J16, 'Jira Data'!$A:$R, 13, FALSE), "-")</f>
        <v>On Track</v>
      </c>
      <c r="AR16" s="426">
        <f ca="1">IFERROR(VLOOKUP($J16, 'Jira Data'!$A:$R, 14, FALSE), "-")</f>
        <v>0</v>
      </c>
      <c r="AS16" s="49">
        <f t="shared" si="11"/>
        <v>15</v>
      </c>
      <c r="AT16" s="90">
        <f t="shared" si="6"/>
        <v>81.65000000000002</v>
      </c>
      <c r="AU16" s="433">
        <f t="shared" si="7"/>
        <v>0</v>
      </c>
    </row>
    <row r="17" spans="2:47" x14ac:dyDescent="0.2">
      <c r="B17" s="671" t="s">
        <v>34</v>
      </c>
      <c r="C17" s="596"/>
      <c r="D17" s="597"/>
      <c r="E17" s="460">
        <v>45565</v>
      </c>
      <c r="F17" s="29"/>
      <c r="G17" s="30"/>
      <c r="H17" s="102"/>
      <c r="I17" s="52"/>
      <c r="J17" s="11"/>
      <c r="K17" s="23"/>
      <c r="L17" s="24"/>
      <c r="M17" s="24"/>
      <c r="N17" s="24"/>
      <c r="O17" s="24"/>
      <c r="P17" s="24"/>
      <c r="Q17" s="24"/>
      <c r="R17" s="441"/>
      <c r="S17" s="586"/>
      <c r="T17" s="52"/>
      <c r="U17" s="117" t="str">
        <f t="shared" si="8"/>
        <v>-</v>
      </c>
      <c r="V17" s="117" t="str">
        <f t="shared" si="9"/>
        <v>-</v>
      </c>
      <c r="W17" s="113"/>
      <c r="X17" s="413" t="str">
        <f>IFERROR(IF(VLOOKUP($J17, 'Jira Data'!$A:$R, 6, FALSE)="", "-", VLOOKUP($J17, 'Jira Data'!$A:$R, 6, FALSE)), "-")</f>
        <v>-</v>
      </c>
      <c r="Y17" s="419" t="str">
        <f>IFERROR(IF(VLOOKUP($J17, 'Jira Data'!$A:$R, 7, FALSE)="", "-", VLOOKUP($J17, 'Jira Data'!$A:$R, 7, FALSE)), "-")</f>
        <v>-</v>
      </c>
      <c r="Z17" s="567" t="str" cm="1">
        <f t="array" ref="Z17">CountUniquePeopleByTask($I17,$K$43:$AS$49,$I$43:$J$49)</f>
        <v>-</v>
      </c>
      <c r="AA17" s="49">
        <f t="shared" si="0"/>
        <v>0</v>
      </c>
      <c r="AB17" s="439" t="str">
        <f t="shared" si="10"/>
        <v>-</v>
      </c>
      <c r="AC17" s="35">
        <f t="shared" si="1"/>
        <v>0</v>
      </c>
      <c r="AD17" s="422">
        <f t="shared" si="2"/>
        <v>0</v>
      </c>
      <c r="AE17" s="567" t="str" cm="1">
        <f t="array" ref="AE17">CountUniquePeopleByTask($I17,$K$31:$AS$37,$I$31:$J$37)</f>
        <v>-</v>
      </c>
      <c r="AF17" s="452" t="str">
        <f>IFERROR(VLOOKUP($J17, 'Jira Data'!$A:$R, 3, FALSE), "-")</f>
        <v>-</v>
      </c>
      <c r="AG17" s="425" t="str">
        <f>IFERROR(IF(VLOOKUP($J17, 'Jira Data'!$A:$R, 8, FALSE)="","-",VLOOKUP($J17, 'Jira Data'!$A:$R, 8, FALSE)),"-")</f>
        <v>-</v>
      </c>
      <c r="AH17" s="16" t="str">
        <f>IFERROR(VLOOKUP($J17, 'Jira Data'!$A:$R, 11, FALSE), "-")</f>
        <v>-</v>
      </c>
      <c r="AI17" s="426" t="str">
        <f>IFERROR(VLOOKUP($J17, 'Jira Data'!$A:$R, 12, FALSE), "-")</f>
        <v>-</v>
      </c>
      <c r="AJ17" s="425" t="str">
        <f>IFERROR(IF(VLOOKUP($J17, 'Jira Data'!$A:$R, 9, FALSE)="","-",VLOOKUP($J17, 'Jira Data'!$A:$R, 9, FALSE)), "-")</f>
        <v>-</v>
      </c>
      <c r="AK17" s="415" t="str">
        <f t="shared" si="3"/>
        <v>-</v>
      </c>
      <c r="AL17" s="16" t="str">
        <f t="shared" si="4"/>
        <v>-</v>
      </c>
      <c r="AM17" s="16" t="str">
        <f>IFERROR(VLOOKUP($J17, 'Jira Data'!$A:$R, 15, FALSE), "-")</f>
        <v>-</v>
      </c>
      <c r="AN17" s="16" t="str">
        <f>IFERROR(VLOOKUP($J17, 'Jira Data'!$A:$R, 16, FALSE), "-")</f>
        <v>-</v>
      </c>
      <c r="AO17" s="426" t="str">
        <f>IFERROR(VLOOKUP($J17, 'Jira Data'!$A:$R, 18, FALSE), "-")</f>
        <v>-</v>
      </c>
      <c r="AP17" s="425" t="str">
        <f>IFERROR(IF(VLOOKUP($J17, 'Jira Data'!$A:$R, 10, FALSE)="", "-", VLOOKUP($J17, 'Jira Data'!$A:$R, 10, FALSE)), "-")</f>
        <v>-</v>
      </c>
      <c r="AQ17" s="16" t="str">
        <f>IFERROR(VLOOKUP($J17, 'Jira Data'!$A:$R, 13, FALSE), "-")</f>
        <v>-</v>
      </c>
      <c r="AR17" s="426" t="str">
        <f>IFERROR(VLOOKUP($J17, 'Jira Data'!$A:$R, 14, FALSE), "-")</f>
        <v>-</v>
      </c>
      <c r="AS17" s="49">
        <f t="shared" ref="AS16:AS25" si="12">COUNTIF($K$31:$AN$37,$I17)</f>
        <v>0</v>
      </c>
      <c r="AT17" s="90">
        <f t="shared" si="6"/>
        <v>0</v>
      </c>
      <c r="AU17" s="433" t="str">
        <f t="shared" si="7"/>
        <v>-</v>
      </c>
    </row>
    <row r="18" spans="2:47" ht="17" thickBot="1" x14ac:dyDescent="0.25">
      <c r="B18" s="672" t="s">
        <v>292</v>
      </c>
      <c r="C18" s="673"/>
      <c r="D18" s="673"/>
      <c r="E18" s="95">
        <f>E17 + (E14 * 7)</f>
        <v>45607</v>
      </c>
      <c r="F18" s="29"/>
      <c r="G18" s="30"/>
      <c r="H18" s="102"/>
      <c r="I18" s="52"/>
      <c r="J18" s="11"/>
      <c r="K18" s="23"/>
      <c r="L18" s="24"/>
      <c r="M18" s="24"/>
      <c r="N18" s="24"/>
      <c r="O18" s="24"/>
      <c r="P18" s="24"/>
      <c r="Q18" s="24"/>
      <c r="R18" s="441"/>
      <c r="S18" s="586"/>
      <c r="T18" s="52"/>
      <c r="U18" s="117" t="str">
        <f t="shared" si="8"/>
        <v>-</v>
      </c>
      <c r="V18" s="117" t="str">
        <f t="shared" si="9"/>
        <v>-</v>
      </c>
      <c r="W18" s="113"/>
      <c r="X18" s="413" t="str">
        <f>IFERROR(IF(VLOOKUP($J18, 'Jira Data'!$A:$R, 6, FALSE)="", "-", VLOOKUP($J18, 'Jira Data'!$A:$R, 6, FALSE)), "-")</f>
        <v>-</v>
      </c>
      <c r="Y18" s="419" t="str">
        <f>IFERROR(IF(VLOOKUP($J18, 'Jira Data'!$A:$R, 7, FALSE)="", "-", VLOOKUP($J18, 'Jira Data'!$A:$R, 7, FALSE)), "-")</f>
        <v>-</v>
      </c>
      <c r="Z18" s="567" t="str" cm="1">
        <f t="array" ref="Z18">CountUniquePeopleByTask($I18,$K$43:$AS$49,$I$43:$J$49)</f>
        <v>-</v>
      </c>
      <c r="AA18" s="49">
        <f t="shared" si="0"/>
        <v>0</v>
      </c>
      <c r="AB18" s="439" t="str">
        <f t="shared" si="10"/>
        <v>-</v>
      </c>
      <c r="AC18" s="35">
        <f t="shared" si="1"/>
        <v>0</v>
      </c>
      <c r="AD18" s="422">
        <f t="shared" si="2"/>
        <v>0</v>
      </c>
      <c r="AE18" s="567" t="str" cm="1">
        <f t="array" ref="AE18">CountUniquePeopleByTask($I18,$K$31:$AS$37,$I$31:$J$37)</f>
        <v>-</v>
      </c>
      <c r="AF18" s="452" t="str">
        <f>IFERROR(VLOOKUP($J18, 'Jira Data'!$A:$R, 3, FALSE), "-")</f>
        <v>-</v>
      </c>
      <c r="AG18" s="425" t="str">
        <f>IFERROR(IF(VLOOKUP($J18, 'Jira Data'!$A:$R, 8, FALSE)="","-",VLOOKUP($J18, 'Jira Data'!$A:$R, 8, FALSE)),"-")</f>
        <v>-</v>
      </c>
      <c r="AH18" s="16" t="str">
        <f>IFERROR(VLOOKUP($J18, 'Jira Data'!$A:$R, 11, FALSE), "-")</f>
        <v>-</v>
      </c>
      <c r="AI18" s="426" t="str">
        <f>IFERROR(VLOOKUP($J18, 'Jira Data'!$A:$R, 12, FALSE), "-")</f>
        <v>-</v>
      </c>
      <c r="AJ18" s="425" t="str">
        <f>IFERROR(IF(VLOOKUP($J18, 'Jira Data'!$A:$R, 9, FALSE)="","-",VLOOKUP($J18, 'Jira Data'!$A:$R, 9, FALSE)), "-")</f>
        <v>-</v>
      </c>
      <c r="AK18" s="415" t="str">
        <f t="shared" si="3"/>
        <v>-</v>
      </c>
      <c r="AL18" s="16" t="str">
        <f t="shared" si="4"/>
        <v>-</v>
      </c>
      <c r="AM18" s="16" t="str">
        <f>IFERROR(VLOOKUP($J18, 'Jira Data'!$A:$R, 15, FALSE), "-")</f>
        <v>-</v>
      </c>
      <c r="AN18" s="16" t="str">
        <f>IFERROR(VLOOKUP($J18, 'Jira Data'!$A:$R, 16, FALSE), "-")</f>
        <v>-</v>
      </c>
      <c r="AO18" s="426" t="str">
        <f>IFERROR(VLOOKUP($J18, 'Jira Data'!$A:$R, 18, FALSE), "-")</f>
        <v>-</v>
      </c>
      <c r="AP18" s="425" t="str">
        <f>IFERROR(IF(VLOOKUP($J18, 'Jira Data'!$A:$R, 10, FALSE)="", "-", VLOOKUP($J18, 'Jira Data'!$A:$R, 10, FALSE)), "-")</f>
        <v>-</v>
      </c>
      <c r="AQ18" s="16" t="str">
        <f>IFERROR(VLOOKUP($J18, 'Jira Data'!$A:$R, 13, FALSE), "-")</f>
        <v>-</v>
      </c>
      <c r="AR18" s="426" t="str">
        <f>IFERROR(VLOOKUP($J18, 'Jira Data'!$A:$R, 14, FALSE), "-")</f>
        <v>-</v>
      </c>
      <c r="AS18" s="49">
        <f t="shared" si="12"/>
        <v>0</v>
      </c>
      <c r="AT18" s="90">
        <f t="shared" si="6"/>
        <v>0</v>
      </c>
      <c r="AU18" s="433" t="str">
        <f t="shared" si="7"/>
        <v>-</v>
      </c>
    </row>
    <row r="19" spans="2:47" ht="17" thickBot="1" x14ac:dyDescent="0.25">
      <c r="B19" s="19"/>
      <c r="C19" s="19"/>
      <c r="D19" s="19"/>
      <c r="E19" s="19"/>
      <c r="F19" s="29"/>
      <c r="G19" s="30"/>
      <c r="H19" s="102"/>
      <c r="I19" s="52"/>
      <c r="J19" s="11"/>
      <c r="K19" s="408"/>
      <c r="L19" s="400"/>
      <c r="M19" s="400"/>
      <c r="N19" s="400"/>
      <c r="O19" s="400"/>
      <c r="P19" s="400"/>
      <c r="Q19" s="400"/>
      <c r="R19" s="441"/>
      <c r="S19" s="586"/>
      <c r="T19" s="52"/>
      <c r="U19" s="117" t="str">
        <f t="shared" si="8"/>
        <v>-</v>
      </c>
      <c r="V19" s="117" t="str">
        <f t="shared" si="9"/>
        <v>-</v>
      </c>
      <c r="W19" s="113"/>
      <c r="X19" s="413" t="str">
        <f>IFERROR(IF(VLOOKUP($J19, 'Jira Data'!$A:$R, 6, FALSE)="", "-", VLOOKUP($J19, 'Jira Data'!$A:$R, 6, FALSE)), "-")</f>
        <v>-</v>
      </c>
      <c r="Y19" s="419" t="str">
        <f>IFERROR(IF(VLOOKUP($J19, 'Jira Data'!$A:$R, 7, FALSE)="", "-", VLOOKUP($J19, 'Jira Data'!$A:$R, 7, FALSE)), "-")</f>
        <v>-</v>
      </c>
      <c r="Z19" s="567" t="str" cm="1">
        <f t="array" ref="Z19">CountUniquePeopleByTask($I19,$K$43:$AS$49,$I$43:$J$49)</f>
        <v>-</v>
      </c>
      <c r="AA19" s="49">
        <f t="shared" si="0"/>
        <v>0</v>
      </c>
      <c r="AB19" s="439" t="str">
        <f t="shared" si="10"/>
        <v>-</v>
      </c>
      <c r="AC19" s="35">
        <f t="shared" si="1"/>
        <v>0</v>
      </c>
      <c r="AD19" s="422">
        <f t="shared" si="2"/>
        <v>0</v>
      </c>
      <c r="AE19" s="567" t="str" cm="1">
        <f t="array" ref="AE19">CountUniquePeopleByTask($I19,$K$31:$AS$37,$I$31:$J$37)</f>
        <v>-</v>
      </c>
      <c r="AF19" s="452" t="str">
        <f>IFERROR(VLOOKUP($J19, 'Jira Data'!$A:$R, 3, FALSE), "-")</f>
        <v>-</v>
      </c>
      <c r="AG19" s="425" t="str">
        <f>IFERROR(IF(VLOOKUP($J19, 'Jira Data'!$A:$R, 8, FALSE)="","-",VLOOKUP($J19, 'Jira Data'!$A:$R, 8, FALSE)),"-")</f>
        <v>-</v>
      </c>
      <c r="AH19" s="16" t="str">
        <f>IFERROR(VLOOKUP($J19, 'Jira Data'!$A:$R, 11, FALSE), "-")</f>
        <v>-</v>
      </c>
      <c r="AI19" s="426" t="str">
        <f>IFERROR(VLOOKUP($J19, 'Jira Data'!$A:$R, 12, FALSE), "-")</f>
        <v>-</v>
      </c>
      <c r="AJ19" s="425" t="str">
        <f>IFERROR(IF(VLOOKUP($J19, 'Jira Data'!$A:$R, 9, FALSE)="","-",VLOOKUP($J19, 'Jira Data'!$A:$R, 9, FALSE)), "-")</f>
        <v>-</v>
      </c>
      <c r="AK19" s="415" t="str">
        <f t="shared" si="3"/>
        <v>-</v>
      </c>
      <c r="AL19" s="16" t="str">
        <f t="shared" si="4"/>
        <v>-</v>
      </c>
      <c r="AM19" s="16" t="str">
        <f>IFERROR(VLOOKUP($J19, 'Jira Data'!$A:$R, 15, FALSE), "-")</f>
        <v>-</v>
      </c>
      <c r="AN19" s="16" t="str">
        <f>IFERROR(VLOOKUP($J19, 'Jira Data'!$A:$R, 16, FALSE), "-")</f>
        <v>-</v>
      </c>
      <c r="AO19" s="426" t="str">
        <f>IFERROR(VLOOKUP($J19, 'Jira Data'!$A:$R, 18, FALSE), "-")</f>
        <v>-</v>
      </c>
      <c r="AP19" s="425" t="str">
        <f>IFERROR(IF(VLOOKUP($J19, 'Jira Data'!$A:$R, 10, FALSE)="", "-", VLOOKUP($J19, 'Jira Data'!$A:$R, 10, FALSE)), "-")</f>
        <v>-</v>
      </c>
      <c r="AQ19" s="16" t="str">
        <f>IFERROR(VLOOKUP($J19, 'Jira Data'!$A:$R, 13, FALSE), "-")</f>
        <v>-</v>
      </c>
      <c r="AR19" s="426" t="str">
        <f>IFERROR(VLOOKUP($J19, 'Jira Data'!$A:$R, 14, FALSE), "-")</f>
        <v>-</v>
      </c>
      <c r="AS19" s="49">
        <f t="shared" si="12"/>
        <v>0</v>
      </c>
      <c r="AT19" s="90">
        <f t="shared" si="6"/>
        <v>0</v>
      </c>
      <c r="AU19" s="433" t="str">
        <f t="shared" si="7"/>
        <v>-</v>
      </c>
    </row>
    <row r="20" spans="2:47" ht="17" thickBot="1" x14ac:dyDescent="0.25">
      <c r="B20" s="644" t="s">
        <v>128</v>
      </c>
      <c r="C20" s="644"/>
      <c r="D20" s="644"/>
      <c r="E20" s="644" t="s">
        <v>128</v>
      </c>
      <c r="F20" s="29"/>
      <c r="G20" s="30"/>
      <c r="H20" s="102"/>
      <c r="I20" s="162" t="s">
        <v>51</v>
      </c>
      <c r="J20" s="11"/>
      <c r="K20" s="408"/>
      <c r="L20" s="400"/>
      <c r="M20" s="400"/>
      <c r="N20" s="400"/>
      <c r="O20" s="400"/>
      <c r="P20" s="400"/>
      <c r="Q20" s="400"/>
      <c r="R20" s="441" t="s">
        <v>149</v>
      </c>
      <c r="S20" s="586"/>
      <c r="T20" s="52"/>
      <c r="U20" s="117" t="str">
        <f t="shared" si="8"/>
        <v>-</v>
      </c>
      <c r="V20" s="117" t="str">
        <f t="shared" si="9"/>
        <v>-</v>
      </c>
      <c r="W20" s="113"/>
      <c r="X20" s="413" t="str">
        <f>IFERROR(IF(VLOOKUP($J20, 'Jira Data'!$A:$R, 6, FALSE)="", "-", VLOOKUP($J20, 'Jira Data'!$A:$R, 6, FALSE)), "-")</f>
        <v>-</v>
      </c>
      <c r="Y20" s="419" t="str">
        <f>IFERROR(IF(VLOOKUP($J20, 'Jira Data'!$A:$R, 7, FALSE)="", "-", VLOOKUP($J20, 'Jira Data'!$A:$R, 7, FALSE)), "-")</f>
        <v>-</v>
      </c>
      <c r="Z20" s="567" cm="1">
        <f t="array" ref="Z20">CountUniquePeopleByTask($I20,$K$43:$AS$49,$I$43:$J$49)</f>
        <v>0</v>
      </c>
      <c r="AA20" s="49">
        <f t="shared" si="0"/>
        <v>0</v>
      </c>
      <c r="AB20" s="439" t="str">
        <f t="shared" si="10"/>
        <v>-</v>
      </c>
      <c r="AC20" s="35">
        <f t="shared" si="1"/>
        <v>0</v>
      </c>
      <c r="AD20" s="422">
        <f t="shared" si="2"/>
        <v>0</v>
      </c>
      <c r="AE20" s="567" cm="1">
        <f t="array" ref="AE20">CountUniquePeopleByTask($I20,$K$31:$AS$37,$I$31:$J$37)</f>
        <v>0</v>
      </c>
      <c r="AF20" s="452" t="str">
        <f>IFERROR(VLOOKUP($J20, 'Jira Data'!$A:$R, 3, FALSE), "-")</f>
        <v>-</v>
      </c>
      <c r="AG20" s="425" t="str">
        <f>IFERROR(IF(VLOOKUP($J20, 'Jira Data'!$A:$R, 8, FALSE)="","-",VLOOKUP($J20, 'Jira Data'!$A:$R, 8, FALSE)),"-")</f>
        <v>-</v>
      </c>
      <c r="AH20" s="16" t="str">
        <f>IFERROR(VLOOKUP($J20, 'Jira Data'!$A:$R, 11, FALSE), "-")</f>
        <v>-</v>
      </c>
      <c r="AI20" s="426" t="str">
        <f>IFERROR(VLOOKUP($J20, 'Jira Data'!$A:$R, 12, FALSE), "-")</f>
        <v>-</v>
      </c>
      <c r="AJ20" s="425" t="str">
        <f>IFERROR(IF(VLOOKUP($J20, 'Jira Data'!$A:$R, 9, FALSE)="","-",VLOOKUP($J20, 'Jira Data'!$A:$R, 9, FALSE)), "-")</f>
        <v>-</v>
      </c>
      <c r="AK20" s="415" t="str">
        <f t="shared" si="3"/>
        <v>-</v>
      </c>
      <c r="AL20" s="16" t="str">
        <f t="shared" si="4"/>
        <v>-</v>
      </c>
      <c r="AM20" s="16" t="str">
        <f>IFERROR(VLOOKUP($J20, 'Jira Data'!$A:$R, 15, FALSE), "-")</f>
        <v>-</v>
      </c>
      <c r="AN20" s="16" t="str">
        <f>IFERROR(VLOOKUP($J20, 'Jira Data'!$A:$R, 16, FALSE), "-")</f>
        <v>-</v>
      </c>
      <c r="AO20" s="426" t="str">
        <f>IFERROR(VLOOKUP($J20, 'Jira Data'!$A:$R, 18, FALSE), "-")</f>
        <v>-</v>
      </c>
      <c r="AP20" s="425" t="str">
        <f>IFERROR(IF(VLOOKUP($J20, 'Jira Data'!$A:$R, 10, FALSE)="", "-", VLOOKUP($J20, 'Jira Data'!$A:$R, 10, FALSE)), "-")</f>
        <v>-</v>
      </c>
      <c r="AQ20" s="16" t="str">
        <f>IFERROR(VLOOKUP($J20, 'Jira Data'!$A:$R, 13, FALSE), "-")</f>
        <v>-</v>
      </c>
      <c r="AR20" s="426" t="str">
        <f>IFERROR(VLOOKUP($J20, 'Jira Data'!$A:$R, 14, FALSE), "-")</f>
        <v>-</v>
      </c>
      <c r="AS20" s="49">
        <f t="shared" si="12"/>
        <v>0</v>
      </c>
      <c r="AT20" s="90">
        <f t="shared" si="6"/>
        <v>0</v>
      </c>
      <c r="AU20" s="433" t="str">
        <f t="shared" si="7"/>
        <v>-</v>
      </c>
    </row>
    <row r="21" spans="2:47" x14ac:dyDescent="0.2">
      <c r="B21" s="693" t="s">
        <v>175</v>
      </c>
      <c r="C21" s="694"/>
      <c r="D21" s="157">
        <v>0.25</v>
      </c>
      <c r="E21" s="156"/>
      <c r="F21" s="29"/>
      <c r="G21" s="30"/>
      <c r="H21" s="102"/>
      <c r="I21" s="248" t="s">
        <v>62</v>
      </c>
      <c r="J21" s="11"/>
      <c r="K21" s="23"/>
      <c r="L21" s="24"/>
      <c r="M21" s="24"/>
      <c r="N21" s="24"/>
      <c r="O21" s="24"/>
      <c r="P21" s="24"/>
      <c r="Q21" s="24"/>
      <c r="R21" s="441" t="s">
        <v>26</v>
      </c>
      <c r="S21" s="586"/>
      <c r="T21" s="52"/>
      <c r="U21" s="117" t="str">
        <f t="shared" si="8"/>
        <v>-</v>
      </c>
      <c r="V21" s="117" t="str">
        <f t="shared" si="9"/>
        <v>-</v>
      </c>
      <c r="W21" s="113"/>
      <c r="X21" s="413" t="str">
        <f>IFERROR(IF(VLOOKUP($J21, 'Jira Data'!$A:$R, 6, FALSE)="", "-", VLOOKUP($J21, 'Jira Data'!$A:$R, 6, FALSE)), "-")</f>
        <v>-</v>
      </c>
      <c r="Y21" s="419" t="str">
        <f>IFERROR(IF(VLOOKUP($J21, 'Jira Data'!$A:$R, 7, FALSE)="", "-", VLOOKUP($J21, 'Jira Data'!$A:$R, 7, FALSE)), "-")</f>
        <v>-</v>
      </c>
      <c r="Z21" s="567" cm="1">
        <f t="array" ref="Z21">CountUniquePeopleByTask($I21,$K$43:$AS$49,$I$43:$J$49)</f>
        <v>0</v>
      </c>
      <c r="AA21" s="49">
        <f t="shared" si="0"/>
        <v>0</v>
      </c>
      <c r="AB21" s="439" t="str">
        <f t="shared" si="10"/>
        <v>-</v>
      </c>
      <c r="AC21" s="35">
        <f t="shared" si="1"/>
        <v>0</v>
      </c>
      <c r="AD21" s="422">
        <f t="shared" si="2"/>
        <v>0</v>
      </c>
      <c r="AE21" s="567" cm="1">
        <f t="array" ref="AE21">CountUniquePeopleByTask($I21,$K$31:$AS$37,$I$31:$J$37)</f>
        <v>0</v>
      </c>
      <c r="AF21" s="452" t="str">
        <f>IFERROR(VLOOKUP($J21, 'Jira Data'!$A:$R, 3, FALSE), "-")</f>
        <v>-</v>
      </c>
      <c r="AG21" s="425" t="str">
        <f>IFERROR(IF(VLOOKUP($J21, 'Jira Data'!$A:$R, 8, FALSE)="","-",VLOOKUP($J21, 'Jira Data'!$A:$R, 8, FALSE)),"-")</f>
        <v>-</v>
      </c>
      <c r="AH21" s="16" t="str">
        <f>IFERROR(VLOOKUP($J21, 'Jira Data'!$A:$R, 11, FALSE), "-")</f>
        <v>-</v>
      </c>
      <c r="AI21" s="426" t="str">
        <f>IFERROR(VLOOKUP($J21, 'Jira Data'!$A:$R, 12, FALSE), "-")</f>
        <v>-</v>
      </c>
      <c r="AJ21" s="425" t="str">
        <f>IFERROR(IF(VLOOKUP($J21, 'Jira Data'!$A:$R, 9, FALSE)="","-",VLOOKUP($J21, 'Jira Data'!$A:$R, 9, FALSE)), "-")</f>
        <v>-</v>
      </c>
      <c r="AK21" s="415" t="str">
        <f t="shared" si="3"/>
        <v>-</v>
      </c>
      <c r="AL21" s="16" t="str">
        <f t="shared" si="4"/>
        <v>-</v>
      </c>
      <c r="AM21" s="16" t="str">
        <f>IFERROR(VLOOKUP($J21, 'Jira Data'!$A:$R, 15, FALSE), "-")</f>
        <v>-</v>
      </c>
      <c r="AN21" s="16" t="str">
        <f>IFERROR(VLOOKUP($J21, 'Jira Data'!$A:$R, 16, FALSE), "-")</f>
        <v>-</v>
      </c>
      <c r="AO21" s="426" t="str">
        <f>IFERROR(VLOOKUP($J21, 'Jira Data'!$A:$R, 18, FALSE), "-")</f>
        <v>-</v>
      </c>
      <c r="AP21" s="425" t="str">
        <f>IFERROR(IF(VLOOKUP($J21, 'Jira Data'!$A:$R, 10, FALSE)="", "-", VLOOKUP($J21, 'Jira Data'!$A:$R, 10, FALSE)), "-")</f>
        <v>-</v>
      </c>
      <c r="AQ21" s="16" t="str">
        <f>IFERROR(VLOOKUP($J21, 'Jira Data'!$A:$R, 13, FALSE), "-")</f>
        <v>-</v>
      </c>
      <c r="AR21" s="426" t="str">
        <f>IFERROR(VLOOKUP($J21, 'Jira Data'!$A:$R, 14, FALSE), "-")</f>
        <v>-</v>
      </c>
      <c r="AS21" s="49">
        <f t="shared" si="12"/>
        <v>0</v>
      </c>
      <c r="AT21" s="90">
        <f t="shared" si="6"/>
        <v>0</v>
      </c>
      <c r="AU21" s="433" t="str">
        <f t="shared" si="7"/>
        <v>-</v>
      </c>
    </row>
    <row r="22" spans="2:47" x14ac:dyDescent="0.2">
      <c r="B22" s="684" t="s">
        <v>24</v>
      </c>
      <c r="C22" s="685"/>
      <c r="D22" s="26">
        <v>0.125</v>
      </c>
      <c r="E22" s="156">
        <f>AC23</f>
        <v>0.11428571428571428</v>
      </c>
      <c r="F22" s="29"/>
      <c r="G22" s="30"/>
      <c r="H22" s="102"/>
      <c r="I22" s="159" t="s">
        <v>85</v>
      </c>
      <c r="J22" s="11"/>
      <c r="K22" s="408"/>
      <c r="L22" s="400"/>
      <c r="M22" s="400"/>
      <c r="N22" s="400"/>
      <c r="O22" s="400"/>
      <c r="P22" s="400"/>
      <c r="Q22" s="400"/>
      <c r="R22" s="441" t="s">
        <v>152</v>
      </c>
      <c r="S22" s="586"/>
      <c r="T22" s="52"/>
      <c r="U22" s="117" t="str">
        <f t="shared" si="8"/>
        <v>-</v>
      </c>
      <c r="V22" s="117" t="str">
        <f t="shared" si="9"/>
        <v>-</v>
      </c>
      <c r="W22" s="113"/>
      <c r="X22" s="413" t="str">
        <f>IFERROR(IF(VLOOKUP($J22, 'Jira Data'!$A:$R, 6, FALSE)="", "-", VLOOKUP($J22, 'Jira Data'!$A:$R, 6, FALSE)), "-")</f>
        <v>-</v>
      </c>
      <c r="Y22" s="419" t="str">
        <f>IFERROR(IF(VLOOKUP($J22, 'Jira Data'!$A:$R, 7, FALSE)="", "-", VLOOKUP($J22, 'Jira Data'!$A:$R, 7, FALSE)), "-")</f>
        <v>-</v>
      </c>
      <c r="Z22" s="567" cm="1">
        <f t="array" ref="Z22">CountUniquePeopleByTask($I22,$K$43:$AS$49,$I$43:$J$49)</f>
        <v>0</v>
      </c>
      <c r="AA22" s="49">
        <f t="shared" si="0"/>
        <v>0</v>
      </c>
      <c r="AB22" s="439" t="str">
        <f t="shared" si="10"/>
        <v>-</v>
      </c>
      <c r="AC22" s="35">
        <f t="shared" si="1"/>
        <v>0</v>
      </c>
      <c r="AD22" s="422">
        <f t="shared" si="2"/>
        <v>0</v>
      </c>
      <c r="AE22" s="567" cm="1">
        <f t="array" ref="AE22">CountUniquePeopleByTask($I22,$K$31:$AS$37,$I$31:$J$37)</f>
        <v>0</v>
      </c>
      <c r="AF22" s="452" t="str">
        <f>IFERROR(VLOOKUP($J22, 'Jira Data'!$A:$R, 3, FALSE), "-")</f>
        <v>-</v>
      </c>
      <c r="AG22" s="425" t="str">
        <f>IFERROR(IF(VLOOKUP($J22, 'Jira Data'!$A:$R, 8, FALSE)="","-",VLOOKUP($J22, 'Jira Data'!$A:$R, 8, FALSE)),"-")</f>
        <v>-</v>
      </c>
      <c r="AH22" s="16" t="str">
        <f>IFERROR(VLOOKUP($J22, 'Jira Data'!$A:$R, 11, FALSE), "-")</f>
        <v>-</v>
      </c>
      <c r="AI22" s="426" t="str">
        <f>IFERROR(VLOOKUP($J22, 'Jira Data'!$A:$R, 12, FALSE), "-")</f>
        <v>-</v>
      </c>
      <c r="AJ22" s="425" t="str">
        <f>IFERROR(IF(VLOOKUP($J22, 'Jira Data'!$A:$R, 9, FALSE)="","-",VLOOKUP($J22, 'Jira Data'!$A:$R, 9, FALSE)), "-")</f>
        <v>-</v>
      </c>
      <c r="AK22" s="415" t="str">
        <f t="shared" si="3"/>
        <v>-</v>
      </c>
      <c r="AL22" s="16" t="str">
        <f t="shared" si="4"/>
        <v>-</v>
      </c>
      <c r="AM22" s="16" t="str">
        <f>IFERROR(VLOOKUP($J22, 'Jira Data'!$A:$R, 15, FALSE), "-")</f>
        <v>-</v>
      </c>
      <c r="AN22" s="16" t="str">
        <f>IFERROR(VLOOKUP($J22, 'Jira Data'!$A:$R, 16, FALSE), "-")</f>
        <v>-</v>
      </c>
      <c r="AO22" s="426" t="str">
        <f>IFERROR(VLOOKUP($J22, 'Jira Data'!$A:$R, 18, FALSE), "-")</f>
        <v>-</v>
      </c>
      <c r="AP22" s="425" t="str">
        <f>IFERROR(IF(VLOOKUP($J22, 'Jira Data'!$A:$R, 10, FALSE)="", "-", VLOOKUP($J22, 'Jira Data'!$A:$R, 10, FALSE)), "-")</f>
        <v>-</v>
      </c>
      <c r="AQ22" s="16" t="str">
        <f>IFERROR(VLOOKUP($J22, 'Jira Data'!$A:$R, 13, FALSE), "-")</f>
        <v>-</v>
      </c>
      <c r="AR22" s="426" t="str">
        <f>IFERROR(VLOOKUP($J22, 'Jira Data'!$A:$R, 14, FALSE), "-")</f>
        <v>-</v>
      </c>
      <c r="AS22" s="49">
        <f t="shared" si="12"/>
        <v>0</v>
      </c>
      <c r="AT22" s="90">
        <f t="shared" si="6"/>
        <v>0</v>
      </c>
      <c r="AU22" s="433" t="str">
        <f t="shared" si="7"/>
        <v>-</v>
      </c>
    </row>
    <row r="23" spans="2:47" x14ac:dyDescent="0.2">
      <c r="B23" s="684" t="s">
        <v>28</v>
      </c>
      <c r="C23" s="685"/>
      <c r="D23" s="686"/>
      <c r="E23" s="93">
        <v>2</v>
      </c>
      <c r="F23" s="29"/>
      <c r="G23" s="30"/>
      <c r="H23" s="102"/>
      <c r="I23" s="54" t="s">
        <v>23</v>
      </c>
      <c r="J23" s="11"/>
      <c r="K23" s="408" t="s">
        <v>24</v>
      </c>
      <c r="L23" s="400"/>
      <c r="M23" s="400"/>
      <c r="N23" s="400"/>
      <c r="O23" s="400"/>
      <c r="P23" s="400"/>
      <c r="Q23" s="400"/>
      <c r="R23" s="441" t="s">
        <v>23</v>
      </c>
      <c r="S23" s="586"/>
      <c r="T23" s="52"/>
      <c r="U23" s="117" t="str">
        <f t="shared" si="8"/>
        <v>-</v>
      </c>
      <c r="V23" s="117" t="str">
        <f t="shared" si="9"/>
        <v>-</v>
      </c>
      <c r="W23" s="113"/>
      <c r="X23" s="413" t="str">
        <f>IFERROR(IF(VLOOKUP($J23, 'Jira Data'!$A:$R, 6, FALSE)="", "-", VLOOKUP($J23, 'Jira Data'!$A:$R, 6, FALSE)), "-")</f>
        <v>-</v>
      </c>
      <c r="Y23" s="419" t="str">
        <f>IFERROR(IF(VLOOKUP($J23, 'Jira Data'!$A:$R, 7, FALSE)="", "-", VLOOKUP($J23, 'Jira Data'!$A:$R, 7, FALSE)), "-")</f>
        <v>-</v>
      </c>
      <c r="Z23" s="567" cm="1">
        <f t="array" ref="Z23">CountUniquePeopleByTask($I23,$K$43:$AS$49,$I$43:$J$49)</f>
        <v>5</v>
      </c>
      <c r="AA23" s="49">
        <f t="shared" si="0"/>
        <v>24</v>
      </c>
      <c r="AB23" s="439" t="str">
        <f t="shared" si="10"/>
        <v>-</v>
      </c>
      <c r="AC23" s="35">
        <f t="shared" si="1"/>
        <v>0.11428571428571428</v>
      </c>
      <c r="AD23" s="422">
        <f t="shared" si="2"/>
        <v>130.64000000000001</v>
      </c>
      <c r="AE23" s="567" cm="1">
        <f t="array" ref="AE23">CountUniquePeopleByTask($I23,$K$31:$AS$37,$I$31:$J$37)</f>
        <v>5</v>
      </c>
      <c r="AF23" s="452" t="str">
        <f>IFERROR(VLOOKUP($J23, 'Jira Data'!$A:$R, 3, FALSE), "-")</f>
        <v>-</v>
      </c>
      <c r="AG23" s="425" t="str">
        <f>IFERROR(IF(VLOOKUP($J23, 'Jira Data'!$A:$R, 8, FALSE)="","-",VLOOKUP($J23, 'Jira Data'!$A:$R, 8, FALSE)),"-")</f>
        <v>-</v>
      </c>
      <c r="AH23" s="16" t="str">
        <f>IFERROR(VLOOKUP($J23, 'Jira Data'!$A:$R, 11, FALSE), "-")</f>
        <v>-</v>
      </c>
      <c r="AI23" s="426" t="str">
        <f>IFERROR(VLOOKUP($J23, 'Jira Data'!$A:$R, 12, FALSE), "-")</f>
        <v>-</v>
      </c>
      <c r="AJ23" s="425" t="str">
        <f>IFERROR(IF(VLOOKUP($J23, 'Jira Data'!$A:$R, 9, FALSE)="","-",VLOOKUP($J23, 'Jira Data'!$A:$R, 9, FALSE)), "-")</f>
        <v>-</v>
      </c>
      <c r="AK23" s="415" t="str">
        <f t="shared" si="3"/>
        <v>-</v>
      </c>
      <c r="AL23" s="16" t="str">
        <f t="shared" si="4"/>
        <v>-</v>
      </c>
      <c r="AM23" s="16" t="str">
        <f>IFERROR(VLOOKUP($J23, 'Jira Data'!$A:$R, 15, FALSE), "-")</f>
        <v>-</v>
      </c>
      <c r="AN23" s="16" t="str">
        <f>IFERROR(VLOOKUP($J23, 'Jira Data'!$A:$R, 16, FALSE), "-")</f>
        <v>-</v>
      </c>
      <c r="AO23" s="426" t="str">
        <f>IFERROR(VLOOKUP($J23, 'Jira Data'!$A:$R, 18, FALSE), "-")</f>
        <v>-</v>
      </c>
      <c r="AP23" s="425" t="str">
        <f>IFERROR(IF(VLOOKUP($J23, 'Jira Data'!$A:$R, 10, FALSE)="", "-", VLOOKUP($J23, 'Jira Data'!$A:$R, 10, FALSE)), "-")</f>
        <v>-</v>
      </c>
      <c r="AQ23" s="16" t="str">
        <f>IFERROR(VLOOKUP($J23, 'Jira Data'!$A:$R, 13, FALSE), "-")</f>
        <v>-</v>
      </c>
      <c r="AR23" s="426" t="str">
        <f>IFERROR(VLOOKUP($J23, 'Jira Data'!$A:$R, 14, FALSE), "-")</f>
        <v>-</v>
      </c>
      <c r="AS23" s="49">
        <f t="shared" si="12"/>
        <v>24</v>
      </c>
      <c r="AT23" s="90">
        <f t="shared" si="6"/>
        <v>130.64000000000001</v>
      </c>
      <c r="AU23" s="433">
        <f t="shared" si="7"/>
        <v>0</v>
      </c>
    </row>
    <row r="24" spans="2:47" ht="17" thickBot="1" x14ac:dyDescent="0.25">
      <c r="B24" s="687" t="s">
        <v>32</v>
      </c>
      <c r="C24" s="688"/>
      <c r="D24" s="689"/>
      <c r="E24" s="96">
        <v>2</v>
      </c>
      <c r="F24" s="29"/>
      <c r="G24" s="30"/>
      <c r="H24" s="102"/>
      <c r="I24" s="53" t="s">
        <v>126</v>
      </c>
      <c r="J24" s="11"/>
      <c r="K24" s="408" t="s">
        <v>27</v>
      </c>
      <c r="L24" s="400"/>
      <c r="M24" s="400"/>
      <c r="N24" s="400"/>
      <c r="O24" s="400"/>
      <c r="P24" s="400"/>
      <c r="Q24" s="400"/>
      <c r="R24" s="441" t="s">
        <v>26</v>
      </c>
      <c r="S24" s="586"/>
      <c r="T24" s="52"/>
      <c r="U24" s="117" t="str">
        <f t="shared" si="8"/>
        <v>-</v>
      </c>
      <c r="V24" s="117" t="str">
        <f t="shared" si="9"/>
        <v>-</v>
      </c>
      <c r="W24" s="113"/>
      <c r="X24" s="413" t="str">
        <f>IFERROR(IF(VLOOKUP($J24, 'Jira Data'!$A:$R, 6, FALSE)="", "-", VLOOKUP($J24, 'Jira Data'!$A:$R, 6, FALSE)), "-")</f>
        <v>-</v>
      </c>
      <c r="Y24" s="419" t="str">
        <f>IFERROR(IF(VLOOKUP($J24, 'Jira Data'!$A:$R, 7, FALSE)="", "-", VLOOKUP($J24, 'Jira Data'!$A:$R, 7, FALSE)), "-")</f>
        <v>-</v>
      </c>
      <c r="Z24" s="567" cm="1">
        <f t="array" ref="Z24">CountUniquePeopleByTask($I24,$K$43:$AS$49,$I$43:$J$49)</f>
        <v>0</v>
      </c>
      <c r="AA24" s="49">
        <f t="shared" si="0"/>
        <v>0</v>
      </c>
      <c r="AB24" s="439" t="str">
        <f t="shared" si="10"/>
        <v>-</v>
      </c>
      <c r="AC24" s="35">
        <f t="shared" si="1"/>
        <v>0</v>
      </c>
      <c r="AD24" s="422">
        <f t="shared" si="2"/>
        <v>0</v>
      </c>
      <c r="AE24" s="567" cm="1">
        <f t="array" ref="AE24">CountUniquePeopleByTask($I24,$K$31:$AS$37,$I$31:$J$37)</f>
        <v>0</v>
      </c>
      <c r="AF24" s="452" t="str">
        <f>IFERROR(VLOOKUP($J24, 'Jira Data'!$A:$R, 3, FALSE), "-")</f>
        <v>-</v>
      </c>
      <c r="AG24" s="425" t="str">
        <f>IFERROR(IF(VLOOKUP($J24, 'Jira Data'!$A:$R, 8, FALSE)="","-",VLOOKUP($J24, 'Jira Data'!$A:$R, 8, FALSE)),"-")</f>
        <v>-</v>
      </c>
      <c r="AH24" s="16" t="str">
        <f>IFERROR(VLOOKUP($J24, 'Jira Data'!$A:$R, 11, FALSE), "-")</f>
        <v>-</v>
      </c>
      <c r="AI24" s="426" t="str">
        <f>IFERROR(VLOOKUP($J24, 'Jira Data'!$A:$R, 12, FALSE), "-")</f>
        <v>-</v>
      </c>
      <c r="AJ24" s="425" t="str">
        <f>IFERROR(IF(VLOOKUP($J24, 'Jira Data'!$A:$R, 9, FALSE)="","-",VLOOKUP($J24, 'Jira Data'!$A:$R, 9, FALSE)), "-")</f>
        <v>-</v>
      </c>
      <c r="AK24" s="415" t="str">
        <f t="shared" si="3"/>
        <v>-</v>
      </c>
      <c r="AL24" s="16" t="str">
        <f t="shared" si="4"/>
        <v>-</v>
      </c>
      <c r="AM24" s="16" t="str">
        <f>IFERROR(VLOOKUP($J24, 'Jira Data'!$A:$R, 15, FALSE), "-")</f>
        <v>-</v>
      </c>
      <c r="AN24" s="16" t="str">
        <f>IFERROR(VLOOKUP($J24, 'Jira Data'!$A:$R, 16, FALSE), "-")</f>
        <v>-</v>
      </c>
      <c r="AO24" s="426" t="str">
        <f>IFERROR(VLOOKUP($J24, 'Jira Data'!$A:$R, 18, FALSE), "-")</f>
        <v>-</v>
      </c>
      <c r="AP24" s="425" t="str">
        <f>IFERROR(IF(VLOOKUP($J24, 'Jira Data'!$A:$R, 10, FALSE)="", "-", VLOOKUP($J24, 'Jira Data'!$A:$R, 10, FALSE)), "-")</f>
        <v>-</v>
      </c>
      <c r="AQ24" s="16" t="str">
        <f>IFERROR(VLOOKUP($J24, 'Jira Data'!$A:$R, 13, FALSE), "-")</f>
        <v>-</v>
      </c>
      <c r="AR24" s="426" t="str">
        <f>IFERROR(VLOOKUP($J24, 'Jira Data'!$A:$R, 14, FALSE), "-")</f>
        <v>-</v>
      </c>
      <c r="AS24" s="49">
        <f t="shared" si="12"/>
        <v>0</v>
      </c>
      <c r="AT24" s="90">
        <f t="shared" si="6"/>
        <v>0</v>
      </c>
      <c r="AU24" s="433" t="str">
        <f t="shared" si="7"/>
        <v>-</v>
      </c>
    </row>
    <row r="25" spans="2:47" ht="17" thickBot="1" x14ac:dyDescent="0.25">
      <c r="B25" s="19"/>
      <c r="C25" s="19"/>
      <c r="D25" s="19"/>
      <c r="E25" s="19"/>
      <c r="F25" s="29"/>
      <c r="G25" s="30"/>
      <c r="H25" s="324"/>
      <c r="I25" s="443" t="s">
        <v>29</v>
      </c>
      <c r="J25" s="106"/>
      <c r="K25" s="409" t="s">
        <v>30</v>
      </c>
      <c r="L25" s="410"/>
      <c r="M25" s="410"/>
      <c r="N25" s="410"/>
      <c r="O25" s="410"/>
      <c r="P25" s="410"/>
      <c r="Q25" s="410"/>
      <c r="R25" s="442" t="s">
        <v>29</v>
      </c>
      <c r="S25" s="588"/>
      <c r="T25" s="127"/>
      <c r="U25" s="118" t="str">
        <f t="shared" si="8"/>
        <v>-</v>
      </c>
      <c r="V25" s="118" t="str">
        <f t="shared" si="9"/>
        <v>-</v>
      </c>
      <c r="W25" s="114"/>
      <c r="X25" s="414" t="str">
        <f>IFERROR(IF(VLOOKUP($J25, 'Jira Data'!$A:$R, 6, FALSE)="", "-", VLOOKUP($J25, 'Jira Data'!$A:$R, 6, FALSE)), "-")</f>
        <v>-</v>
      </c>
      <c r="Y25" s="421" t="str">
        <f>IFERROR(IF(VLOOKUP($J25, 'Jira Data'!$A:$R, 7, FALSE)="", "-", VLOOKUP($J25, 'Jira Data'!$A:$R, 7, FALSE)), "-")</f>
        <v>-</v>
      </c>
      <c r="Z25" s="568" cm="1">
        <f t="array" ref="Z25">CountUniquePeopleByTask($I25,$K$43:$AS$49,$I$43:$J$49)</f>
        <v>1</v>
      </c>
      <c r="AA25" s="86">
        <f t="shared" si="0"/>
        <v>11</v>
      </c>
      <c r="AB25" s="440" t="str">
        <f t="shared" si="10"/>
        <v>-</v>
      </c>
      <c r="AC25" s="43">
        <f t="shared" si="1"/>
        <v>5.2380952380952382E-2</v>
      </c>
      <c r="AD25" s="423">
        <f t="shared" si="2"/>
        <v>59.876666666666679</v>
      </c>
      <c r="AE25" s="568" cm="1">
        <f t="array" ref="AE25">CountUniquePeopleByTask($I25,$K$31:$AS$37,$I$31:$J$37)</f>
        <v>1</v>
      </c>
      <c r="AF25" s="453" t="str">
        <f>IFERROR(VLOOKUP($J25, 'Jira Data'!$A:$R, 3, FALSE), "-")</f>
        <v>-</v>
      </c>
      <c r="AG25" s="427" t="str">
        <f>IFERROR(IF(VLOOKUP($J25, 'Jira Data'!$A:$R, 8, FALSE)="","-",VLOOKUP($J25, 'Jira Data'!$A:$R, 8, FALSE)),"-")</f>
        <v>-</v>
      </c>
      <c r="AH25" s="41" t="str">
        <f>IFERROR(VLOOKUP($J25, 'Jira Data'!$A:$R, 11, FALSE), "-")</f>
        <v>-</v>
      </c>
      <c r="AI25" s="428" t="str">
        <f>IFERROR(VLOOKUP($J25, 'Jira Data'!$A:$R, 12, FALSE), "-")</f>
        <v>-</v>
      </c>
      <c r="AJ25" s="427" t="str">
        <f>IFERROR(IF(VLOOKUP($J25, 'Jira Data'!$A:$R, 9, FALSE)="","-",VLOOKUP($J25, 'Jira Data'!$A:$R, 9, FALSE)), "-")</f>
        <v>-</v>
      </c>
      <c r="AK25" s="430" t="str">
        <f t="shared" si="3"/>
        <v>-</v>
      </c>
      <c r="AL25" s="41" t="str">
        <f t="shared" si="4"/>
        <v>-</v>
      </c>
      <c r="AM25" s="41" t="str">
        <f>IFERROR(VLOOKUP($J25, 'Jira Data'!$A:$R, 15, FALSE), "-")</f>
        <v>-</v>
      </c>
      <c r="AN25" s="41" t="str">
        <f>IFERROR(VLOOKUP($J25, 'Jira Data'!$A:$R, 16, FALSE), "-")</f>
        <v>-</v>
      </c>
      <c r="AO25" s="428" t="str">
        <f>IFERROR(VLOOKUP($J25, 'Jira Data'!$A:$R, 18, FALSE), "-")</f>
        <v>-</v>
      </c>
      <c r="AP25" s="427" t="str">
        <f>IFERROR(IF(VLOOKUP($J25, 'Jira Data'!$A:$R, 10, FALSE)="", "-", VLOOKUP($J25, 'Jira Data'!$A:$R, 10, FALSE)), "-")</f>
        <v>-</v>
      </c>
      <c r="AQ25" s="41" t="str">
        <f>IFERROR(VLOOKUP($J25, 'Jira Data'!$A:$R, 13, FALSE), "-")</f>
        <v>-</v>
      </c>
      <c r="AR25" s="428" t="str">
        <f>IFERROR(VLOOKUP($J25, 'Jira Data'!$A:$R, 14, FALSE), "-")</f>
        <v>-</v>
      </c>
      <c r="AS25" s="86">
        <f t="shared" si="12"/>
        <v>11</v>
      </c>
      <c r="AT25" s="434">
        <f t="shared" si="6"/>
        <v>59.876666666666679</v>
      </c>
      <c r="AU25" s="435">
        <f t="shared" si="7"/>
        <v>0</v>
      </c>
    </row>
    <row r="26" spans="2:47" ht="17" thickBot="1" x14ac:dyDescent="0.25">
      <c r="B26" s="677" t="s">
        <v>54</v>
      </c>
      <c r="C26" s="679"/>
      <c r="D26" s="502"/>
      <c r="E26" s="502"/>
      <c r="F26" s="29"/>
      <c r="G26" s="30"/>
      <c r="I26" s="12"/>
      <c r="J26" s="12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51"/>
      <c r="W26" s="51"/>
      <c r="X26" s="51"/>
      <c r="Y26" s="51"/>
      <c r="Z26" s="51"/>
      <c r="AA26" s="436">
        <f>SUM(AA6:AA25)</f>
        <v>210</v>
      </c>
      <c r="AB26" s="51"/>
      <c r="AC26" s="51"/>
      <c r="AD26" s="436">
        <f>SUM(AD6:AD25)</f>
        <v>1143.1000000000004</v>
      </c>
      <c r="AE26" s="450"/>
      <c r="AF26" s="450"/>
      <c r="AG26" s="51"/>
      <c r="AH26" s="51"/>
      <c r="AI26" s="51"/>
      <c r="AJ26" s="1"/>
      <c r="AK26" s="1"/>
      <c r="AL26" s="1"/>
      <c r="AM26" s="1"/>
      <c r="AP26" s="1"/>
      <c r="AQ26" s="1"/>
      <c r="AR26" s="1"/>
      <c r="AS26" s="436">
        <f>SUM(AS6:AS25)</f>
        <v>210</v>
      </c>
      <c r="AT26" s="436">
        <f>SUM(AT6:AT25)</f>
        <v>1143.1000000000004</v>
      </c>
    </row>
    <row r="27" spans="2:47" x14ac:dyDescent="0.2">
      <c r="B27" s="97"/>
      <c r="C27" s="464" t="s">
        <v>37</v>
      </c>
      <c r="D27" s="503"/>
      <c r="E27" s="503"/>
      <c r="F27" s="29"/>
      <c r="G27" s="30"/>
    </row>
    <row r="28" spans="2:47" x14ac:dyDescent="0.2">
      <c r="B28" s="97" t="s">
        <v>177</v>
      </c>
      <c r="C28" s="426">
        <f>COUNTIF($B$4:$B$11,"=D")</f>
        <v>7</v>
      </c>
      <c r="D28" s="1"/>
      <c r="F28" s="29"/>
      <c r="G28" s="30"/>
      <c r="K28" s="674" t="s">
        <v>41</v>
      </c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5"/>
      <c r="AN28" s="734"/>
    </row>
    <row r="29" spans="2:47" x14ac:dyDescent="0.2">
      <c r="B29" s="100" t="s">
        <v>42</v>
      </c>
      <c r="C29" s="426">
        <f>($E$14*5*$C$28)-($C$28*$E$16)</f>
        <v>210</v>
      </c>
      <c r="D29" s="1"/>
      <c r="F29" s="29"/>
      <c r="G29" s="30"/>
      <c r="I29"/>
      <c r="J29" s="7"/>
      <c r="K29" s="600" t="s">
        <v>43</v>
      </c>
      <c r="L29" s="601"/>
      <c r="M29" s="601"/>
      <c r="N29" s="601"/>
      <c r="O29" s="699"/>
      <c r="P29" s="601" t="s">
        <v>44</v>
      </c>
      <c r="Q29" s="601"/>
      <c r="R29" s="601"/>
      <c r="S29" s="601"/>
      <c r="T29" s="699"/>
      <c r="U29" s="601" t="s">
        <v>45</v>
      </c>
      <c r="V29" s="601"/>
      <c r="W29" s="601"/>
      <c r="X29" s="601"/>
      <c r="Y29" s="699"/>
      <c r="Z29" s="601" t="s">
        <v>46</v>
      </c>
      <c r="AA29" s="601"/>
      <c r="AB29" s="601"/>
      <c r="AC29" s="601"/>
      <c r="AD29" s="699"/>
      <c r="AE29" s="601" t="s">
        <v>47</v>
      </c>
      <c r="AF29" s="601"/>
      <c r="AG29" s="601"/>
      <c r="AH29" s="601"/>
      <c r="AI29" s="699"/>
      <c r="AJ29" s="601" t="s">
        <v>83</v>
      </c>
      <c r="AK29" s="601"/>
      <c r="AL29" s="601"/>
      <c r="AM29" s="601"/>
      <c r="AN29" s="727"/>
    </row>
    <row r="30" spans="2:47" x14ac:dyDescent="0.2">
      <c r="B30" s="97" t="s">
        <v>48</v>
      </c>
      <c r="C30" s="426">
        <f>8*$E$15</f>
        <v>7.36</v>
      </c>
      <c r="D30" s="1"/>
      <c r="F30" s="29"/>
      <c r="G30" s="30"/>
      <c r="I30" s="600" t="s">
        <v>49</v>
      </c>
      <c r="J30" s="601"/>
      <c r="K30" s="15">
        <f t="shared" ref="K30:AN30" si="13">$E$17+(7*ROUNDDOWN((COLUMN(K$30)-COLUMN($K$30))/5,0))+MOD(COLUMN(K$30)-COLUMN($K$30),5)</f>
        <v>45565</v>
      </c>
      <c r="L30" s="15">
        <f t="shared" si="13"/>
        <v>45566</v>
      </c>
      <c r="M30" s="15">
        <f t="shared" si="13"/>
        <v>45567</v>
      </c>
      <c r="N30" s="15">
        <f t="shared" si="13"/>
        <v>45568</v>
      </c>
      <c r="O30" s="284">
        <f t="shared" si="13"/>
        <v>45569</v>
      </c>
      <c r="P30" s="291">
        <f t="shared" si="13"/>
        <v>45572</v>
      </c>
      <c r="Q30" s="15">
        <f t="shared" si="13"/>
        <v>45573</v>
      </c>
      <c r="R30" s="15">
        <f t="shared" si="13"/>
        <v>45574</v>
      </c>
      <c r="S30" s="15">
        <f t="shared" si="13"/>
        <v>45575</v>
      </c>
      <c r="T30" s="284">
        <f t="shared" si="13"/>
        <v>45576</v>
      </c>
      <c r="U30" s="291">
        <f t="shared" si="13"/>
        <v>45579</v>
      </c>
      <c r="V30" s="15">
        <f t="shared" si="13"/>
        <v>45580</v>
      </c>
      <c r="W30" s="15">
        <f t="shared" si="13"/>
        <v>45581</v>
      </c>
      <c r="X30" s="15">
        <f t="shared" si="13"/>
        <v>45582</v>
      </c>
      <c r="Y30" s="284">
        <f t="shared" si="13"/>
        <v>45583</v>
      </c>
      <c r="Z30" s="291">
        <f t="shared" si="13"/>
        <v>45586</v>
      </c>
      <c r="AA30" s="15">
        <f t="shared" si="13"/>
        <v>45587</v>
      </c>
      <c r="AB30" s="15">
        <f t="shared" si="13"/>
        <v>45588</v>
      </c>
      <c r="AC30" s="15">
        <f t="shared" si="13"/>
        <v>45589</v>
      </c>
      <c r="AD30" s="284">
        <f t="shared" si="13"/>
        <v>45590</v>
      </c>
      <c r="AE30" s="291">
        <f t="shared" si="13"/>
        <v>45593</v>
      </c>
      <c r="AF30" s="15">
        <f t="shared" si="13"/>
        <v>45594</v>
      </c>
      <c r="AG30" s="15">
        <f t="shared" si="13"/>
        <v>45595</v>
      </c>
      <c r="AH30" s="15">
        <f t="shared" si="13"/>
        <v>45596</v>
      </c>
      <c r="AI30" s="284">
        <f t="shared" si="13"/>
        <v>45597</v>
      </c>
      <c r="AJ30" s="291">
        <f t="shared" si="13"/>
        <v>45600</v>
      </c>
      <c r="AK30" s="15">
        <f t="shared" si="13"/>
        <v>45601</v>
      </c>
      <c r="AL30" s="15">
        <f t="shared" si="13"/>
        <v>45602</v>
      </c>
      <c r="AM30" s="15">
        <f t="shared" si="13"/>
        <v>45603</v>
      </c>
      <c r="AN30" s="507">
        <f t="shared" si="13"/>
        <v>45604</v>
      </c>
    </row>
    <row r="31" spans="2:47" x14ac:dyDescent="0.2">
      <c r="B31" s="97" t="s">
        <v>50</v>
      </c>
      <c r="C31" s="426">
        <f>C29*C30</f>
        <v>1545.6000000000001</v>
      </c>
      <c r="D31" s="1"/>
      <c r="F31" s="29"/>
      <c r="G31" s="30"/>
      <c r="I31" s="593" t="str">
        <f t="shared" ref="I31:I37" si="14">$D4</f>
        <v>Andréa</v>
      </c>
      <c r="J31" s="683"/>
      <c r="K31" s="329" t="s">
        <v>267</v>
      </c>
      <c r="L31" s="329" t="s">
        <v>267</v>
      </c>
      <c r="M31" s="329" t="s">
        <v>267</v>
      </c>
      <c r="N31" s="329" t="s">
        <v>267</v>
      </c>
      <c r="O31" s="525" t="s">
        <v>267</v>
      </c>
      <c r="P31" s="343" t="s">
        <v>267</v>
      </c>
      <c r="Q31" s="329" t="s">
        <v>267</v>
      </c>
      <c r="R31" s="329" t="s">
        <v>267</v>
      </c>
      <c r="S31" s="329" t="s">
        <v>267</v>
      </c>
      <c r="T31" s="525" t="s">
        <v>267</v>
      </c>
      <c r="U31" s="343" t="s">
        <v>267</v>
      </c>
      <c r="V31" s="329" t="s">
        <v>267</v>
      </c>
      <c r="W31" s="329" t="s">
        <v>267</v>
      </c>
      <c r="X31" s="329" t="s">
        <v>267</v>
      </c>
      <c r="Y31" s="525" t="s">
        <v>267</v>
      </c>
      <c r="Z31" s="343" t="s">
        <v>267</v>
      </c>
      <c r="AA31" s="329" t="s">
        <v>267</v>
      </c>
      <c r="AB31" s="329" t="s">
        <v>267</v>
      </c>
      <c r="AC31" s="329" t="s">
        <v>267</v>
      </c>
      <c r="AD31" s="525" t="s">
        <v>267</v>
      </c>
      <c r="AE31" s="343" t="s">
        <v>267</v>
      </c>
      <c r="AF31" s="329" t="s">
        <v>267</v>
      </c>
      <c r="AG31" s="329" t="s">
        <v>267</v>
      </c>
      <c r="AH31" s="329" t="s">
        <v>267</v>
      </c>
      <c r="AI31" s="525" t="s">
        <v>267</v>
      </c>
      <c r="AJ31" s="343" t="s">
        <v>267</v>
      </c>
      <c r="AK31" s="329" t="s">
        <v>267</v>
      </c>
      <c r="AL31" s="329" t="s">
        <v>267</v>
      </c>
      <c r="AM31" s="329" t="s">
        <v>267</v>
      </c>
      <c r="AN31" s="329" t="s">
        <v>267</v>
      </c>
    </row>
    <row r="32" spans="2:47" x14ac:dyDescent="0.2">
      <c r="B32" s="97" t="s">
        <v>51</v>
      </c>
      <c r="C32" s="426">
        <f>$E$14*$E$23*C28</f>
        <v>84</v>
      </c>
      <c r="D32" s="1"/>
      <c r="F32" s="29"/>
      <c r="G32" s="30"/>
      <c r="I32" s="593" t="str">
        <f t="shared" si="14"/>
        <v>André</v>
      </c>
      <c r="J32" s="683"/>
      <c r="K32" s="330" t="s">
        <v>160</v>
      </c>
      <c r="L32" s="54" t="s">
        <v>23</v>
      </c>
      <c r="M32" s="330" t="s">
        <v>160</v>
      </c>
      <c r="N32" s="54" t="s">
        <v>23</v>
      </c>
      <c r="O32" s="526" t="s">
        <v>160</v>
      </c>
      <c r="P32" s="373" t="s">
        <v>160</v>
      </c>
      <c r="Q32" s="54" t="s">
        <v>23</v>
      </c>
      <c r="R32" s="330" t="s">
        <v>160</v>
      </c>
      <c r="S32" s="54" t="s">
        <v>23</v>
      </c>
      <c r="T32" s="526" t="s">
        <v>160</v>
      </c>
      <c r="U32" s="373" t="s">
        <v>160</v>
      </c>
      <c r="V32" s="54" t="s">
        <v>23</v>
      </c>
      <c r="W32" s="330" t="s">
        <v>160</v>
      </c>
      <c r="X32" s="54" t="s">
        <v>23</v>
      </c>
      <c r="Y32" s="526" t="s">
        <v>160</v>
      </c>
      <c r="Z32" s="373" t="s">
        <v>160</v>
      </c>
      <c r="AA32" s="54" t="s">
        <v>23</v>
      </c>
      <c r="AB32" s="540" t="s">
        <v>316</v>
      </c>
      <c r="AC32" s="54" t="s">
        <v>23</v>
      </c>
      <c r="AD32" s="540" t="s">
        <v>316</v>
      </c>
      <c r="AE32" s="540" t="s">
        <v>316</v>
      </c>
      <c r="AF32" s="540" t="s">
        <v>316</v>
      </c>
      <c r="AG32" s="540" t="s">
        <v>316</v>
      </c>
      <c r="AH32" s="540" t="s">
        <v>316</v>
      </c>
      <c r="AI32" s="540" t="s">
        <v>316</v>
      </c>
      <c r="AJ32" s="540" t="s">
        <v>316</v>
      </c>
      <c r="AK32" s="54" t="s">
        <v>23</v>
      </c>
      <c r="AL32" s="540" t="s">
        <v>316</v>
      </c>
      <c r="AM32" s="54" t="s">
        <v>23</v>
      </c>
      <c r="AN32" s="540" t="s">
        <v>316</v>
      </c>
    </row>
    <row r="33" spans="1:40" x14ac:dyDescent="0.2">
      <c r="B33" s="97" t="s">
        <v>1</v>
      </c>
      <c r="C33" s="426">
        <f>$E$14*$E$24*COUNTIF($C$4:$C$11,"=Y")</f>
        <v>84</v>
      </c>
      <c r="D33" s="1"/>
      <c r="F33" s="29"/>
      <c r="G33" s="30"/>
      <c r="I33" s="593" t="str">
        <f t="shared" si="14"/>
        <v>Marcela</v>
      </c>
      <c r="J33" s="683"/>
      <c r="K33" s="332" t="s">
        <v>73</v>
      </c>
      <c r="L33" s="332" t="s">
        <v>73</v>
      </c>
      <c r="M33" s="332" t="s">
        <v>73</v>
      </c>
      <c r="N33" s="332" t="s">
        <v>73</v>
      </c>
      <c r="O33" s="332" t="s">
        <v>73</v>
      </c>
      <c r="P33" s="332" t="s">
        <v>73</v>
      </c>
      <c r="Q33" s="332" t="s">
        <v>73</v>
      </c>
      <c r="R33" s="332" t="s">
        <v>73</v>
      </c>
      <c r="S33" s="332" t="s">
        <v>73</v>
      </c>
      <c r="T33" s="332" t="s">
        <v>73</v>
      </c>
      <c r="U33" s="294" t="s">
        <v>29</v>
      </c>
      <c r="V33" s="28" t="s">
        <v>29</v>
      </c>
      <c r="W33" s="28" t="s">
        <v>29</v>
      </c>
      <c r="X33" s="28" t="s">
        <v>29</v>
      </c>
      <c r="Y33" s="532" t="s">
        <v>29</v>
      </c>
      <c r="Z33" s="294" t="s">
        <v>29</v>
      </c>
      <c r="AA33" s="28" t="s">
        <v>29</v>
      </c>
      <c r="AB33" s="28" t="s">
        <v>29</v>
      </c>
      <c r="AC33" s="28" t="s">
        <v>29</v>
      </c>
      <c r="AD33" s="532" t="s">
        <v>29</v>
      </c>
      <c r="AE33" s="294" t="s">
        <v>29</v>
      </c>
      <c r="AF33" s="54" t="s">
        <v>23</v>
      </c>
      <c r="AG33" s="332" t="s">
        <v>73</v>
      </c>
      <c r="AH33" s="54" t="s">
        <v>23</v>
      </c>
      <c r="AI33" s="332" t="s">
        <v>73</v>
      </c>
      <c r="AJ33" s="332" t="s">
        <v>73</v>
      </c>
      <c r="AK33" s="332" t="s">
        <v>73</v>
      </c>
      <c r="AL33" s="332" t="s">
        <v>73</v>
      </c>
      <c r="AM33" s="332" t="s">
        <v>73</v>
      </c>
      <c r="AN33" s="332" t="s">
        <v>73</v>
      </c>
    </row>
    <row r="34" spans="1:40" x14ac:dyDescent="0.2">
      <c r="B34" s="97" t="s">
        <v>52</v>
      </c>
      <c r="C34" s="426">
        <f>(0.25*$C$29)+2*$C$28</f>
        <v>66.5</v>
      </c>
      <c r="D34" s="1"/>
      <c r="F34" s="29"/>
      <c r="G34" s="30"/>
      <c r="I34" s="593" t="str">
        <f t="shared" si="14"/>
        <v>Josiel</v>
      </c>
      <c r="J34" s="683"/>
      <c r="K34" s="542" t="s">
        <v>167</v>
      </c>
      <c r="L34" s="54" t="s">
        <v>23</v>
      </c>
      <c r="M34" s="542" t="s">
        <v>167</v>
      </c>
      <c r="N34" s="54" t="s">
        <v>23</v>
      </c>
      <c r="O34" s="542" t="s">
        <v>167</v>
      </c>
      <c r="P34" s="542" t="s">
        <v>167</v>
      </c>
      <c r="Q34" s="542" t="s">
        <v>167</v>
      </c>
      <c r="R34" s="542" t="s">
        <v>167</v>
      </c>
      <c r="S34" s="542" t="s">
        <v>167</v>
      </c>
      <c r="T34" s="542" t="s">
        <v>167</v>
      </c>
      <c r="U34" s="542" t="s">
        <v>167</v>
      </c>
      <c r="V34" s="542" t="s">
        <v>167</v>
      </c>
      <c r="W34" s="542" t="s">
        <v>167</v>
      </c>
      <c r="X34" s="542" t="s">
        <v>167</v>
      </c>
      <c r="Y34" s="542" t="s">
        <v>167</v>
      </c>
      <c r="Z34" s="542" t="s">
        <v>167</v>
      </c>
      <c r="AA34" s="542" t="s">
        <v>167</v>
      </c>
      <c r="AB34" s="542" t="s">
        <v>167</v>
      </c>
      <c r="AC34" s="542" t="s">
        <v>167</v>
      </c>
      <c r="AD34" s="542" t="s">
        <v>167</v>
      </c>
      <c r="AE34" s="542" t="s">
        <v>167</v>
      </c>
      <c r="AF34" s="54" t="s">
        <v>23</v>
      </c>
      <c r="AG34" s="542" t="s">
        <v>167</v>
      </c>
      <c r="AH34" s="54" t="s">
        <v>23</v>
      </c>
      <c r="AI34" s="536" t="s">
        <v>309</v>
      </c>
      <c r="AJ34" s="533" t="s">
        <v>309</v>
      </c>
      <c r="AK34" s="518" t="s">
        <v>309</v>
      </c>
      <c r="AL34" s="518" t="s">
        <v>309</v>
      </c>
      <c r="AM34" s="518" t="s">
        <v>309</v>
      </c>
      <c r="AN34" s="518" t="s">
        <v>309</v>
      </c>
    </row>
    <row r="35" spans="1:40" x14ac:dyDescent="0.2">
      <c r="B35" s="97" t="s">
        <v>129</v>
      </c>
      <c r="C35" s="426">
        <f>(2*($E$14-1)*$C$28)+(2*($E$14)*$C$28)+($C$28*2)</f>
        <v>168</v>
      </c>
      <c r="D35" s="1"/>
      <c r="F35" s="29"/>
      <c r="G35" s="30"/>
      <c r="I35" s="593" t="str">
        <f t="shared" si="14"/>
        <v>Fernando</v>
      </c>
      <c r="J35" s="683"/>
      <c r="K35" s="511" t="s">
        <v>298</v>
      </c>
      <c r="L35" s="511" t="s">
        <v>298</v>
      </c>
      <c r="M35" s="511" t="s">
        <v>298</v>
      </c>
      <c r="N35" s="511" t="s">
        <v>298</v>
      </c>
      <c r="O35" s="527" t="s">
        <v>298</v>
      </c>
      <c r="P35" s="523" t="s">
        <v>298</v>
      </c>
      <c r="Q35" s="54" t="s">
        <v>23</v>
      </c>
      <c r="R35" s="511" t="s">
        <v>298</v>
      </c>
      <c r="S35" s="54" t="s">
        <v>23</v>
      </c>
      <c r="T35" s="527" t="s">
        <v>298</v>
      </c>
      <c r="U35" s="523" t="s">
        <v>298</v>
      </c>
      <c r="V35" s="511" t="s">
        <v>298</v>
      </c>
      <c r="W35" s="511" t="s">
        <v>298</v>
      </c>
      <c r="X35" s="511" t="s">
        <v>298</v>
      </c>
      <c r="Y35" s="527" t="s">
        <v>298</v>
      </c>
      <c r="Z35" s="523" t="s">
        <v>298</v>
      </c>
      <c r="AA35" s="511" t="s">
        <v>298</v>
      </c>
      <c r="AB35" s="511" t="s">
        <v>298</v>
      </c>
      <c r="AC35" s="511" t="s">
        <v>298</v>
      </c>
      <c r="AD35" s="527" t="s">
        <v>298</v>
      </c>
      <c r="AE35" s="533" t="s">
        <v>309</v>
      </c>
      <c r="AF35" s="518" t="s">
        <v>309</v>
      </c>
      <c r="AG35" s="518" t="s">
        <v>309</v>
      </c>
      <c r="AH35" s="518" t="s">
        <v>309</v>
      </c>
      <c r="AI35" s="536" t="s">
        <v>309</v>
      </c>
      <c r="AJ35" s="533" t="s">
        <v>309</v>
      </c>
      <c r="AK35" s="54" t="s">
        <v>23</v>
      </c>
      <c r="AL35" s="518" t="s">
        <v>309</v>
      </c>
      <c r="AM35" s="54" t="s">
        <v>23</v>
      </c>
      <c r="AN35" s="518" t="s">
        <v>309</v>
      </c>
    </row>
    <row r="36" spans="1:40" x14ac:dyDescent="0.2">
      <c r="B36" s="97" t="s">
        <v>53</v>
      </c>
      <c r="C36" s="426">
        <f>C31-C32-C33-C34-C35</f>
        <v>1143.1000000000001</v>
      </c>
      <c r="D36" s="1"/>
      <c r="F36" s="29"/>
      <c r="G36" s="30"/>
      <c r="I36" s="593" t="str">
        <f t="shared" si="14"/>
        <v>Elias</v>
      </c>
      <c r="J36" s="683"/>
      <c r="K36" s="512" t="s">
        <v>305</v>
      </c>
      <c r="L36" s="512" t="s">
        <v>305</v>
      </c>
      <c r="M36" s="512" t="s">
        <v>305</v>
      </c>
      <c r="N36" s="512" t="s">
        <v>305</v>
      </c>
      <c r="O36" s="528" t="s">
        <v>305</v>
      </c>
      <c r="P36" s="524" t="s">
        <v>305</v>
      </c>
      <c r="Q36" s="512" t="s">
        <v>305</v>
      </c>
      <c r="R36" s="512" t="s">
        <v>305</v>
      </c>
      <c r="S36" s="512" t="s">
        <v>305</v>
      </c>
      <c r="T36" s="528" t="s">
        <v>305</v>
      </c>
      <c r="U36" s="524" t="s">
        <v>305</v>
      </c>
      <c r="V36" s="54" t="s">
        <v>23</v>
      </c>
      <c r="W36" s="512" t="s">
        <v>305</v>
      </c>
      <c r="X36" s="54" t="s">
        <v>23</v>
      </c>
      <c r="Y36" s="528" t="s">
        <v>305</v>
      </c>
      <c r="Z36" s="524" t="s">
        <v>305</v>
      </c>
      <c r="AA36" s="54" t="s">
        <v>23</v>
      </c>
      <c r="AB36" s="512" t="s">
        <v>305</v>
      </c>
      <c r="AC36" s="54" t="s">
        <v>23</v>
      </c>
      <c r="AD36" s="528" t="s">
        <v>305</v>
      </c>
      <c r="AE36" s="524" t="s">
        <v>305</v>
      </c>
      <c r="AF36" s="512" t="s">
        <v>305</v>
      </c>
      <c r="AG36" s="512" t="s">
        <v>305</v>
      </c>
      <c r="AH36" s="512" t="s">
        <v>305</v>
      </c>
      <c r="AI36" s="528" t="s">
        <v>305</v>
      </c>
      <c r="AJ36" s="524" t="s">
        <v>305</v>
      </c>
      <c r="AK36" s="512" t="s">
        <v>305</v>
      </c>
      <c r="AL36" s="512" t="s">
        <v>305</v>
      </c>
      <c r="AM36" s="512" t="s">
        <v>305</v>
      </c>
      <c r="AN36" s="512" t="s">
        <v>305</v>
      </c>
    </row>
    <row r="37" spans="1:40" ht="17" thickBot="1" x14ac:dyDescent="0.25">
      <c r="B37" s="122" t="s">
        <v>131</v>
      </c>
      <c r="C37" s="506">
        <f>IF(C29=0,0,C36/C29)</f>
        <v>5.4433333333333342</v>
      </c>
      <c r="D37" s="504"/>
      <c r="E37" s="505"/>
      <c r="F37" s="29"/>
      <c r="G37" s="30"/>
      <c r="I37" s="593" t="str">
        <f t="shared" si="14"/>
        <v>Ricardo</v>
      </c>
      <c r="J37" s="683"/>
      <c r="K37" s="514" t="s">
        <v>330</v>
      </c>
      <c r="L37" s="514" t="s">
        <v>330</v>
      </c>
      <c r="M37" s="514" t="s">
        <v>330</v>
      </c>
      <c r="N37" s="514" t="s">
        <v>330</v>
      </c>
      <c r="O37" s="530" t="s">
        <v>330</v>
      </c>
      <c r="P37" s="529" t="s">
        <v>330</v>
      </c>
      <c r="Q37" s="514" t="s">
        <v>330</v>
      </c>
      <c r="R37" s="514" t="s">
        <v>330</v>
      </c>
      <c r="S37" s="514" t="s">
        <v>330</v>
      </c>
      <c r="T37" s="530" t="s">
        <v>330</v>
      </c>
      <c r="U37" s="529" t="s">
        <v>330</v>
      </c>
      <c r="V37" s="514" t="s">
        <v>330</v>
      </c>
      <c r="W37" s="514" t="s">
        <v>330</v>
      </c>
      <c r="X37" s="514" t="s">
        <v>330</v>
      </c>
      <c r="Y37" s="530" t="s">
        <v>330</v>
      </c>
      <c r="Z37" s="531" t="s">
        <v>323</v>
      </c>
      <c r="AA37" s="63" t="s">
        <v>323</v>
      </c>
      <c r="AB37" s="63" t="s">
        <v>323</v>
      </c>
      <c r="AC37" s="63" t="s">
        <v>323</v>
      </c>
      <c r="AD37" s="534" t="s">
        <v>323</v>
      </c>
      <c r="AE37" s="531" t="s">
        <v>323</v>
      </c>
      <c r="AF37" s="63" t="s">
        <v>323</v>
      </c>
      <c r="AG37" s="63" t="s">
        <v>323</v>
      </c>
      <c r="AH37" s="338" t="s">
        <v>327</v>
      </c>
      <c r="AI37" s="537" t="s">
        <v>327</v>
      </c>
      <c r="AJ37" s="535" t="s">
        <v>327</v>
      </c>
      <c r="AK37" s="338" t="s">
        <v>327</v>
      </c>
      <c r="AL37" s="338" t="s">
        <v>327</v>
      </c>
      <c r="AM37" s="338" t="s">
        <v>327</v>
      </c>
      <c r="AN37" s="338" t="s">
        <v>327</v>
      </c>
    </row>
    <row r="38" spans="1:40" x14ac:dyDescent="0.2">
      <c r="B38" s="7"/>
      <c r="D38" s="504"/>
      <c r="E38" s="504"/>
      <c r="F38" s="29"/>
      <c r="G38" s="30"/>
      <c r="I38"/>
      <c r="J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N38" s="508"/>
    </row>
    <row r="39" spans="1:40" x14ac:dyDescent="0.2">
      <c r="E39" s="504"/>
      <c r="F39" s="29"/>
      <c r="G39" s="30"/>
      <c r="AN39" s="509"/>
    </row>
    <row r="40" spans="1:40" x14ac:dyDescent="0.2">
      <c r="F40" s="29"/>
      <c r="G40" s="30"/>
      <c r="K40" s="674" t="s">
        <v>96</v>
      </c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734"/>
    </row>
    <row r="41" spans="1:40" x14ac:dyDescent="0.2">
      <c r="F41" s="29"/>
      <c r="G41" s="30"/>
      <c r="I41"/>
      <c r="J41" s="7"/>
      <c r="K41" s="600" t="s">
        <v>43</v>
      </c>
      <c r="L41" s="601"/>
      <c r="M41" s="601"/>
      <c r="N41" s="601"/>
      <c r="O41" s="602"/>
      <c r="P41" s="721" t="s">
        <v>44</v>
      </c>
      <c r="Q41" s="601"/>
      <c r="R41" s="601"/>
      <c r="S41" s="601"/>
      <c r="T41" s="699"/>
      <c r="U41" s="601" t="s">
        <v>45</v>
      </c>
      <c r="V41" s="601"/>
      <c r="W41" s="601"/>
      <c r="X41" s="601"/>
      <c r="Y41" s="601"/>
      <c r="Z41" s="721" t="s">
        <v>46</v>
      </c>
      <c r="AA41" s="601"/>
      <c r="AB41" s="601"/>
      <c r="AC41" s="601"/>
      <c r="AD41" s="699"/>
      <c r="AE41" s="600" t="s">
        <v>47</v>
      </c>
      <c r="AF41" s="601"/>
      <c r="AG41" s="601"/>
      <c r="AH41" s="601"/>
      <c r="AI41" s="602"/>
      <c r="AJ41" s="721" t="s">
        <v>83</v>
      </c>
      <c r="AK41" s="601"/>
      <c r="AL41" s="601"/>
      <c r="AM41" s="601"/>
      <c r="AN41" s="727"/>
    </row>
    <row r="42" spans="1:40" x14ac:dyDescent="0.2">
      <c r="F42" s="29"/>
      <c r="G42" s="30"/>
      <c r="I42" s="600" t="s">
        <v>49</v>
      </c>
      <c r="J42" s="602"/>
      <c r="K42" s="519">
        <f t="shared" ref="K42:AN42" si="15">$E$17+(7*ROUNDDOWN((COLUMN(K$30)-COLUMN($K$30))/5,0))+MOD(COLUMN(K$30)-COLUMN($K$30),5)</f>
        <v>45565</v>
      </c>
      <c r="L42" s="519">
        <f t="shared" si="15"/>
        <v>45566</v>
      </c>
      <c r="M42" s="519">
        <f t="shared" si="15"/>
        <v>45567</v>
      </c>
      <c r="N42" s="519">
        <f t="shared" si="15"/>
        <v>45568</v>
      </c>
      <c r="O42" s="520">
        <f t="shared" si="15"/>
        <v>45569</v>
      </c>
      <c r="P42" s="521">
        <f t="shared" si="15"/>
        <v>45572</v>
      </c>
      <c r="Q42" s="519">
        <f t="shared" si="15"/>
        <v>45573</v>
      </c>
      <c r="R42" s="519">
        <f t="shared" si="15"/>
        <v>45574</v>
      </c>
      <c r="S42" s="519">
        <f t="shared" si="15"/>
        <v>45575</v>
      </c>
      <c r="T42" s="520">
        <f t="shared" si="15"/>
        <v>45576</v>
      </c>
      <c r="U42" s="521">
        <f t="shared" si="15"/>
        <v>45579</v>
      </c>
      <c r="V42" s="519">
        <f t="shared" si="15"/>
        <v>45580</v>
      </c>
      <c r="W42" s="519">
        <f t="shared" si="15"/>
        <v>45581</v>
      </c>
      <c r="X42" s="519">
        <f t="shared" si="15"/>
        <v>45582</v>
      </c>
      <c r="Y42" s="520">
        <f t="shared" si="15"/>
        <v>45583</v>
      </c>
      <c r="Z42" s="521">
        <f t="shared" si="15"/>
        <v>45586</v>
      </c>
      <c r="AA42" s="519">
        <f t="shared" si="15"/>
        <v>45587</v>
      </c>
      <c r="AB42" s="519">
        <f t="shared" si="15"/>
        <v>45588</v>
      </c>
      <c r="AC42" s="519">
        <f t="shared" si="15"/>
        <v>45589</v>
      </c>
      <c r="AD42" s="520">
        <f t="shared" si="15"/>
        <v>45590</v>
      </c>
      <c r="AE42" s="521">
        <f t="shared" si="15"/>
        <v>45593</v>
      </c>
      <c r="AF42" s="519">
        <f t="shared" si="15"/>
        <v>45594</v>
      </c>
      <c r="AG42" s="519">
        <f t="shared" si="15"/>
        <v>45595</v>
      </c>
      <c r="AH42" s="519">
        <f t="shared" si="15"/>
        <v>45596</v>
      </c>
      <c r="AI42" s="520">
        <f t="shared" si="15"/>
        <v>45597</v>
      </c>
      <c r="AJ42" s="521">
        <f t="shared" si="15"/>
        <v>45600</v>
      </c>
      <c r="AK42" s="519">
        <f t="shared" si="15"/>
        <v>45601</v>
      </c>
      <c r="AL42" s="519">
        <f t="shared" si="15"/>
        <v>45602</v>
      </c>
      <c r="AM42" s="519">
        <f t="shared" si="15"/>
        <v>45603</v>
      </c>
      <c r="AN42" s="522">
        <f t="shared" si="15"/>
        <v>45604</v>
      </c>
    </row>
    <row r="43" spans="1:40" x14ac:dyDescent="0.2">
      <c r="F43" s="29"/>
      <c r="G43" s="30"/>
      <c r="I43" s="722" t="str">
        <f t="shared" ref="I43:I49" si="16">$D4</f>
        <v>Andréa</v>
      </c>
      <c r="J43" s="593"/>
      <c r="K43" s="329" t="s">
        <v>267</v>
      </c>
      <c r="L43" s="329" t="s">
        <v>267</v>
      </c>
      <c r="M43" s="329" t="s">
        <v>267</v>
      </c>
      <c r="N43" s="329" t="s">
        <v>267</v>
      </c>
      <c r="O43" s="525" t="s">
        <v>267</v>
      </c>
      <c r="P43" s="343" t="s">
        <v>267</v>
      </c>
      <c r="Q43" s="329" t="s">
        <v>267</v>
      </c>
      <c r="R43" s="329" t="s">
        <v>267</v>
      </c>
      <c r="S43" s="329" t="s">
        <v>267</v>
      </c>
      <c r="T43" s="525" t="s">
        <v>267</v>
      </c>
      <c r="U43" s="343" t="s">
        <v>267</v>
      </c>
      <c r="V43" s="329" t="s">
        <v>267</v>
      </c>
      <c r="W43" s="329" t="s">
        <v>267</v>
      </c>
      <c r="X43" s="329" t="s">
        <v>267</v>
      </c>
      <c r="Y43" s="525" t="s">
        <v>267</v>
      </c>
      <c r="Z43" s="343" t="s">
        <v>267</v>
      </c>
      <c r="AA43" s="329" t="s">
        <v>267</v>
      </c>
      <c r="AB43" s="329" t="s">
        <v>267</v>
      </c>
      <c r="AC43" s="329" t="s">
        <v>267</v>
      </c>
      <c r="AD43" s="525" t="s">
        <v>267</v>
      </c>
      <c r="AE43" s="343" t="s">
        <v>267</v>
      </c>
      <c r="AF43" s="329" t="s">
        <v>267</v>
      </c>
      <c r="AG43" s="329" t="s">
        <v>267</v>
      </c>
      <c r="AH43" s="329" t="s">
        <v>267</v>
      </c>
      <c r="AI43" s="525" t="s">
        <v>267</v>
      </c>
      <c r="AJ43" s="343" t="s">
        <v>267</v>
      </c>
      <c r="AK43" s="329" t="s">
        <v>267</v>
      </c>
      <c r="AL43" s="329" t="s">
        <v>267</v>
      </c>
      <c r="AM43" s="329" t="s">
        <v>267</v>
      </c>
      <c r="AN43" s="329" t="s">
        <v>267</v>
      </c>
    </row>
    <row r="44" spans="1:40" x14ac:dyDescent="0.2">
      <c r="F44" s="29"/>
      <c r="G44" s="30"/>
      <c r="I44" s="593" t="str">
        <f t="shared" si="16"/>
        <v>André</v>
      </c>
      <c r="J44" s="683"/>
      <c r="K44" s="330" t="s">
        <v>160</v>
      </c>
      <c r="L44" s="54" t="s">
        <v>23</v>
      </c>
      <c r="M44" s="330" t="s">
        <v>160</v>
      </c>
      <c r="N44" s="54" t="s">
        <v>23</v>
      </c>
      <c r="O44" s="526" t="s">
        <v>160</v>
      </c>
      <c r="P44" s="373" t="s">
        <v>160</v>
      </c>
      <c r="Q44" s="54" t="s">
        <v>23</v>
      </c>
      <c r="R44" s="330" t="s">
        <v>160</v>
      </c>
      <c r="S44" s="54" t="s">
        <v>23</v>
      </c>
      <c r="T44" s="526" t="s">
        <v>160</v>
      </c>
      <c r="U44" s="373" t="s">
        <v>160</v>
      </c>
      <c r="V44" s="54" t="s">
        <v>23</v>
      </c>
      <c r="W44" s="330" t="s">
        <v>160</v>
      </c>
      <c r="X44" s="54" t="s">
        <v>23</v>
      </c>
      <c r="Y44" s="526" t="s">
        <v>160</v>
      </c>
      <c r="Z44" s="373" t="s">
        <v>160</v>
      </c>
      <c r="AA44" s="54" t="s">
        <v>23</v>
      </c>
      <c r="AB44" s="540" t="s">
        <v>316</v>
      </c>
      <c r="AC44" s="54" t="s">
        <v>23</v>
      </c>
      <c r="AD44" s="540" t="s">
        <v>316</v>
      </c>
      <c r="AE44" s="540" t="s">
        <v>316</v>
      </c>
      <c r="AF44" s="540" t="s">
        <v>316</v>
      </c>
      <c r="AG44" s="540" t="s">
        <v>316</v>
      </c>
      <c r="AH44" s="540" t="s">
        <v>316</v>
      </c>
      <c r="AI44" s="540" t="s">
        <v>316</v>
      </c>
      <c r="AJ44" s="540" t="s">
        <v>316</v>
      </c>
      <c r="AK44" s="54" t="s">
        <v>23</v>
      </c>
      <c r="AL44" s="540" t="s">
        <v>316</v>
      </c>
      <c r="AM44" s="54" t="s">
        <v>23</v>
      </c>
      <c r="AN44" s="540" t="s">
        <v>316</v>
      </c>
    </row>
    <row r="45" spans="1:40" x14ac:dyDescent="0.2">
      <c r="F45" s="29"/>
      <c r="G45" s="30"/>
      <c r="I45" s="593" t="str">
        <f t="shared" si="16"/>
        <v>Marcela</v>
      </c>
      <c r="J45" s="683"/>
      <c r="K45" s="332" t="s">
        <v>73</v>
      </c>
      <c r="L45" s="332" t="s">
        <v>73</v>
      </c>
      <c r="M45" s="332" t="s">
        <v>73</v>
      </c>
      <c r="N45" s="332" t="s">
        <v>73</v>
      </c>
      <c r="O45" s="332" t="s">
        <v>73</v>
      </c>
      <c r="P45" s="332" t="s">
        <v>73</v>
      </c>
      <c r="Q45" s="332" t="s">
        <v>73</v>
      </c>
      <c r="R45" s="332" t="s">
        <v>73</v>
      </c>
      <c r="S45" s="332" t="s">
        <v>73</v>
      </c>
      <c r="T45" s="332" t="s">
        <v>73</v>
      </c>
      <c r="U45" s="294" t="s">
        <v>29</v>
      </c>
      <c r="V45" s="28" t="s">
        <v>29</v>
      </c>
      <c r="W45" s="28" t="s">
        <v>29</v>
      </c>
      <c r="X45" s="28" t="s">
        <v>29</v>
      </c>
      <c r="Y45" s="532" t="s">
        <v>29</v>
      </c>
      <c r="Z45" s="294" t="s">
        <v>29</v>
      </c>
      <c r="AA45" s="28" t="s">
        <v>29</v>
      </c>
      <c r="AB45" s="28" t="s">
        <v>29</v>
      </c>
      <c r="AC45" s="28" t="s">
        <v>29</v>
      </c>
      <c r="AD45" s="532" t="s">
        <v>29</v>
      </c>
      <c r="AE45" s="294" t="s">
        <v>29</v>
      </c>
      <c r="AF45" s="54" t="s">
        <v>23</v>
      </c>
      <c r="AG45" s="332" t="s">
        <v>73</v>
      </c>
      <c r="AH45" s="54" t="s">
        <v>23</v>
      </c>
      <c r="AI45" s="332" t="s">
        <v>73</v>
      </c>
      <c r="AJ45" s="332" t="s">
        <v>73</v>
      </c>
      <c r="AK45" s="332" t="s">
        <v>73</v>
      </c>
      <c r="AL45" s="332" t="s">
        <v>73</v>
      </c>
      <c r="AM45" s="332" t="s">
        <v>73</v>
      </c>
      <c r="AN45" s="332" t="s">
        <v>73</v>
      </c>
    </row>
    <row r="46" spans="1:40" x14ac:dyDescent="0.2">
      <c r="F46" s="29"/>
      <c r="G46" s="30"/>
      <c r="I46" s="593" t="str">
        <f t="shared" si="16"/>
        <v>Josiel</v>
      </c>
      <c r="J46" s="683"/>
      <c r="K46" s="542" t="s">
        <v>167</v>
      </c>
      <c r="L46" s="54" t="s">
        <v>23</v>
      </c>
      <c r="M46" s="542" t="s">
        <v>167</v>
      </c>
      <c r="N46" s="54" t="s">
        <v>23</v>
      </c>
      <c r="O46" s="542" t="s">
        <v>167</v>
      </c>
      <c r="P46" s="542" t="s">
        <v>167</v>
      </c>
      <c r="Q46" s="542" t="s">
        <v>167</v>
      </c>
      <c r="R46" s="542" t="s">
        <v>167</v>
      </c>
      <c r="S46" s="542" t="s">
        <v>167</v>
      </c>
      <c r="T46" s="542" t="s">
        <v>167</v>
      </c>
      <c r="U46" s="542" t="s">
        <v>167</v>
      </c>
      <c r="V46" s="542" t="s">
        <v>167</v>
      </c>
      <c r="W46" s="542" t="s">
        <v>167</v>
      </c>
      <c r="X46" s="542" t="s">
        <v>167</v>
      </c>
      <c r="Y46" s="542" t="s">
        <v>167</v>
      </c>
      <c r="Z46" s="542" t="s">
        <v>167</v>
      </c>
      <c r="AA46" s="542" t="s">
        <v>167</v>
      </c>
      <c r="AB46" s="542" t="s">
        <v>167</v>
      </c>
      <c r="AC46" s="542" t="s">
        <v>167</v>
      </c>
      <c r="AD46" s="542" t="s">
        <v>167</v>
      </c>
      <c r="AE46" s="542" t="s">
        <v>167</v>
      </c>
      <c r="AF46" s="54" t="s">
        <v>23</v>
      </c>
      <c r="AG46" s="542" t="s">
        <v>167</v>
      </c>
      <c r="AH46" s="54" t="s">
        <v>23</v>
      </c>
      <c r="AI46" s="536" t="s">
        <v>309</v>
      </c>
      <c r="AJ46" s="533" t="s">
        <v>309</v>
      </c>
      <c r="AK46" s="518" t="s">
        <v>309</v>
      </c>
      <c r="AL46" s="518" t="s">
        <v>309</v>
      </c>
      <c r="AM46" s="518" t="s">
        <v>309</v>
      </c>
      <c r="AN46" s="518" t="s">
        <v>309</v>
      </c>
    </row>
    <row r="47" spans="1:40" x14ac:dyDescent="0.2">
      <c r="A47" s="8"/>
      <c r="F47" s="29"/>
      <c r="G47" s="30"/>
      <c r="I47" s="593" t="str">
        <f t="shared" si="16"/>
        <v>Fernando</v>
      </c>
      <c r="J47" s="683"/>
      <c r="K47" s="511" t="s">
        <v>298</v>
      </c>
      <c r="L47" s="511" t="s">
        <v>298</v>
      </c>
      <c r="M47" s="511" t="s">
        <v>298</v>
      </c>
      <c r="N47" s="511" t="s">
        <v>298</v>
      </c>
      <c r="O47" s="527" t="s">
        <v>298</v>
      </c>
      <c r="P47" s="523" t="s">
        <v>298</v>
      </c>
      <c r="Q47" s="54" t="s">
        <v>23</v>
      </c>
      <c r="R47" s="511" t="s">
        <v>298</v>
      </c>
      <c r="S47" s="54" t="s">
        <v>23</v>
      </c>
      <c r="T47" s="527" t="s">
        <v>298</v>
      </c>
      <c r="U47" s="523" t="s">
        <v>298</v>
      </c>
      <c r="V47" s="511" t="s">
        <v>298</v>
      </c>
      <c r="W47" s="511" t="s">
        <v>298</v>
      </c>
      <c r="X47" s="511" t="s">
        <v>298</v>
      </c>
      <c r="Y47" s="527" t="s">
        <v>298</v>
      </c>
      <c r="Z47" s="523" t="s">
        <v>298</v>
      </c>
      <c r="AA47" s="511" t="s">
        <v>298</v>
      </c>
      <c r="AB47" s="511" t="s">
        <v>298</v>
      </c>
      <c r="AC47" s="511" t="s">
        <v>298</v>
      </c>
      <c r="AD47" s="527" t="s">
        <v>298</v>
      </c>
      <c r="AE47" s="533" t="s">
        <v>309</v>
      </c>
      <c r="AF47" s="518" t="s">
        <v>309</v>
      </c>
      <c r="AG47" s="518" t="s">
        <v>309</v>
      </c>
      <c r="AH47" s="518" t="s">
        <v>309</v>
      </c>
      <c r="AI47" s="536" t="s">
        <v>309</v>
      </c>
      <c r="AJ47" s="533" t="s">
        <v>309</v>
      </c>
      <c r="AK47" s="54" t="s">
        <v>23</v>
      </c>
      <c r="AL47" s="518" t="s">
        <v>309</v>
      </c>
      <c r="AM47" s="54" t="s">
        <v>23</v>
      </c>
      <c r="AN47" s="518" t="s">
        <v>309</v>
      </c>
    </row>
    <row r="48" spans="1:40" ht="16" customHeight="1" x14ac:dyDescent="0.2">
      <c r="A48" s="8"/>
      <c r="F48" s="29"/>
      <c r="G48" s="30"/>
      <c r="I48" s="593" t="str">
        <f t="shared" si="16"/>
        <v>Elias</v>
      </c>
      <c r="J48" s="683"/>
      <c r="K48" s="512" t="s">
        <v>305</v>
      </c>
      <c r="L48" s="512" t="s">
        <v>305</v>
      </c>
      <c r="M48" s="512" t="s">
        <v>305</v>
      </c>
      <c r="N48" s="512" t="s">
        <v>305</v>
      </c>
      <c r="O48" s="528" t="s">
        <v>305</v>
      </c>
      <c r="P48" s="524" t="s">
        <v>305</v>
      </c>
      <c r="Q48" s="512" t="s">
        <v>305</v>
      </c>
      <c r="R48" s="512" t="s">
        <v>305</v>
      </c>
      <c r="S48" s="512" t="s">
        <v>305</v>
      </c>
      <c r="T48" s="528" t="s">
        <v>305</v>
      </c>
      <c r="U48" s="524" t="s">
        <v>305</v>
      </c>
      <c r="V48" s="54" t="s">
        <v>23</v>
      </c>
      <c r="W48" s="512" t="s">
        <v>305</v>
      </c>
      <c r="X48" s="54" t="s">
        <v>23</v>
      </c>
      <c r="Y48" s="528" t="s">
        <v>305</v>
      </c>
      <c r="Z48" s="524" t="s">
        <v>305</v>
      </c>
      <c r="AA48" s="54" t="s">
        <v>23</v>
      </c>
      <c r="AB48" s="512" t="s">
        <v>305</v>
      </c>
      <c r="AC48" s="54" t="s">
        <v>23</v>
      </c>
      <c r="AD48" s="528" t="s">
        <v>305</v>
      </c>
      <c r="AE48" s="524" t="s">
        <v>305</v>
      </c>
      <c r="AF48" s="512" t="s">
        <v>305</v>
      </c>
      <c r="AG48" s="512" t="s">
        <v>305</v>
      </c>
      <c r="AH48" s="512" t="s">
        <v>305</v>
      </c>
      <c r="AI48" s="528" t="s">
        <v>305</v>
      </c>
      <c r="AJ48" s="524" t="s">
        <v>305</v>
      </c>
      <c r="AK48" s="512" t="s">
        <v>305</v>
      </c>
      <c r="AL48" s="512" t="s">
        <v>305</v>
      </c>
      <c r="AM48" s="512" t="s">
        <v>305</v>
      </c>
      <c r="AN48" s="512" t="s">
        <v>305</v>
      </c>
    </row>
    <row r="49" spans="1:40" x14ac:dyDescent="0.2">
      <c r="A49" s="8"/>
      <c r="F49" s="31"/>
      <c r="G49" s="32"/>
      <c r="I49" s="593" t="str">
        <f t="shared" si="16"/>
        <v>Ricardo</v>
      </c>
      <c r="J49" s="683"/>
      <c r="K49" s="514" t="s">
        <v>330</v>
      </c>
      <c r="L49" s="514" t="s">
        <v>330</v>
      </c>
      <c r="M49" s="514" t="s">
        <v>330</v>
      </c>
      <c r="N49" s="514" t="s">
        <v>330</v>
      </c>
      <c r="O49" s="530" t="s">
        <v>330</v>
      </c>
      <c r="P49" s="529" t="s">
        <v>330</v>
      </c>
      <c r="Q49" s="514" t="s">
        <v>330</v>
      </c>
      <c r="R49" s="514" t="s">
        <v>330</v>
      </c>
      <c r="S49" s="514" t="s">
        <v>330</v>
      </c>
      <c r="T49" s="530" t="s">
        <v>330</v>
      </c>
      <c r="U49" s="529" t="s">
        <v>330</v>
      </c>
      <c r="V49" s="514" t="s">
        <v>330</v>
      </c>
      <c r="W49" s="514" t="s">
        <v>330</v>
      </c>
      <c r="X49" s="514" t="s">
        <v>330</v>
      </c>
      <c r="Y49" s="530" t="s">
        <v>330</v>
      </c>
      <c r="Z49" s="531" t="s">
        <v>323</v>
      </c>
      <c r="AA49" s="63" t="s">
        <v>323</v>
      </c>
      <c r="AB49" s="63" t="s">
        <v>323</v>
      </c>
      <c r="AC49" s="63" t="s">
        <v>323</v>
      </c>
      <c r="AD49" s="534" t="s">
        <v>323</v>
      </c>
      <c r="AE49" s="531" t="s">
        <v>323</v>
      </c>
      <c r="AF49" s="63" t="s">
        <v>323</v>
      </c>
      <c r="AG49" s="63" t="s">
        <v>323</v>
      </c>
      <c r="AH49" s="338" t="s">
        <v>327</v>
      </c>
      <c r="AI49" s="537" t="s">
        <v>327</v>
      </c>
      <c r="AJ49" s="535" t="s">
        <v>327</v>
      </c>
      <c r="AK49" s="338" t="s">
        <v>327</v>
      </c>
      <c r="AL49" s="338" t="s">
        <v>327</v>
      </c>
      <c r="AM49" s="338" t="s">
        <v>327</v>
      </c>
      <c r="AN49" s="338" t="s">
        <v>327</v>
      </c>
    </row>
    <row r="50" spans="1:40" ht="17" thickBot="1" x14ac:dyDescent="0.25">
      <c r="F50" s="29"/>
      <c r="G50" s="30"/>
      <c r="T50"/>
      <c r="U50"/>
      <c r="V50"/>
      <c r="W50"/>
      <c r="Y50"/>
      <c r="Z50"/>
      <c r="AA50"/>
      <c r="AB50"/>
      <c r="AC50"/>
      <c r="AD50"/>
      <c r="AE50"/>
      <c r="AF50"/>
      <c r="AG50"/>
    </row>
    <row r="51" spans="1:40" x14ac:dyDescent="0.2">
      <c r="F51" s="29"/>
      <c r="G51" s="30"/>
      <c r="K51" s="186" t="str">
        <f>BD6</f>
        <v>Eng</v>
      </c>
      <c r="L51" s="187" cm="1">
        <f t="array" ref="L51:L55">SUMIFS(AD6:AD25, R6:R25, BD6:BD10)</f>
        <v>560.66333333333341</v>
      </c>
      <c r="M51" s="183">
        <f>IF($L$56=0,0,L51/$L$56)</f>
        <v>0.49047619047619051</v>
      </c>
      <c r="O51" s="271" t="s">
        <v>26</v>
      </c>
      <c r="P51" s="272">
        <f>IF((L51+L52+L55)=0,0,(L51+L55)/(L51+L52+L55))</f>
        <v>0.63819095477386922</v>
      </c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40" ht="17" thickBot="1" x14ac:dyDescent="0.25">
      <c r="F52" s="33"/>
      <c r="G52" s="30"/>
      <c r="H52" s="1"/>
      <c r="K52" s="188" t="str">
        <f>BD7</f>
        <v>Prod</v>
      </c>
      <c r="L52" s="189">
        <v>391.92000000000007</v>
      </c>
      <c r="M52" s="191">
        <f t="shared" ref="M52:M55" si="17">IF($L$56=0,0,L52/$L$56)</f>
        <v>0.34285714285714286</v>
      </c>
      <c r="O52" s="273" t="s">
        <v>149</v>
      </c>
      <c r="P52" s="274">
        <f>IF((L51+L52+L55)=0,0,L52/(L51+L52+L55))</f>
        <v>0.36180904522613061</v>
      </c>
      <c r="AB52"/>
      <c r="AE52"/>
      <c r="AF52"/>
      <c r="AG52"/>
    </row>
    <row r="53" spans="1:40" x14ac:dyDescent="0.2">
      <c r="F53" s="33"/>
      <c r="G53" s="30"/>
      <c r="I53"/>
      <c r="K53" s="188" t="str">
        <f>BD8</f>
        <v>Day-by-Day</v>
      </c>
      <c r="L53" s="189">
        <v>0</v>
      </c>
      <c r="M53" s="191">
        <f t="shared" si="17"/>
        <v>0</v>
      </c>
      <c r="O53"/>
      <c r="P53"/>
      <c r="Q53"/>
      <c r="S53"/>
      <c r="T53"/>
      <c r="U53"/>
      <c r="V53"/>
      <c r="W53"/>
      <c r="Y53"/>
      <c r="Z53"/>
      <c r="AA53"/>
      <c r="AC53"/>
      <c r="AD53"/>
      <c r="AE53"/>
      <c r="AF53"/>
      <c r="AG53"/>
    </row>
    <row r="54" spans="1:40" x14ac:dyDescent="0.2">
      <c r="F54" s="33"/>
      <c r="G54" s="30"/>
      <c r="I54"/>
      <c r="J54" s="7"/>
      <c r="K54" s="184" t="str">
        <f>BD9</f>
        <v>Out</v>
      </c>
      <c r="L54" s="189">
        <v>59.876666666666679</v>
      </c>
      <c r="M54" s="192">
        <f t="shared" si="17"/>
        <v>5.2380952380952389E-2</v>
      </c>
      <c r="N54"/>
      <c r="O54"/>
      <c r="P54"/>
      <c r="Q54"/>
      <c r="S54"/>
      <c r="T54"/>
      <c r="U54"/>
      <c r="V54"/>
      <c r="W54"/>
      <c r="Y54"/>
      <c r="Z54"/>
      <c r="AA54"/>
      <c r="AB54"/>
      <c r="AC54"/>
      <c r="AD54"/>
      <c r="AE54"/>
      <c r="AF54"/>
      <c r="AG54"/>
    </row>
    <row r="55" spans="1:40" ht="17" thickBot="1" x14ac:dyDescent="0.25">
      <c r="F55" s="33"/>
      <c r="G55" s="30"/>
      <c r="I55"/>
      <c r="J55" s="7"/>
      <c r="K55" s="190" t="str">
        <f>BD10</f>
        <v>Bug</v>
      </c>
      <c r="L55" s="193">
        <v>130.64000000000001</v>
      </c>
      <c r="M55" s="185">
        <f t="shared" si="17"/>
        <v>0.11428571428571428</v>
      </c>
      <c r="N55"/>
      <c r="R55"/>
      <c r="S55"/>
      <c r="T55"/>
      <c r="U55"/>
      <c r="V55"/>
      <c r="W55"/>
      <c r="Y55"/>
      <c r="Z55"/>
      <c r="AA55"/>
      <c r="AB55"/>
      <c r="AC55"/>
      <c r="AD55"/>
      <c r="AE55"/>
      <c r="AF55"/>
      <c r="AG55"/>
    </row>
    <row r="56" spans="1:40" x14ac:dyDescent="0.2">
      <c r="F56" s="33"/>
      <c r="G56" s="30"/>
      <c r="I56"/>
      <c r="J56" s="7"/>
      <c r="K56"/>
      <c r="L56" s="231">
        <f>SUM(_xlfn.ANCHORARRAY(L51))</f>
        <v>1143.1000000000001</v>
      </c>
      <c r="M56"/>
      <c r="N56"/>
      <c r="R56"/>
      <c r="S56"/>
      <c r="T56"/>
      <c r="U56"/>
      <c r="V56"/>
      <c r="W56"/>
      <c r="Y56"/>
      <c r="Z56"/>
      <c r="AA56"/>
      <c r="AB56"/>
      <c r="AC56"/>
      <c r="AD56"/>
      <c r="AE56"/>
      <c r="AF56"/>
      <c r="AG56"/>
    </row>
    <row r="57" spans="1:40" x14ac:dyDescent="0.2">
      <c r="F57" s="33"/>
      <c r="G57" s="30"/>
      <c r="I57"/>
      <c r="J57" s="7"/>
      <c r="N57"/>
      <c r="R57"/>
      <c r="S57"/>
      <c r="T57"/>
      <c r="U57"/>
      <c r="V57"/>
      <c r="W57"/>
      <c r="Y57"/>
      <c r="Z57"/>
      <c r="AA57"/>
      <c r="AB57"/>
      <c r="AC57"/>
      <c r="AD57"/>
      <c r="AE57"/>
      <c r="AF57"/>
      <c r="AG57"/>
    </row>
    <row r="58" spans="1:40" x14ac:dyDescent="0.2">
      <c r="F58" s="33"/>
      <c r="G58" s="30"/>
      <c r="I58"/>
      <c r="J58" s="7"/>
      <c r="N58"/>
      <c r="R58"/>
      <c r="S58"/>
      <c r="T58"/>
      <c r="U58"/>
      <c r="V58"/>
      <c r="W58"/>
      <c r="Y58"/>
      <c r="Z58"/>
      <c r="AA58"/>
      <c r="AB58"/>
      <c r="AC58"/>
      <c r="AD58"/>
      <c r="AE58"/>
      <c r="AF58"/>
      <c r="AG58"/>
    </row>
    <row r="59" spans="1:40" x14ac:dyDescent="0.2">
      <c r="F59" s="33"/>
      <c r="G59" s="30"/>
      <c r="I59"/>
      <c r="J59" s="7"/>
      <c r="N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40" x14ac:dyDescent="0.2">
      <c r="F60" s="33"/>
      <c r="G60" s="30"/>
      <c r="I60"/>
      <c r="J60" s="7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40" x14ac:dyDescent="0.2">
      <c r="F61" s="33"/>
      <c r="G61" s="34"/>
      <c r="I61"/>
      <c r="J61" s="7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40" x14ac:dyDescent="0.2">
      <c r="F62" s="33"/>
      <c r="G62" s="34"/>
      <c r="I62"/>
      <c r="J62" s="7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40" x14ac:dyDescent="0.2">
      <c r="G63"/>
      <c r="I63"/>
      <c r="J63" s="7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40" x14ac:dyDescent="0.2">
      <c r="H64"/>
      <c r="I64"/>
      <c r="J64" s="7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2:45" x14ac:dyDescent="0.2">
      <c r="F65"/>
      <c r="H65"/>
      <c r="I65"/>
      <c r="J65" s="7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2:45" x14ac:dyDescent="0.2">
      <c r="F66"/>
      <c r="H66"/>
      <c r="I66"/>
      <c r="J66" s="7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2:45" s="1" customFormat="1" x14ac:dyDescent="0.2">
      <c r="B67"/>
      <c r="C67"/>
      <c r="D67"/>
      <c r="F67"/>
      <c r="G67" s="7"/>
      <c r="H67" s="7"/>
      <c r="I67"/>
      <c r="J67" s="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s="1" customFormat="1" x14ac:dyDescent="0.2">
      <c r="B68"/>
      <c r="C68"/>
      <c r="D68"/>
      <c r="F68" s="7"/>
      <c r="G68" s="7"/>
      <c r="H68" s="7"/>
      <c r="K68"/>
      <c r="L68"/>
      <c r="M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s="1" customFormat="1" x14ac:dyDescent="0.2">
      <c r="B69"/>
      <c r="C69"/>
      <c r="D69"/>
      <c r="F69" s="7"/>
      <c r="G69" s="7"/>
      <c r="H69" s="7"/>
      <c r="L69" s="1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2:45" s="1" customFormat="1" x14ac:dyDescent="0.2">
      <c r="B70"/>
      <c r="C70"/>
      <c r="D70"/>
      <c r="F70" s="7"/>
      <c r="G70" s="7"/>
      <c r="H70" s="7"/>
      <c r="L70" s="19"/>
      <c r="O70" s="19"/>
      <c r="R70"/>
      <c r="AB70"/>
      <c r="AH70"/>
      <c r="AI70"/>
      <c r="AJ70"/>
      <c r="AK70"/>
      <c r="AL70"/>
      <c r="AM70"/>
      <c r="AN70"/>
    </row>
    <row r="71" spans="2:45" s="1" customFormat="1" x14ac:dyDescent="0.2">
      <c r="B71"/>
      <c r="C71"/>
      <c r="D71"/>
      <c r="F71" s="7"/>
      <c r="G71" s="7"/>
      <c r="H71" s="7"/>
      <c r="O71" s="19"/>
      <c r="R71"/>
      <c r="AH71"/>
      <c r="AI71"/>
      <c r="AJ71"/>
      <c r="AK71"/>
      <c r="AL71"/>
      <c r="AM71"/>
      <c r="AN71"/>
    </row>
    <row r="72" spans="2:45" s="1" customFormat="1" x14ac:dyDescent="0.2">
      <c r="B72"/>
      <c r="C72"/>
      <c r="D72"/>
      <c r="F72" s="7"/>
      <c r="G72" s="7"/>
      <c r="H72" s="7"/>
      <c r="L72" s="19"/>
      <c r="AH72"/>
      <c r="AI72"/>
      <c r="AJ72"/>
      <c r="AK72"/>
      <c r="AL72"/>
      <c r="AM72"/>
      <c r="AN72"/>
    </row>
    <row r="73" spans="2:45" s="1" customFormat="1" x14ac:dyDescent="0.2">
      <c r="B73"/>
      <c r="C73"/>
      <c r="D73"/>
      <c r="F73" s="7"/>
      <c r="G73" s="7"/>
      <c r="H73" s="7"/>
      <c r="AH73"/>
      <c r="AI73"/>
      <c r="AJ73"/>
      <c r="AK73"/>
      <c r="AL73"/>
      <c r="AM73"/>
      <c r="AN73"/>
    </row>
    <row r="74" spans="2:45" s="1" customFormat="1" x14ac:dyDescent="0.2">
      <c r="B74"/>
      <c r="C74"/>
      <c r="D74"/>
      <c r="F74" s="7"/>
      <c r="G74" s="7"/>
      <c r="H74" s="7"/>
      <c r="AH74"/>
      <c r="AI74"/>
      <c r="AJ74"/>
      <c r="AK74"/>
      <c r="AL74"/>
      <c r="AM74"/>
      <c r="AN74"/>
    </row>
    <row r="75" spans="2:45" s="1" customFormat="1" x14ac:dyDescent="0.2">
      <c r="B75"/>
      <c r="C75"/>
      <c r="D75"/>
      <c r="F75" s="7"/>
      <c r="G75" s="7"/>
      <c r="H75" s="7"/>
      <c r="AH75"/>
      <c r="AI75"/>
      <c r="AJ75"/>
      <c r="AK75"/>
      <c r="AL75"/>
      <c r="AM75"/>
      <c r="AN75"/>
    </row>
    <row r="76" spans="2:45" s="1" customFormat="1" x14ac:dyDescent="0.2">
      <c r="B76"/>
      <c r="C76"/>
      <c r="D76"/>
      <c r="F76" s="7"/>
      <c r="G76" s="7"/>
      <c r="H76" s="7"/>
      <c r="I76" s="326" t="s">
        <v>294</v>
      </c>
      <c r="J76" s="510" t="s">
        <v>160</v>
      </c>
      <c r="K76" s="516" t="s">
        <v>295</v>
      </c>
      <c r="L76" s="276" t="s">
        <v>296</v>
      </c>
      <c r="M76" s="277"/>
      <c r="N76" s="277"/>
      <c r="O76" s="277"/>
      <c r="P76" s="277"/>
      <c r="Q76" s="277"/>
      <c r="R76" s="277"/>
      <c r="S76" s="447" t="s">
        <v>26</v>
      </c>
      <c r="T76" s="517">
        <v>6.5</v>
      </c>
      <c r="AH76"/>
      <c r="AI76"/>
      <c r="AJ76"/>
      <c r="AK76"/>
      <c r="AL76"/>
      <c r="AM76"/>
      <c r="AN76"/>
    </row>
    <row r="77" spans="2:45" x14ac:dyDescent="0.2">
      <c r="I77" s="102"/>
      <c r="J77" s="329" t="s">
        <v>73</v>
      </c>
      <c r="K77" s="11" t="s">
        <v>320</v>
      </c>
      <c r="L77" s="23" t="s">
        <v>321</v>
      </c>
      <c r="M77" s="24"/>
      <c r="N77" s="24"/>
      <c r="O77" s="24"/>
      <c r="P77" s="24"/>
      <c r="Q77" s="24"/>
      <c r="R77" s="24"/>
      <c r="S77" s="447" t="s">
        <v>149</v>
      </c>
      <c r="T77" s="57">
        <v>11</v>
      </c>
      <c r="AO77" s="1"/>
      <c r="AP77" s="1"/>
      <c r="AQ77" s="1"/>
      <c r="AR77" s="1"/>
      <c r="AS77" s="1"/>
    </row>
    <row r="78" spans="2:45" x14ac:dyDescent="0.2">
      <c r="I78" s="102"/>
      <c r="J78" s="332" t="s">
        <v>331</v>
      </c>
      <c r="K78" s="11" t="s">
        <v>332</v>
      </c>
      <c r="L78" s="23" t="s">
        <v>333</v>
      </c>
      <c r="M78" s="24"/>
      <c r="N78" s="24"/>
      <c r="O78" s="24"/>
      <c r="P78" s="24"/>
      <c r="Q78" s="24"/>
      <c r="R78" s="24"/>
      <c r="S78" s="441" t="s">
        <v>149</v>
      </c>
      <c r="T78" s="57">
        <v>10</v>
      </c>
      <c r="AO78" s="1"/>
      <c r="AP78" s="1"/>
      <c r="AQ78" s="1"/>
      <c r="AR78" s="1"/>
      <c r="AS78" s="1"/>
    </row>
    <row r="79" spans="2:45" x14ac:dyDescent="0.2">
      <c r="I79" s="102"/>
      <c r="J79" s="133" t="s">
        <v>334</v>
      </c>
      <c r="K79" s="11" t="s">
        <v>335</v>
      </c>
      <c r="L79" s="23" t="s">
        <v>336</v>
      </c>
      <c r="M79" s="24"/>
      <c r="N79" s="24"/>
      <c r="O79" s="24"/>
      <c r="P79" s="24"/>
      <c r="Q79" s="24"/>
      <c r="R79" s="24"/>
      <c r="S79" s="441" t="s">
        <v>149</v>
      </c>
      <c r="T79" s="57">
        <v>15</v>
      </c>
      <c r="AO79" s="1"/>
    </row>
    <row r="80" spans="2:45" x14ac:dyDescent="0.2">
      <c r="I80" s="102"/>
      <c r="J80" s="131"/>
      <c r="K80" s="11"/>
      <c r="L80" s="23"/>
      <c r="M80" s="24"/>
      <c r="N80" s="24"/>
      <c r="O80" s="24"/>
      <c r="P80" s="24"/>
      <c r="Q80" s="24"/>
      <c r="R80" s="24"/>
      <c r="S80" s="441"/>
      <c r="T80" s="57"/>
    </row>
    <row r="81" spans="9:40" x14ac:dyDescent="0.2">
      <c r="I81" s="102" t="s">
        <v>297</v>
      </c>
      <c r="J81" s="511" t="s">
        <v>298</v>
      </c>
      <c r="K81" s="11" t="s">
        <v>299</v>
      </c>
      <c r="L81" s="23" t="s">
        <v>300</v>
      </c>
      <c r="M81" s="24"/>
      <c r="N81" s="24"/>
      <c r="O81" s="24"/>
      <c r="P81" s="24"/>
      <c r="Q81" s="24"/>
      <c r="R81" s="24"/>
      <c r="S81" s="441" t="s">
        <v>26</v>
      </c>
      <c r="T81" s="57">
        <v>12</v>
      </c>
    </row>
    <row r="82" spans="9:40" x14ac:dyDescent="0.2">
      <c r="I82" s="102" t="s">
        <v>301</v>
      </c>
      <c r="J82" s="512" t="s">
        <v>305</v>
      </c>
      <c r="K82" s="11" t="s">
        <v>306</v>
      </c>
      <c r="L82" s="23" t="s">
        <v>307</v>
      </c>
      <c r="M82" s="24"/>
      <c r="N82" s="24"/>
      <c r="O82" s="24"/>
      <c r="P82" s="24"/>
      <c r="Q82" s="24"/>
      <c r="R82" s="24"/>
      <c r="S82" s="441" t="s">
        <v>26</v>
      </c>
      <c r="T82" s="57">
        <v>19</v>
      </c>
    </row>
    <row r="83" spans="9:40" x14ac:dyDescent="0.2">
      <c r="I83" s="102"/>
      <c r="J83" s="513" t="s">
        <v>167</v>
      </c>
      <c r="K83" s="11" t="s">
        <v>302</v>
      </c>
      <c r="L83" s="23" t="s">
        <v>303</v>
      </c>
      <c r="M83" s="24"/>
      <c r="N83" s="24"/>
      <c r="O83" s="24"/>
      <c r="P83" s="24"/>
      <c r="Q83" s="24"/>
      <c r="R83" s="24"/>
      <c r="S83" s="441" t="s">
        <v>149</v>
      </c>
      <c r="T83" s="57">
        <v>13</v>
      </c>
      <c r="AK83" s="1"/>
      <c r="AL83" s="1"/>
      <c r="AM83" s="1"/>
      <c r="AN83" s="1"/>
    </row>
    <row r="84" spans="9:40" x14ac:dyDescent="0.2">
      <c r="I84" s="102"/>
      <c r="J84" s="260" t="s">
        <v>186</v>
      </c>
      <c r="K84" s="11" t="s">
        <v>337</v>
      </c>
      <c r="L84" s="23" t="s">
        <v>338</v>
      </c>
      <c r="M84" s="24"/>
      <c r="N84" s="24"/>
      <c r="O84" s="24"/>
      <c r="P84" s="24"/>
      <c r="Q84" s="24"/>
      <c r="R84" s="24"/>
      <c r="S84" s="441" t="s">
        <v>149</v>
      </c>
      <c r="T84" s="57">
        <v>6</v>
      </c>
      <c r="AK84" s="1"/>
      <c r="AL84" s="1"/>
      <c r="AM84" s="1"/>
      <c r="AN84" s="1"/>
    </row>
    <row r="85" spans="9:40" x14ac:dyDescent="0.2">
      <c r="I85" s="102"/>
      <c r="J85" s="52" t="s">
        <v>339</v>
      </c>
      <c r="K85" s="11" t="s">
        <v>317</v>
      </c>
      <c r="L85" s="23" t="s">
        <v>340</v>
      </c>
      <c r="M85" s="24"/>
      <c r="N85" s="24"/>
      <c r="O85" s="24"/>
      <c r="P85" s="24"/>
      <c r="Q85" s="24"/>
      <c r="R85" s="24"/>
      <c r="S85" s="441" t="s">
        <v>149</v>
      </c>
      <c r="T85" s="57">
        <v>16</v>
      </c>
      <c r="AK85" s="1"/>
      <c r="AL85" s="1"/>
      <c r="AM85" s="1"/>
      <c r="AN85" s="1"/>
    </row>
    <row r="86" spans="9:40" x14ac:dyDescent="0.2">
      <c r="I86" s="102"/>
      <c r="J86" s="514" t="s">
        <v>330</v>
      </c>
      <c r="K86" s="11" t="s">
        <v>341</v>
      </c>
      <c r="L86" s="23" t="s">
        <v>342</v>
      </c>
      <c r="M86" s="24"/>
      <c r="N86" s="24"/>
      <c r="O86" s="24"/>
      <c r="P86" s="24"/>
      <c r="Q86" s="24"/>
      <c r="R86" s="24"/>
      <c r="S86" s="441" t="s">
        <v>26</v>
      </c>
      <c r="T86" s="57">
        <v>10</v>
      </c>
      <c r="AK86" s="1"/>
      <c r="AL86" s="1"/>
      <c r="AM86" s="1"/>
      <c r="AN86" s="1"/>
    </row>
    <row r="87" spans="9:40" x14ac:dyDescent="0.2">
      <c r="I87" s="102"/>
      <c r="J87" s="52" t="s">
        <v>327</v>
      </c>
      <c r="K87" s="11" t="s">
        <v>328</v>
      </c>
      <c r="L87" s="23" t="s">
        <v>329</v>
      </c>
      <c r="M87" s="24"/>
      <c r="N87" s="24"/>
      <c r="O87" s="24"/>
      <c r="P87" s="24"/>
      <c r="Q87" s="24"/>
      <c r="R87" s="24"/>
      <c r="S87" s="441" t="s">
        <v>149</v>
      </c>
      <c r="T87" s="57">
        <v>5</v>
      </c>
      <c r="AK87" s="1"/>
      <c r="AL87" s="1"/>
      <c r="AM87" s="1"/>
      <c r="AN87" s="1"/>
    </row>
    <row r="88" spans="9:40" x14ac:dyDescent="0.2">
      <c r="I88" s="102"/>
      <c r="J88" s="515" t="s">
        <v>323</v>
      </c>
      <c r="K88" s="11" t="s">
        <v>324</v>
      </c>
      <c r="L88" s="408" t="s">
        <v>325</v>
      </c>
      <c r="M88" s="400"/>
      <c r="N88" s="400"/>
      <c r="O88" s="400"/>
      <c r="P88" s="400"/>
      <c r="Q88" s="400"/>
      <c r="R88" s="400"/>
      <c r="S88" s="441" t="s">
        <v>149</v>
      </c>
      <c r="T88" s="57">
        <v>5</v>
      </c>
      <c r="AK88" s="1"/>
      <c r="AL88" s="1"/>
      <c r="AM88" s="1"/>
      <c r="AN88" s="1"/>
    </row>
    <row r="89" spans="9:40" x14ac:dyDescent="0.2">
      <c r="AK89" s="1"/>
      <c r="AL89" s="1"/>
      <c r="AM89" s="1"/>
      <c r="AN89" s="1"/>
    </row>
    <row r="90" spans="9:40" x14ac:dyDescent="0.2">
      <c r="AK90" s="1"/>
      <c r="AL90" s="1"/>
      <c r="AM90" s="1"/>
      <c r="AN90" s="1"/>
    </row>
    <row r="91" spans="9:40" x14ac:dyDescent="0.2">
      <c r="AK91" s="1"/>
      <c r="AL91" s="1"/>
      <c r="AM91" s="1"/>
      <c r="AN91" s="1"/>
    </row>
    <row r="92" spans="9:40" x14ac:dyDescent="0.2">
      <c r="AK92" s="1"/>
      <c r="AL92" s="1"/>
      <c r="AM92" s="1"/>
      <c r="AN92" s="1"/>
    </row>
  </sheetData>
  <sortState xmlns:xlrd2="http://schemas.microsoft.com/office/spreadsheetml/2017/richdata2" ref="H6:U15">
    <sortCondition ref="H6:H15"/>
  </sortState>
  <mergeCells count="72">
    <mergeCell ref="I48:J48"/>
    <mergeCell ref="I49:J49"/>
    <mergeCell ref="K40:AN40"/>
    <mergeCell ref="K28:AN28"/>
    <mergeCell ref="I42:J42"/>
    <mergeCell ref="I43:J43"/>
    <mergeCell ref="I44:J44"/>
    <mergeCell ref="I45:J45"/>
    <mergeCell ref="I46:J46"/>
    <mergeCell ref="I47:J47"/>
    <mergeCell ref="I36:J36"/>
    <mergeCell ref="I37:J37"/>
    <mergeCell ref="K41:O41"/>
    <mergeCell ref="U41:Y41"/>
    <mergeCell ref="Z41:AD41"/>
    <mergeCell ref="AE41:AI41"/>
    <mergeCell ref="AJ41:AN41"/>
    <mergeCell ref="AE3:AU3"/>
    <mergeCell ref="AE4:AE5"/>
    <mergeCell ref="S3:U4"/>
    <mergeCell ref="I31:J31"/>
    <mergeCell ref="I32:J32"/>
    <mergeCell ref="I33:J33"/>
    <mergeCell ref="I34:J34"/>
    <mergeCell ref="P41:T41"/>
    <mergeCell ref="I35:J35"/>
    <mergeCell ref="Z29:AD29"/>
    <mergeCell ref="AE29:AI29"/>
    <mergeCell ref="AJ29:AN29"/>
    <mergeCell ref="U29:Y29"/>
    <mergeCell ref="I30:J30"/>
    <mergeCell ref="Z4:AD4"/>
    <mergeCell ref="B17:D17"/>
    <mergeCell ref="B18:D18"/>
    <mergeCell ref="B20:E20"/>
    <mergeCell ref="B21:C21"/>
    <mergeCell ref="B22:C22"/>
    <mergeCell ref="B23:D23"/>
    <mergeCell ref="B24:D24"/>
    <mergeCell ref="B26:C26"/>
    <mergeCell ref="K29:O29"/>
    <mergeCell ref="P29:T29"/>
    <mergeCell ref="D10:E10"/>
    <mergeCell ref="D11:E11"/>
    <mergeCell ref="B13:E13"/>
    <mergeCell ref="B14:D14"/>
    <mergeCell ref="B15:D15"/>
    <mergeCell ref="B16:D16"/>
    <mergeCell ref="BD4:BD5"/>
    <mergeCell ref="D5:E5"/>
    <mergeCell ref="D6:E6"/>
    <mergeCell ref="D7:E7"/>
    <mergeCell ref="D8:E8"/>
    <mergeCell ref="D9:E9"/>
    <mergeCell ref="AF4:AF5"/>
    <mergeCell ref="AG4:AI4"/>
    <mergeCell ref="AJ4:AO4"/>
    <mergeCell ref="AP4:AR4"/>
    <mergeCell ref="AS4:AU4"/>
    <mergeCell ref="D4:E4"/>
    <mergeCell ref="H4:H5"/>
    <mergeCell ref="I4:I5"/>
    <mergeCell ref="J4:J5"/>
    <mergeCell ref="X3:AD3"/>
    <mergeCell ref="K4:Q5"/>
    <mergeCell ref="X4:Y4"/>
    <mergeCell ref="B2:E2"/>
    <mergeCell ref="D3:E3"/>
    <mergeCell ref="H3:Q3"/>
    <mergeCell ref="R3:R5"/>
    <mergeCell ref="V3:V5"/>
    <mergeCell ref="W3:W5"/>
  </mergeCells>
  <conditionalFormatting sqref="AB6:AB25">
    <cfRule type="containsText" dxfId="59" priority="8" operator="containsText" text="Excess">
      <formula>NOT(ISERROR(SEARCH("Excess",AB6)))</formula>
    </cfRule>
    <cfRule type="containsText" dxfId="58" priority="9" stopIfTrue="1" operator="containsText" text="Risk">
      <formula>NOT(ISERROR(SEARCH("Risk",AB6)))</formula>
    </cfRule>
    <cfRule type="containsText" dxfId="57" priority="10" stopIfTrue="1" operator="containsText" text="Short">
      <formula>NOT(ISERROR(SEARCH("Short",AB6)))</formula>
    </cfRule>
    <cfRule type="containsText" dxfId="56" priority="11" stopIfTrue="1" operator="containsText" text="Attention">
      <formula>NOT(ISERROR(SEARCH("Attention",AB6)))</formula>
    </cfRule>
    <cfRule type="containsText" dxfId="55" priority="12" operator="containsText" text="Aligned">
      <formula>NOT(ISERROR(SEARCH("Aligned",AB6)))</formula>
    </cfRule>
  </conditionalFormatting>
  <conditionalFormatting sqref="AC6:AC25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6:AF25">
    <cfRule type="expression" dxfId="54" priority="2">
      <formula>AND($AF6&lt;&gt;"7 PI Started",$AF6&lt;&gt;"Done")</formula>
    </cfRule>
    <cfRule type="containsText" dxfId="53" priority="3" operator="containsText" text="7 PI Started">
      <formula>NOT(ISERROR(SEARCH("7 PI Started",AF6)))</formula>
    </cfRule>
    <cfRule type="containsText" dxfId="52" priority="4" stopIfTrue="1" operator="containsText" text="Done">
      <formula>NOT(ISERROR(SEARCH("Done",AF6)))</formula>
    </cfRule>
  </conditionalFormatting>
  <conditionalFormatting sqref="AH6:AH25">
    <cfRule type="containsText" dxfId="51" priority="5" operator="containsText" text="On Time">
      <formula>NOT(ISERROR(SEARCH("On Time",AH6)))</formula>
    </cfRule>
    <cfRule type="containsText" dxfId="50" priority="6" stopIfTrue="1" operator="containsText" text="Delayed">
      <formula>NOT(ISERROR(SEARCH("Delayed",AH6)))</formula>
    </cfRule>
    <cfRule type="containsText" dxfId="49" priority="7" stopIfTrue="1" operator="containsText" text="Not Started">
      <formula>NOT(ISERROR(SEARCH("Not Started",AH6)))</formula>
    </cfRule>
  </conditionalFormatting>
  <conditionalFormatting sqref="AK6:AK25">
    <cfRule type="containsText" dxfId="48" priority="28" operator="containsText" text="Postponed">
      <formula>NOT(ISERROR(SEARCH("Postponed",AK6)))</formula>
    </cfRule>
    <cfRule type="containsText" dxfId="47" priority="29" operator="containsText" text="Advanced">
      <formula>NOT(ISERROR(SEARCH("Advanced",AK6)))</formula>
    </cfRule>
    <cfRule type="containsText" dxfId="46" priority="30" operator="containsText" text="No Change">
      <formula>NOT(ISERROR(SEARCH("No Change",AK6)))</formula>
    </cfRule>
  </conditionalFormatting>
  <conditionalFormatting sqref="AM6:AM25">
    <cfRule type="containsText" dxfId="45" priority="22" stopIfTrue="1" operator="containsText" text="Not Started">
      <formula>NOT(ISERROR(SEARCH("Not Started",AM6)))</formula>
    </cfRule>
    <cfRule type="containsText" dxfId="44" priority="23" stopIfTrue="1" operator="containsText" text="Due Today">
      <formula>NOT(ISERROR(SEARCH("Due Today",AM6)))</formula>
    </cfRule>
    <cfRule type="containsText" dxfId="43" priority="24" operator="containsText" text="Near End">
      <formula>NOT(ISERROR(SEARCH("Near End",AM6)))</formula>
    </cfRule>
    <cfRule type="containsText" dxfId="42" priority="25" operator="containsText" text="Delivered">
      <formula>NOT(ISERROR(SEARCH("Delivered",AM6)))</formula>
    </cfRule>
    <cfRule type="containsText" dxfId="41" priority="26" operator="containsText" text="On Track">
      <formula>NOT(ISERROR(SEARCH("On Track",AM6)))</formula>
    </cfRule>
    <cfRule type="containsText" dxfId="40" priority="27" operator="containsText" text="Delayed">
      <formula>NOT(ISERROR(SEARCH("Delayed",AM6)))</formula>
    </cfRule>
  </conditionalFormatting>
  <conditionalFormatting sqref="AQ6:AQ25">
    <cfRule type="containsText" dxfId="39" priority="16" stopIfTrue="1" operator="containsText" text="Not Started">
      <formula>NOT(ISERROR(SEARCH("Not Started",AQ6)))</formula>
    </cfRule>
    <cfRule type="containsText" dxfId="38" priority="17" stopIfTrue="1" operator="containsText" text="Due Today">
      <formula>NOT(ISERROR(SEARCH("Due Today",AQ6)))</formula>
    </cfRule>
    <cfRule type="containsText" dxfId="37" priority="18" operator="containsText" text="Near End">
      <formula>NOT(ISERROR(SEARCH("Near End",AQ6)))</formula>
    </cfRule>
    <cfRule type="containsText" dxfId="36" priority="19" operator="containsText" text="Delivered">
      <formula>NOT(ISERROR(SEARCH("Delivered",AQ6)))</formula>
    </cfRule>
    <cfRule type="containsText" dxfId="35" priority="20" operator="containsText" text="On Track">
      <formula>NOT(ISERROR(SEARCH("On Track",AQ6)))</formula>
    </cfRule>
    <cfRule type="containsText" dxfId="34" priority="21" operator="containsText" text="Delayed">
      <formula>NOT(ISERROR(SEARCH("Delayed",AQ6)))</formula>
    </cfRule>
  </conditionalFormatting>
  <conditionalFormatting sqref="AU6:AU25">
    <cfRule type="expression" dxfId="33" priority="13" stopIfTrue="1">
      <formula>$AU6&lt;0</formula>
    </cfRule>
    <cfRule type="expression" dxfId="32" priority="14" stopIfTrue="1">
      <formula>$AU6&gt;0</formula>
    </cfRule>
    <cfRule type="expression" dxfId="31" priority="15" stopIfTrue="1">
      <formula>$AU6=0</formula>
    </cfRule>
  </conditionalFormatting>
  <dataValidations count="1">
    <dataValidation type="list" allowBlank="1" showInputMessage="1" showErrorMessage="1" sqref="S76:S88 R6:R25" xr:uid="{1CB1066A-9799-FE4D-872D-9918B2B856E9}">
      <formula1>$K$50:$K$54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EDFD756-CF86-1F45-987A-73C7529BB374}">
            <xm:f>NOT(ISERROR(SEARCH("-",AF6)))</xm:f>
            <xm:f>"-"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AF6:AF25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C0324-729E-9648-B52E-72B2471D2229}">
  <sheetPr codeName="Sheet13"/>
  <dimension ref="A1:AZ92"/>
  <sheetViews>
    <sheetView showGridLines="0" topLeftCell="G1" zoomScale="130" zoomScaleNormal="130" workbookViewId="0">
      <selection activeCell="O20" sqref="O20"/>
    </sheetView>
  </sheetViews>
  <sheetFormatPr baseColWidth="10" defaultColWidth="11" defaultRowHeight="16" x14ac:dyDescent="0.2"/>
  <cols>
    <col min="1" max="1" width="4.83203125" style="1" customWidth="1"/>
    <col min="2" max="2" width="16.6640625" customWidth="1"/>
    <col min="3" max="3" width="9.33203125" bestFit="1" customWidth="1"/>
    <col min="4" max="4" width="10.6640625" customWidth="1"/>
    <col min="5" max="5" width="10.6640625" style="1" customWidth="1"/>
    <col min="6" max="7" width="1.1640625" style="7" customWidth="1"/>
    <col min="8" max="8" width="4" style="7" customWidth="1"/>
    <col min="9" max="9" width="10.6640625" style="1" customWidth="1"/>
    <col min="10" max="10" width="11.6640625" style="1" customWidth="1"/>
    <col min="11" max="33" width="10.6640625" style="1" customWidth="1"/>
    <col min="34" max="40" width="10.6640625" customWidth="1"/>
  </cols>
  <sheetData>
    <row r="1" spans="1:52" ht="17" thickBot="1" x14ac:dyDescent="0.25">
      <c r="AF1"/>
      <c r="AG1"/>
      <c r="AH1" s="1"/>
      <c r="AI1" s="1"/>
      <c r="AJ1" s="1"/>
    </row>
    <row r="2" spans="1:52" ht="17" thickBot="1" x14ac:dyDescent="0.25">
      <c r="B2" s="644" t="s">
        <v>97</v>
      </c>
      <c r="C2" s="644"/>
      <c r="D2" s="644"/>
      <c r="E2" s="644"/>
      <c r="F2" s="29"/>
      <c r="G2" s="30"/>
      <c r="H2" s="735" t="s">
        <v>98</v>
      </c>
      <c r="I2" s="736"/>
      <c r="J2" s="736"/>
      <c r="K2" s="736"/>
      <c r="L2" s="736"/>
      <c r="M2" s="736"/>
      <c r="N2" s="736"/>
      <c r="O2" s="736"/>
      <c r="P2" s="736"/>
      <c r="Q2" s="736"/>
      <c r="R2" s="736"/>
      <c r="S2" s="736"/>
      <c r="T2" s="736"/>
      <c r="U2" s="736"/>
      <c r="V2" s="736"/>
      <c r="W2" s="736"/>
      <c r="X2" s="736"/>
      <c r="Y2" s="736"/>
      <c r="Z2" s="736"/>
      <c r="AA2" s="736"/>
      <c r="AB2" s="736"/>
      <c r="AC2" s="736"/>
      <c r="AD2" s="736"/>
      <c r="AE2" s="736"/>
      <c r="AF2" s="736"/>
      <c r="AG2" s="736"/>
      <c r="AH2" s="736"/>
      <c r="AI2" s="559"/>
      <c r="AJ2" s="559"/>
      <c r="AK2" s="559"/>
      <c r="AL2" s="559"/>
      <c r="AM2" s="559"/>
      <c r="AN2" s="559"/>
      <c r="AO2" s="559"/>
      <c r="AP2" s="559"/>
      <c r="AQ2" s="559"/>
      <c r="AR2" s="559"/>
      <c r="AS2" s="560"/>
    </row>
    <row r="3" spans="1:5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702" t="s">
        <v>133</v>
      </c>
      <c r="S3" s="705" t="s">
        <v>99</v>
      </c>
      <c r="T3" s="661" t="s">
        <v>100</v>
      </c>
      <c r="U3" s="655" t="s">
        <v>7</v>
      </c>
      <c r="V3" s="647" t="s">
        <v>135</v>
      </c>
      <c r="W3" s="648"/>
      <c r="X3" s="648"/>
      <c r="Y3" s="648"/>
      <c r="Z3" s="648"/>
      <c r="AA3" s="648"/>
      <c r="AB3" s="723"/>
      <c r="AC3" s="647" t="s">
        <v>136</v>
      </c>
      <c r="AD3" s="648"/>
      <c r="AE3" s="648"/>
      <c r="AF3" s="648"/>
      <c r="AG3" s="648"/>
      <c r="AH3" s="648"/>
      <c r="AI3" s="648"/>
      <c r="AJ3" s="648"/>
      <c r="AK3" s="648"/>
      <c r="AL3" s="648"/>
      <c r="AM3" s="648"/>
      <c r="AN3" s="648"/>
      <c r="AO3" s="648"/>
      <c r="AP3" s="648"/>
      <c r="AQ3" s="648"/>
      <c r="AR3" s="648"/>
      <c r="AS3" s="723"/>
    </row>
    <row r="4" spans="1:52" ht="16" customHeight="1" x14ac:dyDescent="0.2">
      <c r="B4" s="102" t="s">
        <v>19</v>
      </c>
      <c r="C4" s="4" t="s">
        <v>14</v>
      </c>
      <c r="D4" s="700" t="s">
        <v>67</v>
      </c>
      <c r="E4" s="701"/>
      <c r="F4" s="148"/>
      <c r="H4" s="726" t="s">
        <v>249</v>
      </c>
      <c r="I4" s="709" t="s">
        <v>16</v>
      </c>
      <c r="J4" s="608" t="s">
        <v>17</v>
      </c>
      <c r="K4" s="607" t="s">
        <v>18</v>
      </c>
      <c r="L4" s="613"/>
      <c r="M4" s="613"/>
      <c r="N4" s="613"/>
      <c r="O4" s="613"/>
      <c r="P4" s="613"/>
      <c r="Q4" s="613"/>
      <c r="R4" s="703"/>
      <c r="S4" s="705"/>
      <c r="T4" s="661"/>
      <c r="U4" s="655"/>
      <c r="V4" s="711" t="s">
        <v>250</v>
      </c>
      <c r="W4" s="712"/>
      <c r="X4" s="724" t="s">
        <v>39</v>
      </c>
      <c r="Y4" s="605"/>
      <c r="Z4" s="605"/>
      <c r="AA4" s="605"/>
      <c r="AB4" s="725"/>
      <c r="AC4" s="696" t="s">
        <v>470</v>
      </c>
      <c r="AD4" s="696" t="s">
        <v>251</v>
      </c>
      <c r="AE4" s="724" t="s">
        <v>252</v>
      </c>
      <c r="AF4" s="605"/>
      <c r="AG4" s="725"/>
      <c r="AH4" s="711" t="s">
        <v>253</v>
      </c>
      <c r="AI4" s="714"/>
      <c r="AJ4" s="714"/>
      <c r="AK4" s="714"/>
      <c r="AL4" s="714"/>
      <c r="AM4" s="712"/>
      <c r="AN4" s="630" t="s">
        <v>254</v>
      </c>
      <c r="AO4" s="632"/>
      <c r="AP4" s="713"/>
      <c r="AQ4" s="630" t="s">
        <v>39</v>
      </c>
      <c r="AR4" s="632"/>
      <c r="AS4" s="713"/>
      <c r="AZ4" s="698" t="s">
        <v>140</v>
      </c>
    </row>
    <row r="5" spans="1:52" ht="16" customHeight="1" thickBot="1" x14ac:dyDescent="0.25">
      <c r="B5" s="102" t="s">
        <v>19</v>
      </c>
      <c r="C5" s="4" t="s">
        <v>14</v>
      </c>
      <c r="D5" s="700" t="s">
        <v>71</v>
      </c>
      <c r="E5" s="701"/>
      <c r="F5" s="29"/>
      <c r="G5" s="30"/>
      <c r="H5" s="631"/>
      <c r="I5" s="710"/>
      <c r="J5" s="627"/>
      <c r="K5" s="657"/>
      <c r="L5" s="658"/>
      <c r="M5" s="658"/>
      <c r="N5" s="658"/>
      <c r="O5" s="658"/>
      <c r="P5" s="658"/>
      <c r="Q5" s="658"/>
      <c r="R5" s="704"/>
      <c r="S5" s="706"/>
      <c r="T5" s="662"/>
      <c r="U5" s="658"/>
      <c r="V5" s="417" t="s">
        <v>252</v>
      </c>
      <c r="W5" s="399" t="s">
        <v>254</v>
      </c>
      <c r="X5" s="554" t="s">
        <v>470</v>
      </c>
      <c r="Y5" s="402" t="s">
        <v>42</v>
      </c>
      <c r="Z5" s="403" t="s">
        <v>255</v>
      </c>
      <c r="AA5" s="403" t="s">
        <v>256</v>
      </c>
      <c r="AB5" s="416" t="s">
        <v>11</v>
      </c>
      <c r="AC5" s="629"/>
      <c r="AD5" s="629"/>
      <c r="AE5" s="407" t="s">
        <v>250</v>
      </c>
      <c r="AF5" s="398" t="s">
        <v>134</v>
      </c>
      <c r="AG5" s="399" t="s">
        <v>257</v>
      </c>
      <c r="AH5" s="407" t="s">
        <v>250</v>
      </c>
      <c r="AI5" s="398" t="s">
        <v>258</v>
      </c>
      <c r="AJ5" s="398" t="s">
        <v>259</v>
      </c>
      <c r="AK5" s="398" t="s">
        <v>134</v>
      </c>
      <c r="AL5" s="398" t="s">
        <v>257</v>
      </c>
      <c r="AM5" s="399" t="s">
        <v>260</v>
      </c>
      <c r="AN5" s="407" t="s">
        <v>250</v>
      </c>
      <c r="AO5" s="398" t="s">
        <v>134</v>
      </c>
      <c r="AP5" s="399" t="s">
        <v>257</v>
      </c>
      <c r="AQ5" s="407" t="s">
        <v>42</v>
      </c>
      <c r="AR5" s="398" t="s">
        <v>11</v>
      </c>
      <c r="AS5" s="399" t="s">
        <v>261</v>
      </c>
      <c r="AZ5" s="629"/>
    </row>
    <row r="6" spans="1:52" x14ac:dyDescent="0.2">
      <c r="B6" s="102" t="s">
        <v>19</v>
      </c>
      <c r="C6" s="4" t="s">
        <v>14</v>
      </c>
      <c r="D6" s="700" t="s">
        <v>20</v>
      </c>
      <c r="E6" s="701"/>
      <c r="F6" s="29"/>
      <c r="G6" s="30"/>
      <c r="H6" s="102"/>
      <c r="I6" s="465"/>
      <c r="J6" s="109"/>
      <c r="K6" s="408"/>
      <c r="L6" s="400"/>
      <c r="M6" s="400"/>
      <c r="N6" s="400"/>
      <c r="O6" s="400"/>
      <c r="P6" s="400"/>
      <c r="Q6" s="400"/>
      <c r="R6" s="446"/>
      <c r="S6" s="448"/>
      <c r="T6" s="437">
        <f t="shared" ref="T6:T25" si="0">IF(OR($C$37=0,S6=0),0,IF($C$37=0,0,ROUNDUP(S6*8/$C$37,0)))</f>
        <v>0</v>
      </c>
      <c r="U6" s="115"/>
      <c r="V6" s="413" t="str">
        <f>IFERROR(IF(VLOOKUP($J6, 'Jira Data'!$A:$R, 6, FALSE)="", "-", VLOOKUP($J6, 'Jira Data'!$A:$R, 6, FALSE)), "-")</f>
        <v>-</v>
      </c>
      <c r="W6" s="418" t="str">
        <f>IFERROR(IF(VLOOKUP($J6, 'Jira Data'!$A:$R, 7, FALSE)="", "-", VLOOKUP($J6, 'Jira Data'!$A:$R, 7, FALSE)), "-")</f>
        <v>-</v>
      </c>
      <c r="X6" s="569" t="str" cm="1">
        <f t="array" ref="X6">CountUniquePeopleByTask($I6,$K$43:$AS$49,$I$43:$J$49)</f>
        <v>-</v>
      </c>
      <c r="Y6" s="111">
        <f t="shared" ref="Y6:Y25" si="1">COUNTIF($K$43:$AN$49,I6)</f>
        <v>0</v>
      </c>
      <c r="Z6" s="438" t="str">
        <f t="shared" ref="Z6:Z25" si="2">IF(OR(T6="",Y6="",T6=0,Y6=0),"-",IF(Y6&gt;T6,"Excess",IF(Y6=T6,"Aligned",IF(T6-Y6&lt;=3,"Attention",IF(T6-Y6&lt;=5,"Risk","Short")))))</f>
        <v>-</v>
      </c>
      <c r="AA6" s="46">
        <f t="shared" ref="AA6:AA25" si="3">IF($Y$26=0,0,Y6/$Y$26)</f>
        <v>0</v>
      </c>
      <c r="AB6" s="412">
        <f t="shared" ref="AB6:AB25" si="4">Y6*$C$37</f>
        <v>0</v>
      </c>
      <c r="AC6" s="566" t="str" cm="1">
        <f t="array" ref="AC6">CountUniquePeopleByTask($I6,$K$31:$AS$37,$I$31:$J$37)</f>
        <v>-</v>
      </c>
      <c r="AD6" s="451" t="str">
        <f>IFERROR(VLOOKUP($J6, 'Jira Data'!$A:$R, 3, FALSE), "-")</f>
        <v>-</v>
      </c>
      <c r="AE6" s="411" t="str">
        <f>IFERROR(IF(VLOOKUP($J6, 'Jira Data'!$A:$R, 8, FALSE)="","-",VLOOKUP($J6, 'Jira Data'!$A:$R, 8, FALSE)),"-")</f>
        <v>-</v>
      </c>
      <c r="AF6" s="45" t="str">
        <f>IFERROR(VLOOKUP($J6, 'Jira Data'!$A:$R, 11, FALSE), "-")</f>
        <v>-</v>
      </c>
      <c r="AG6" s="424" t="str">
        <f>IFERROR(VLOOKUP($J6, 'Jira Data'!$A:$R, 12, FALSE), "-")</f>
        <v>-</v>
      </c>
      <c r="AH6" s="411" t="str">
        <f>IFERROR(IF(VLOOKUP($J6, 'Jira Data'!$A:$R, 9, FALSE)="","-",VLOOKUP($J6, 'Jira Data'!$A:$R, 9, FALSE)), "-")</f>
        <v>-</v>
      </c>
      <c r="AI6" s="429" t="str">
        <f t="shared" ref="AI6:AI25" si="5">IF(OR(W6="",AH6="",W6="-",AH6="-"),"-",IF(AH6&gt;W6,"Postponed",IF(AH6=W6,"No change","Advanced")))</f>
        <v>-</v>
      </c>
      <c r="AJ6" s="45" t="str">
        <f t="shared" ref="AJ6:AJ25" si="6">IF(OR(W6="",AH6="",W6="-",AH6="-"),"-",IF(ABS(NETWORKDAYS(W6,AH6))=0,0,ABS(NETWORKDAYS(W6,AH6))-1))</f>
        <v>-</v>
      </c>
      <c r="AK6" s="45" t="str">
        <f>IFERROR(VLOOKUP($J6, 'Jira Data'!$A:$R, 15, FALSE), "-")</f>
        <v>-</v>
      </c>
      <c r="AL6" s="45" t="str">
        <f>IFERROR(VLOOKUP($J6, 'Jira Data'!$A:$R, 16, FALSE), "-")</f>
        <v>-</v>
      </c>
      <c r="AM6" s="424" t="str">
        <f>IFERROR(VLOOKUP($J6, 'Jira Data'!$A:$R, 18, FALSE), "-")</f>
        <v>-</v>
      </c>
      <c r="AN6" s="411" t="str">
        <f>IFERROR(IF(VLOOKUP($J6, 'Jira Data'!$A:$R, 10, FALSE)="", "-", VLOOKUP($J6, 'Jira Data'!$A:$R, 10, FALSE)), "-")</f>
        <v>-</v>
      </c>
      <c r="AO6" s="45" t="str">
        <f>IFERROR(VLOOKUP($J6, 'Jira Data'!$A:$R, 13, FALSE), "-")</f>
        <v>-</v>
      </c>
      <c r="AP6" s="424" t="str">
        <f>IFERROR(VLOOKUP($J6, 'Jira Data'!$A:$R, 14, FALSE), "-")</f>
        <v>-</v>
      </c>
      <c r="AQ6" s="111">
        <f t="shared" ref="AQ6:AQ13" si="7">COUNTIF($K$31:$AN$37,$I6)</f>
        <v>0</v>
      </c>
      <c r="AR6" s="431">
        <f t="shared" ref="AR6:AR25" si="8">AQ6*$C$37</f>
        <v>0</v>
      </c>
      <c r="AS6" s="432" t="str">
        <f t="shared" ref="AS6:AS25" si="9">IF(OR(Y6="",Y6=0,AQ6="",AQ6=0),"-",(AQ6-Y6)/Y6)</f>
        <v>-</v>
      </c>
      <c r="AZ6" s="180" t="s">
        <v>26</v>
      </c>
    </row>
    <row r="7" spans="1:52" x14ac:dyDescent="0.2">
      <c r="A7" s="147"/>
      <c r="B7" s="102" t="s">
        <v>19</v>
      </c>
      <c r="C7" s="143" t="s">
        <v>14</v>
      </c>
      <c r="D7" s="700" t="s">
        <v>63</v>
      </c>
      <c r="E7" s="701"/>
      <c r="F7" s="29"/>
      <c r="G7" s="30"/>
      <c r="H7" s="102"/>
      <c r="I7" s="465"/>
      <c r="J7" s="11"/>
      <c r="K7" s="23"/>
      <c r="L7" s="24"/>
      <c r="M7" s="24"/>
      <c r="N7" s="24"/>
      <c r="O7" s="24"/>
      <c r="P7" s="24"/>
      <c r="Q7" s="24"/>
      <c r="R7" s="441"/>
      <c r="S7" s="57"/>
      <c r="T7" s="117">
        <f t="shared" si="0"/>
        <v>0</v>
      </c>
      <c r="U7" s="113"/>
      <c r="V7" s="413" t="str">
        <f>IFERROR(IF(VLOOKUP($J7, 'Jira Data'!$A:$R, 6, FALSE)="", "-", VLOOKUP($J7, 'Jira Data'!$A:$R, 6, FALSE)), "-")</f>
        <v>-</v>
      </c>
      <c r="W7" s="419" t="str">
        <f>IFERROR(IF(VLOOKUP($J7, 'Jira Data'!$A:$R, 7, FALSE)="", "-", VLOOKUP($J7, 'Jira Data'!$A:$R, 7, FALSE)), "-")</f>
        <v>-</v>
      </c>
      <c r="X7" s="567" t="str" cm="1">
        <f t="array" ref="X7">CountUniquePeopleByTask($I7,$K$43:$AS$49,$I$43:$J$49)</f>
        <v>-</v>
      </c>
      <c r="Y7" s="49">
        <f t="shared" si="1"/>
        <v>0</v>
      </c>
      <c r="Z7" s="439" t="str">
        <f t="shared" si="2"/>
        <v>-</v>
      </c>
      <c r="AA7" s="35">
        <f t="shared" si="3"/>
        <v>0</v>
      </c>
      <c r="AB7" s="422">
        <f t="shared" si="4"/>
        <v>0</v>
      </c>
      <c r="AC7" s="567" t="str" cm="1">
        <f t="array" ref="AC7">CountUniquePeopleByTask($I7,$K$31:$AS$37,$I$31:$J$37)</f>
        <v>-</v>
      </c>
      <c r="AD7" s="452" t="str">
        <f>IFERROR(VLOOKUP($J7, 'Jira Data'!$A:$R, 3, FALSE), "-")</f>
        <v>-</v>
      </c>
      <c r="AE7" s="425" t="str">
        <f>IFERROR(IF(VLOOKUP($J7, 'Jira Data'!$A:$R, 8, FALSE)="","-",VLOOKUP($J7, 'Jira Data'!$A:$R, 8, FALSE)),"-")</f>
        <v>-</v>
      </c>
      <c r="AF7" s="16" t="str">
        <f>IFERROR(VLOOKUP($J7, 'Jira Data'!$A:$R, 11, FALSE), "-")</f>
        <v>-</v>
      </c>
      <c r="AG7" s="426" t="str">
        <f>IFERROR(VLOOKUP($J7, 'Jira Data'!$A:$R, 12, FALSE), "-")</f>
        <v>-</v>
      </c>
      <c r="AH7" s="425" t="str">
        <f>IFERROR(IF(VLOOKUP($J7, 'Jira Data'!$A:$R, 9, FALSE)="","-",VLOOKUP($J7, 'Jira Data'!$A:$R, 9, FALSE)), "-")</f>
        <v>-</v>
      </c>
      <c r="AI7" s="415" t="str">
        <f t="shared" si="5"/>
        <v>-</v>
      </c>
      <c r="AJ7" s="16" t="str">
        <f t="shared" si="6"/>
        <v>-</v>
      </c>
      <c r="AK7" s="16" t="str">
        <f>IFERROR(VLOOKUP($J7, 'Jira Data'!$A:$R, 15, FALSE), "-")</f>
        <v>-</v>
      </c>
      <c r="AL7" s="16" t="str">
        <f>IFERROR(VLOOKUP($J7, 'Jira Data'!$A:$R, 16, FALSE), "-")</f>
        <v>-</v>
      </c>
      <c r="AM7" s="426" t="str">
        <f>IFERROR(VLOOKUP($J7, 'Jira Data'!$A:$R, 18, FALSE), "-")</f>
        <v>-</v>
      </c>
      <c r="AN7" s="425" t="str">
        <f>IFERROR(IF(VLOOKUP($J7, 'Jira Data'!$A:$R, 10, FALSE)="", "-", VLOOKUP($J7, 'Jira Data'!$A:$R, 10, FALSE)), "-")</f>
        <v>-</v>
      </c>
      <c r="AO7" s="16" t="str">
        <f>IFERROR(VLOOKUP($J7, 'Jira Data'!$A:$R, 13, FALSE), "-")</f>
        <v>-</v>
      </c>
      <c r="AP7" s="426" t="str">
        <f>IFERROR(VLOOKUP($J7, 'Jira Data'!$A:$R, 14, FALSE), "-")</f>
        <v>-</v>
      </c>
      <c r="AQ7" s="49">
        <f t="shared" si="7"/>
        <v>0</v>
      </c>
      <c r="AR7" s="90">
        <f t="shared" si="8"/>
        <v>0</v>
      </c>
      <c r="AS7" s="433" t="str">
        <f t="shared" si="9"/>
        <v>-</v>
      </c>
      <c r="AZ7" s="181" t="s">
        <v>149</v>
      </c>
    </row>
    <row r="8" spans="1:52" x14ac:dyDescent="0.2">
      <c r="A8" s="147"/>
      <c r="B8" s="102" t="s">
        <v>19</v>
      </c>
      <c r="C8" s="4" t="s">
        <v>14</v>
      </c>
      <c r="D8" s="700" t="s">
        <v>58</v>
      </c>
      <c r="E8" s="701"/>
      <c r="F8" s="29"/>
      <c r="G8" s="30"/>
      <c r="H8" s="102"/>
      <c r="I8" s="570"/>
      <c r="J8" s="11"/>
      <c r="K8" s="23"/>
      <c r="L8" s="24"/>
      <c r="M8" s="24"/>
      <c r="N8" s="24"/>
      <c r="O8" s="24"/>
      <c r="P8" s="24"/>
      <c r="Q8" s="24"/>
      <c r="R8" s="441"/>
      <c r="S8" s="57"/>
      <c r="T8" s="117">
        <f t="shared" si="0"/>
        <v>0</v>
      </c>
      <c r="U8" s="113"/>
      <c r="V8" s="413" t="str">
        <f>IFERROR(IF(VLOOKUP($J8, 'Jira Data'!$A:$R, 6, FALSE)="", "-", VLOOKUP($J8, 'Jira Data'!$A:$R, 6, FALSE)), "-")</f>
        <v>-</v>
      </c>
      <c r="W8" s="419" t="str">
        <f>IFERROR(IF(VLOOKUP($J8, 'Jira Data'!$A:$R, 7, FALSE)="", "-", VLOOKUP($J8, 'Jira Data'!$A:$R, 7, FALSE)), "-")</f>
        <v>-</v>
      </c>
      <c r="X8" s="567" t="str" cm="1">
        <f t="array" ref="X8">CountUniquePeopleByTask($I8,$K$43:$AS$49,$I$43:$J$49)</f>
        <v>-</v>
      </c>
      <c r="Y8" s="49">
        <f t="shared" si="1"/>
        <v>0</v>
      </c>
      <c r="Z8" s="439" t="str">
        <f t="shared" si="2"/>
        <v>-</v>
      </c>
      <c r="AA8" s="35">
        <f t="shared" si="3"/>
        <v>0</v>
      </c>
      <c r="AB8" s="422">
        <f t="shared" si="4"/>
        <v>0</v>
      </c>
      <c r="AC8" s="567" t="str" cm="1">
        <f t="array" ref="AC8">CountUniquePeopleByTask($I8,$K$31:$AS$37,$I$31:$J$37)</f>
        <v>-</v>
      </c>
      <c r="AD8" s="452" t="str">
        <f>IFERROR(VLOOKUP($J8, 'Jira Data'!$A:$R, 3, FALSE), "-")</f>
        <v>-</v>
      </c>
      <c r="AE8" s="425" t="str">
        <f>IFERROR(IF(VLOOKUP($J8, 'Jira Data'!$A:$R, 8, FALSE)="","-",VLOOKUP($J8, 'Jira Data'!$A:$R, 8, FALSE)),"-")</f>
        <v>-</v>
      </c>
      <c r="AF8" s="16" t="str">
        <f>IFERROR(VLOOKUP($J8, 'Jira Data'!$A:$R, 11, FALSE), "-")</f>
        <v>-</v>
      </c>
      <c r="AG8" s="426" t="str">
        <f>IFERROR(VLOOKUP($J8, 'Jira Data'!$A:$R, 12, FALSE), "-")</f>
        <v>-</v>
      </c>
      <c r="AH8" s="425" t="str">
        <f>IFERROR(IF(VLOOKUP($J8, 'Jira Data'!$A:$R, 9, FALSE)="","-",VLOOKUP($J8, 'Jira Data'!$A:$R, 9, FALSE)), "-")</f>
        <v>-</v>
      </c>
      <c r="AI8" s="415" t="str">
        <f t="shared" si="5"/>
        <v>-</v>
      </c>
      <c r="AJ8" s="16" t="str">
        <f t="shared" si="6"/>
        <v>-</v>
      </c>
      <c r="AK8" s="16" t="str">
        <f>IFERROR(VLOOKUP($J8, 'Jira Data'!$A:$R, 15, FALSE), "-")</f>
        <v>-</v>
      </c>
      <c r="AL8" s="16" t="str">
        <f>IFERROR(VLOOKUP($J8, 'Jira Data'!$A:$R, 16, FALSE), "-")</f>
        <v>-</v>
      </c>
      <c r="AM8" s="426" t="str">
        <f>IFERROR(VLOOKUP($J8, 'Jira Data'!$A:$R, 18, FALSE), "-")</f>
        <v>-</v>
      </c>
      <c r="AN8" s="425" t="str">
        <f>IFERROR(IF(VLOOKUP($J8, 'Jira Data'!$A:$R, 10, FALSE)="", "-", VLOOKUP($J8, 'Jira Data'!$A:$R, 10, FALSE)), "-")</f>
        <v>-</v>
      </c>
      <c r="AO8" s="16" t="str">
        <f>IFERROR(VLOOKUP($J8, 'Jira Data'!$A:$R, 13, FALSE), "-")</f>
        <v>-</v>
      </c>
      <c r="AP8" s="426" t="str">
        <f>IFERROR(VLOOKUP($J8, 'Jira Data'!$A:$R, 14, FALSE), "-")</f>
        <v>-</v>
      </c>
      <c r="AQ8" s="49">
        <f t="shared" si="7"/>
        <v>0</v>
      </c>
      <c r="AR8" s="90">
        <f t="shared" si="8"/>
        <v>0</v>
      </c>
      <c r="AS8" s="433" t="str">
        <f t="shared" si="9"/>
        <v>-</v>
      </c>
      <c r="AZ8" s="181" t="s">
        <v>152</v>
      </c>
    </row>
    <row r="9" spans="1:52" x14ac:dyDescent="0.2">
      <c r="A9" s="147"/>
      <c r="B9" s="146" t="s">
        <v>19</v>
      </c>
      <c r="C9" s="323" t="s">
        <v>14</v>
      </c>
      <c r="D9" s="700" t="s">
        <v>156</v>
      </c>
      <c r="E9" s="701"/>
      <c r="F9" s="29"/>
      <c r="G9" s="30"/>
      <c r="H9" s="326"/>
      <c r="I9" s="143"/>
      <c r="J9" s="516"/>
      <c r="K9" s="538"/>
      <c r="L9" s="539"/>
      <c r="M9" s="539"/>
      <c r="N9" s="539"/>
      <c r="O9" s="539"/>
      <c r="P9" s="539"/>
      <c r="Q9" s="539"/>
      <c r="R9" s="447"/>
      <c r="S9" s="517"/>
      <c r="T9" s="117">
        <f t="shared" si="0"/>
        <v>0</v>
      </c>
      <c r="U9" s="113"/>
      <c r="V9" s="413" t="str">
        <f>IFERROR(IF(VLOOKUP($J9, 'Jira Data'!$A:$R, 6, FALSE)="", "-", VLOOKUP($J9, 'Jira Data'!$A:$R, 6, FALSE)), "-")</f>
        <v>-</v>
      </c>
      <c r="W9" s="419" t="str">
        <f>IFERROR(IF(VLOOKUP($J9, 'Jira Data'!$A:$R, 7, FALSE)="", "-", VLOOKUP($J9, 'Jira Data'!$A:$R, 7, FALSE)), "-")</f>
        <v>-</v>
      </c>
      <c r="X9" s="567" t="str" cm="1">
        <f t="array" ref="X9">CountUniquePeopleByTask($I9,$K$43:$AS$49,$I$43:$J$49)</f>
        <v>-</v>
      </c>
      <c r="Y9" s="49">
        <f t="shared" si="1"/>
        <v>0</v>
      </c>
      <c r="Z9" s="439" t="str">
        <f t="shared" si="2"/>
        <v>-</v>
      </c>
      <c r="AA9" s="35">
        <f t="shared" si="3"/>
        <v>0</v>
      </c>
      <c r="AB9" s="422">
        <f t="shared" si="4"/>
        <v>0</v>
      </c>
      <c r="AC9" s="567" t="str" cm="1">
        <f t="array" ref="AC9">CountUniquePeopleByTask($I9,$K$31:$AS$37,$I$31:$J$37)</f>
        <v>-</v>
      </c>
      <c r="AD9" s="452" t="str">
        <f>IFERROR(VLOOKUP($J9, 'Jira Data'!$A:$R, 3, FALSE), "-")</f>
        <v>-</v>
      </c>
      <c r="AE9" s="425" t="str">
        <f>IFERROR(IF(VLOOKUP($J9, 'Jira Data'!$A:$R, 8, FALSE)="","-",VLOOKUP($J9, 'Jira Data'!$A:$R, 8, FALSE)),"-")</f>
        <v>-</v>
      </c>
      <c r="AF9" s="16" t="str">
        <f>IFERROR(VLOOKUP($J9, 'Jira Data'!$A:$R, 11, FALSE), "-")</f>
        <v>-</v>
      </c>
      <c r="AG9" s="426" t="str">
        <f>IFERROR(VLOOKUP($J9, 'Jira Data'!$A:$R, 12, FALSE), "-")</f>
        <v>-</v>
      </c>
      <c r="AH9" s="425" t="str">
        <f>IFERROR(IF(VLOOKUP($J9, 'Jira Data'!$A:$R, 9, FALSE)="","-",VLOOKUP($J9, 'Jira Data'!$A:$R, 9, FALSE)), "-")</f>
        <v>-</v>
      </c>
      <c r="AI9" s="415" t="str">
        <f t="shared" si="5"/>
        <v>-</v>
      </c>
      <c r="AJ9" s="16" t="str">
        <f t="shared" si="6"/>
        <v>-</v>
      </c>
      <c r="AK9" s="16" t="str">
        <f>IFERROR(VLOOKUP($J9, 'Jira Data'!$A:$R, 15, FALSE), "-")</f>
        <v>-</v>
      </c>
      <c r="AL9" s="16" t="str">
        <f>IFERROR(VLOOKUP($J9, 'Jira Data'!$A:$R, 16, FALSE), "-")</f>
        <v>-</v>
      </c>
      <c r="AM9" s="426" t="str">
        <f>IFERROR(VLOOKUP($J9, 'Jira Data'!$A:$R, 18, FALSE), "-")</f>
        <v>-</v>
      </c>
      <c r="AN9" s="425" t="str">
        <f>IFERROR(IF(VLOOKUP($J9, 'Jira Data'!$A:$R, 10, FALSE)="", "-", VLOOKUP($J9, 'Jira Data'!$A:$R, 10, FALSE)), "-")</f>
        <v>-</v>
      </c>
      <c r="AO9" s="16" t="str">
        <f>IFERROR(VLOOKUP($J9, 'Jira Data'!$A:$R, 13, FALSE), "-")</f>
        <v>-</v>
      </c>
      <c r="AP9" s="426" t="str">
        <f>IFERROR(VLOOKUP($J9, 'Jira Data'!$A:$R, 14, FALSE), "-")</f>
        <v>-</v>
      </c>
      <c r="AQ9" s="49">
        <f t="shared" si="7"/>
        <v>0</v>
      </c>
      <c r="AR9" s="90">
        <f t="shared" si="8"/>
        <v>0</v>
      </c>
      <c r="AS9" s="433" t="str">
        <f t="shared" si="9"/>
        <v>-</v>
      </c>
      <c r="AZ9" s="194" t="s">
        <v>29</v>
      </c>
    </row>
    <row r="10" spans="1:52" ht="17" thickBot="1" x14ac:dyDescent="0.25">
      <c r="B10" s="326" t="s">
        <v>19</v>
      </c>
      <c r="C10" s="4" t="s">
        <v>14</v>
      </c>
      <c r="D10" s="715" t="s">
        <v>115</v>
      </c>
      <c r="E10" s="716"/>
      <c r="F10" s="29"/>
      <c r="G10" s="30"/>
      <c r="H10" s="102"/>
      <c r="I10" s="571"/>
      <c r="J10" s="11"/>
      <c r="K10" s="23"/>
      <c r="L10" s="24"/>
      <c r="M10" s="24"/>
      <c r="N10" s="24"/>
      <c r="O10" s="24"/>
      <c r="P10" s="24"/>
      <c r="Q10" s="24"/>
      <c r="R10" s="441"/>
      <c r="S10" s="57"/>
      <c r="T10" s="117">
        <f t="shared" si="0"/>
        <v>0</v>
      </c>
      <c r="U10" s="113"/>
      <c r="V10" s="413" t="str">
        <f>IFERROR(IF(VLOOKUP($J10, 'Jira Data'!$A:$R, 6, FALSE)="", "-", VLOOKUP($J10, 'Jira Data'!$A:$R, 6, FALSE)), "-")</f>
        <v>-</v>
      </c>
      <c r="W10" s="419" t="str">
        <f>IFERROR(IF(VLOOKUP($J10, 'Jira Data'!$A:$R, 7, FALSE)="", "-", VLOOKUP($J10, 'Jira Data'!$A:$R, 7, FALSE)), "-")</f>
        <v>-</v>
      </c>
      <c r="X10" s="567" t="str" cm="1">
        <f t="array" ref="X10">CountUniquePeopleByTask($I10,$K$43:$AS$49,$I$43:$J$49)</f>
        <v>-</v>
      </c>
      <c r="Y10" s="49">
        <f t="shared" si="1"/>
        <v>0</v>
      </c>
      <c r="Z10" s="439" t="str">
        <f t="shared" si="2"/>
        <v>-</v>
      </c>
      <c r="AA10" s="35">
        <f t="shared" si="3"/>
        <v>0</v>
      </c>
      <c r="AB10" s="422">
        <f t="shared" si="4"/>
        <v>0</v>
      </c>
      <c r="AC10" s="567" t="str" cm="1">
        <f t="array" ref="AC10">CountUniquePeopleByTask($I10,$K$31:$AS$37,$I$31:$J$37)</f>
        <v>-</v>
      </c>
      <c r="AD10" s="452" t="str">
        <f>IFERROR(VLOOKUP($J10, 'Jira Data'!$A:$R, 3, FALSE), "-")</f>
        <v>-</v>
      </c>
      <c r="AE10" s="425" t="str">
        <f>IFERROR(IF(VLOOKUP($J10, 'Jira Data'!$A:$R, 8, FALSE)="","-",VLOOKUP($J10, 'Jira Data'!$A:$R, 8, FALSE)),"-")</f>
        <v>-</v>
      </c>
      <c r="AF10" s="16" t="str">
        <f>IFERROR(VLOOKUP($J10, 'Jira Data'!$A:$R, 11, FALSE), "-")</f>
        <v>-</v>
      </c>
      <c r="AG10" s="426" t="str">
        <f>IFERROR(VLOOKUP($J10, 'Jira Data'!$A:$R, 12, FALSE), "-")</f>
        <v>-</v>
      </c>
      <c r="AH10" s="425" t="str">
        <f>IFERROR(IF(VLOOKUP($J10, 'Jira Data'!$A:$R, 9, FALSE)="","-",VLOOKUP($J10, 'Jira Data'!$A:$R, 9, FALSE)), "-")</f>
        <v>-</v>
      </c>
      <c r="AI10" s="415" t="str">
        <f t="shared" si="5"/>
        <v>-</v>
      </c>
      <c r="AJ10" s="16" t="str">
        <f t="shared" si="6"/>
        <v>-</v>
      </c>
      <c r="AK10" s="16" t="str">
        <f>IFERROR(VLOOKUP($J10, 'Jira Data'!$A:$R, 15, FALSE), "-")</f>
        <v>-</v>
      </c>
      <c r="AL10" s="16" t="str">
        <f>IFERROR(VLOOKUP($J10, 'Jira Data'!$A:$R, 16, FALSE), "-")</f>
        <v>-</v>
      </c>
      <c r="AM10" s="426" t="str">
        <f>IFERROR(VLOOKUP($J10, 'Jira Data'!$A:$R, 18, FALSE), "-")</f>
        <v>-</v>
      </c>
      <c r="AN10" s="425" t="str">
        <f>IFERROR(IF(VLOOKUP($J10, 'Jira Data'!$A:$R, 10, FALSE)="", "-", VLOOKUP($J10, 'Jira Data'!$A:$R, 10, FALSE)), "-")</f>
        <v>-</v>
      </c>
      <c r="AO10" s="16" t="str">
        <f>IFERROR(VLOOKUP($J10, 'Jira Data'!$A:$R, 13, FALSE), "-")</f>
        <v>-</v>
      </c>
      <c r="AP10" s="426" t="str">
        <f>IFERROR(VLOOKUP($J10, 'Jira Data'!$A:$R, 14, FALSE), "-")</f>
        <v>-</v>
      </c>
      <c r="AQ10" s="49">
        <f t="shared" si="7"/>
        <v>0</v>
      </c>
      <c r="AR10" s="90">
        <f t="shared" si="8"/>
        <v>0</v>
      </c>
      <c r="AS10" s="433" t="str">
        <f t="shared" si="9"/>
        <v>-</v>
      </c>
      <c r="AZ10" s="182" t="s">
        <v>23</v>
      </c>
    </row>
    <row r="11" spans="1:52" ht="17" thickBot="1" x14ac:dyDescent="0.25">
      <c r="B11" s="324"/>
      <c r="C11" s="325"/>
      <c r="D11" s="717"/>
      <c r="E11" s="718"/>
      <c r="F11" s="29"/>
      <c r="G11" s="30"/>
      <c r="H11" s="102"/>
      <c r="I11" s="465"/>
      <c r="J11" s="11"/>
      <c r="K11" s="23"/>
      <c r="L11" s="24"/>
      <c r="M11" s="24"/>
      <c r="N11" s="24"/>
      <c r="O11" s="24"/>
      <c r="P11" s="24"/>
      <c r="Q11" s="24"/>
      <c r="R11" s="441"/>
      <c r="S11" s="57"/>
      <c r="T11" s="117">
        <f t="shared" si="0"/>
        <v>0</v>
      </c>
      <c r="U11" s="113"/>
      <c r="V11" s="413" t="str">
        <f>IFERROR(IF(VLOOKUP($J11, 'Jira Data'!$A:$R, 6, FALSE)="", "-", VLOOKUP($J11, 'Jira Data'!$A:$R, 6, FALSE)), "-")</f>
        <v>-</v>
      </c>
      <c r="W11" s="419" t="str">
        <f>IFERROR(IF(VLOOKUP($J11, 'Jira Data'!$A:$R, 7, FALSE)="", "-", VLOOKUP($J11, 'Jira Data'!$A:$R, 7, FALSE)), "-")</f>
        <v>-</v>
      </c>
      <c r="X11" s="567" t="str" cm="1">
        <f t="array" ref="X11">CountUniquePeopleByTask($I11,$K$43:$AS$49,$I$43:$J$49)</f>
        <v>-</v>
      </c>
      <c r="Y11" s="49">
        <f t="shared" si="1"/>
        <v>0</v>
      </c>
      <c r="Z11" s="439" t="str">
        <f t="shared" si="2"/>
        <v>-</v>
      </c>
      <c r="AA11" s="35">
        <f t="shared" si="3"/>
        <v>0</v>
      </c>
      <c r="AB11" s="422">
        <f t="shared" si="4"/>
        <v>0</v>
      </c>
      <c r="AC11" s="567" t="str" cm="1">
        <f t="array" ref="AC11">CountUniquePeopleByTask($I11,$K$31:$AS$37,$I$31:$J$37)</f>
        <v>-</v>
      </c>
      <c r="AD11" s="452" t="str">
        <f>IFERROR(VLOOKUP($J11, 'Jira Data'!$A:$R, 3, FALSE), "-")</f>
        <v>-</v>
      </c>
      <c r="AE11" s="425" t="str">
        <f>IFERROR(IF(VLOOKUP($J11, 'Jira Data'!$A:$R, 8, FALSE)="","-",VLOOKUP($J11, 'Jira Data'!$A:$R, 8, FALSE)),"-")</f>
        <v>-</v>
      </c>
      <c r="AF11" s="16" t="str">
        <f>IFERROR(VLOOKUP($J11, 'Jira Data'!$A:$R, 11, FALSE), "-")</f>
        <v>-</v>
      </c>
      <c r="AG11" s="426" t="str">
        <f>IFERROR(VLOOKUP($J11, 'Jira Data'!$A:$R, 12, FALSE), "-")</f>
        <v>-</v>
      </c>
      <c r="AH11" s="425" t="str">
        <f>IFERROR(IF(VLOOKUP($J11, 'Jira Data'!$A:$R, 9, FALSE)="","-",VLOOKUP($J11, 'Jira Data'!$A:$R, 9, FALSE)), "-")</f>
        <v>-</v>
      </c>
      <c r="AI11" s="415" t="str">
        <f t="shared" si="5"/>
        <v>-</v>
      </c>
      <c r="AJ11" s="16" t="str">
        <f t="shared" si="6"/>
        <v>-</v>
      </c>
      <c r="AK11" s="16" t="str">
        <f>IFERROR(VLOOKUP($J11, 'Jira Data'!$A:$R, 15, FALSE), "-")</f>
        <v>-</v>
      </c>
      <c r="AL11" s="16" t="str">
        <f>IFERROR(VLOOKUP($J11, 'Jira Data'!$A:$R, 16, FALSE), "-")</f>
        <v>-</v>
      </c>
      <c r="AM11" s="426" t="str">
        <f>IFERROR(VLOOKUP($J11, 'Jira Data'!$A:$R, 18, FALSE), "-")</f>
        <v>-</v>
      </c>
      <c r="AN11" s="425" t="str">
        <f>IFERROR(IF(VLOOKUP($J11, 'Jira Data'!$A:$R, 10, FALSE)="", "-", VLOOKUP($J11, 'Jira Data'!$A:$R, 10, FALSE)), "-")</f>
        <v>-</v>
      </c>
      <c r="AO11" s="16" t="str">
        <f>IFERROR(VLOOKUP($J11, 'Jira Data'!$A:$R, 13, FALSE), "-")</f>
        <v>-</v>
      </c>
      <c r="AP11" s="426" t="str">
        <f>IFERROR(VLOOKUP($J11, 'Jira Data'!$A:$R, 14, FALSE), "-")</f>
        <v>-</v>
      </c>
      <c r="AQ11" s="49">
        <f t="shared" si="7"/>
        <v>0</v>
      </c>
      <c r="AR11" s="90">
        <f t="shared" si="8"/>
        <v>0</v>
      </c>
      <c r="AS11" s="433" t="str">
        <f t="shared" si="9"/>
        <v>-</v>
      </c>
    </row>
    <row r="12" spans="1:52" ht="17" thickBot="1" x14ac:dyDescent="0.25">
      <c r="B12" s="7"/>
      <c r="C12" s="7"/>
      <c r="D12" s="1"/>
      <c r="F12" s="29"/>
      <c r="G12" s="30"/>
      <c r="H12" s="102"/>
      <c r="I12" s="572"/>
      <c r="J12" s="11"/>
      <c r="K12" s="23"/>
      <c r="L12" s="24"/>
      <c r="M12" s="24"/>
      <c r="N12" s="24"/>
      <c r="O12" s="24"/>
      <c r="P12" s="24"/>
      <c r="Q12" s="24"/>
      <c r="R12" s="441"/>
      <c r="S12" s="57"/>
      <c r="T12" s="117">
        <f t="shared" si="0"/>
        <v>0</v>
      </c>
      <c r="U12" s="113"/>
      <c r="V12" s="413" t="str">
        <f>IFERROR(IF(VLOOKUP($J12, 'Jira Data'!$A:$R, 6, FALSE)="", "-", VLOOKUP($J12, 'Jira Data'!$A:$R, 6, FALSE)), "-")</f>
        <v>-</v>
      </c>
      <c r="W12" s="419" t="str">
        <f>IFERROR(IF(VLOOKUP($J12, 'Jira Data'!$A:$R, 7, FALSE)="", "-", VLOOKUP($J12, 'Jira Data'!$A:$R, 7, FALSE)), "-")</f>
        <v>-</v>
      </c>
      <c r="X12" s="567" t="str" cm="1">
        <f t="array" ref="X12">CountUniquePeopleByTask($I12,$K$43:$AS$49,$I$43:$J$49)</f>
        <v>-</v>
      </c>
      <c r="Y12" s="49">
        <f t="shared" si="1"/>
        <v>0</v>
      </c>
      <c r="Z12" s="439" t="str">
        <f t="shared" si="2"/>
        <v>-</v>
      </c>
      <c r="AA12" s="35">
        <f t="shared" si="3"/>
        <v>0</v>
      </c>
      <c r="AB12" s="422">
        <f t="shared" si="4"/>
        <v>0</v>
      </c>
      <c r="AC12" s="567" t="str" cm="1">
        <f t="array" ref="AC12">CountUniquePeopleByTask($I12,$K$31:$AS$37,$I$31:$J$37)</f>
        <v>-</v>
      </c>
      <c r="AD12" s="452" t="str">
        <f>IFERROR(VLOOKUP($J12, 'Jira Data'!$A:$R, 3, FALSE), "-")</f>
        <v>-</v>
      </c>
      <c r="AE12" s="425" t="str">
        <f>IFERROR(IF(VLOOKUP($J12, 'Jira Data'!$A:$R, 8, FALSE)="","-",VLOOKUP($J12, 'Jira Data'!$A:$R, 8, FALSE)),"-")</f>
        <v>-</v>
      </c>
      <c r="AF12" s="16" t="str">
        <f>IFERROR(VLOOKUP($J12, 'Jira Data'!$A:$R, 11, FALSE), "-")</f>
        <v>-</v>
      </c>
      <c r="AG12" s="426" t="str">
        <f>IFERROR(VLOOKUP($J12, 'Jira Data'!$A:$R, 12, FALSE), "-")</f>
        <v>-</v>
      </c>
      <c r="AH12" s="425" t="str">
        <f>IFERROR(IF(VLOOKUP($J12, 'Jira Data'!$A:$R, 9, FALSE)="","-",VLOOKUP($J12, 'Jira Data'!$A:$R, 9, FALSE)), "-")</f>
        <v>-</v>
      </c>
      <c r="AI12" s="415" t="str">
        <f t="shared" si="5"/>
        <v>-</v>
      </c>
      <c r="AJ12" s="16" t="str">
        <f t="shared" si="6"/>
        <v>-</v>
      </c>
      <c r="AK12" s="16" t="str">
        <f>IFERROR(VLOOKUP($J12, 'Jira Data'!$A:$R, 15, FALSE), "-")</f>
        <v>-</v>
      </c>
      <c r="AL12" s="16" t="str">
        <f>IFERROR(VLOOKUP($J12, 'Jira Data'!$A:$R, 16, FALSE), "-")</f>
        <v>-</v>
      </c>
      <c r="AM12" s="426" t="str">
        <f>IFERROR(VLOOKUP($J12, 'Jira Data'!$A:$R, 18, FALSE), "-")</f>
        <v>-</v>
      </c>
      <c r="AN12" s="425" t="str">
        <f>IFERROR(IF(VLOOKUP($J12, 'Jira Data'!$A:$R, 10, FALSE)="", "-", VLOOKUP($J12, 'Jira Data'!$A:$R, 10, FALSE)), "-")</f>
        <v>-</v>
      </c>
      <c r="AO12" s="16" t="str">
        <f>IFERROR(VLOOKUP($J12, 'Jira Data'!$A:$R, 13, FALSE), "-")</f>
        <v>-</v>
      </c>
      <c r="AP12" s="426" t="str">
        <f>IFERROR(VLOOKUP($J12, 'Jira Data'!$A:$R, 14, FALSE), "-")</f>
        <v>-</v>
      </c>
      <c r="AQ12" s="49">
        <f t="shared" si="7"/>
        <v>0</v>
      </c>
      <c r="AR12" s="90">
        <f t="shared" si="8"/>
        <v>0</v>
      </c>
      <c r="AS12" s="433" t="str">
        <f t="shared" si="9"/>
        <v>-</v>
      </c>
    </row>
    <row r="13" spans="1:52" ht="17" thickBot="1" x14ac:dyDescent="0.25">
      <c r="B13" s="644" t="s">
        <v>98</v>
      </c>
      <c r="C13" s="644"/>
      <c r="D13" s="644"/>
      <c r="E13" s="644"/>
      <c r="F13" s="29"/>
      <c r="G13" s="30"/>
      <c r="H13" s="102"/>
      <c r="I13" s="465"/>
      <c r="J13" s="11"/>
      <c r="K13" s="23"/>
      <c r="L13" s="24"/>
      <c r="M13" s="24"/>
      <c r="N13" s="24"/>
      <c r="O13" s="24"/>
      <c r="P13" s="24"/>
      <c r="Q13" s="24"/>
      <c r="R13" s="441"/>
      <c r="S13" s="57"/>
      <c r="T13" s="117">
        <f t="shared" si="0"/>
        <v>0</v>
      </c>
      <c r="U13" s="113"/>
      <c r="V13" s="413" t="str">
        <f>IFERROR(IF(VLOOKUP($J13, 'Jira Data'!$A:$R, 6, FALSE)="", "-", VLOOKUP($J13, 'Jira Data'!$A:$R, 6, FALSE)), "-")</f>
        <v>-</v>
      </c>
      <c r="W13" s="420" t="str">
        <f>IFERROR(IF(VLOOKUP($J13, 'Jira Data'!$A:$R, 7, FALSE)="", "-", VLOOKUP($J13, 'Jira Data'!$A:$R, 7, FALSE)), "-")</f>
        <v>-</v>
      </c>
      <c r="X13" s="567" t="str" cm="1">
        <f t="array" ref="X13">CountUniquePeopleByTask($I13,$K$43:$AS$49,$I$43:$J$49)</f>
        <v>-</v>
      </c>
      <c r="Y13" s="49">
        <f t="shared" si="1"/>
        <v>0</v>
      </c>
      <c r="Z13" s="439" t="str">
        <f t="shared" si="2"/>
        <v>-</v>
      </c>
      <c r="AA13" s="35">
        <f t="shared" si="3"/>
        <v>0</v>
      </c>
      <c r="AB13" s="422">
        <f t="shared" si="4"/>
        <v>0</v>
      </c>
      <c r="AC13" s="567" t="str" cm="1">
        <f t="array" ref="AC13">CountUniquePeopleByTask($I13,$K$31:$AS$37,$I$31:$J$37)</f>
        <v>-</v>
      </c>
      <c r="AD13" s="452" t="str">
        <f>IFERROR(VLOOKUP($J13, 'Jira Data'!$A:$R, 3, FALSE), "-")</f>
        <v>-</v>
      </c>
      <c r="AE13" s="425" t="str">
        <f>IFERROR(IF(VLOOKUP($J13, 'Jira Data'!$A:$R, 8, FALSE)="","-",VLOOKUP($J13, 'Jira Data'!$A:$R, 8, FALSE)),"-")</f>
        <v>-</v>
      </c>
      <c r="AF13" s="16" t="str">
        <f>IFERROR(VLOOKUP($J13, 'Jira Data'!$A:$R, 11, FALSE), "-")</f>
        <v>-</v>
      </c>
      <c r="AG13" s="426" t="str">
        <f>IFERROR(VLOOKUP($J13, 'Jira Data'!$A:$R, 12, FALSE), "-")</f>
        <v>-</v>
      </c>
      <c r="AH13" s="425" t="str">
        <f>IFERROR(IF(VLOOKUP($J13, 'Jira Data'!$A:$R, 9, FALSE)="","-",VLOOKUP($J13, 'Jira Data'!$A:$R, 9, FALSE)), "-")</f>
        <v>-</v>
      </c>
      <c r="AI13" s="415" t="str">
        <f t="shared" si="5"/>
        <v>-</v>
      </c>
      <c r="AJ13" s="16" t="str">
        <f t="shared" si="6"/>
        <v>-</v>
      </c>
      <c r="AK13" s="16" t="str">
        <f>IFERROR(VLOOKUP($J13, 'Jira Data'!$A:$R, 15, FALSE), "-")</f>
        <v>-</v>
      </c>
      <c r="AL13" s="16" t="str">
        <f>IFERROR(VLOOKUP($J13, 'Jira Data'!$A:$R, 16, FALSE), "-")</f>
        <v>-</v>
      </c>
      <c r="AM13" s="426" t="str">
        <f>IFERROR(VLOOKUP($J13, 'Jira Data'!$A:$R, 18, FALSE), "-")</f>
        <v>-</v>
      </c>
      <c r="AN13" s="425" t="str">
        <f>IFERROR(IF(VLOOKUP($J13, 'Jira Data'!$A:$R, 10, FALSE)="", "-", VLOOKUP($J13, 'Jira Data'!$A:$R, 10, FALSE)), "-")</f>
        <v>-</v>
      </c>
      <c r="AO13" s="16" t="str">
        <f>IFERROR(VLOOKUP($J13, 'Jira Data'!$A:$R, 13, FALSE), "-")</f>
        <v>-</v>
      </c>
      <c r="AP13" s="426" t="str">
        <f>IFERROR(VLOOKUP($J13, 'Jira Data'!$A:$R, 14, FALSE), "-")</f>
        <v>-</v>
      </c>
      <c r="AQ13" s="49">
        <f t="shared" si="7"/>
        <v>0</v>
      </c>
      <c r="AR13" s="90">
        <f t="shared" si="8"/>
        <v>0</v>
      </c>
      <c r="AS13" s="433" t="str">
        <f t="shared" si="9"/>
        <v>-</v>
      </c>
    </row>
    <row r="14" spans="1:52" x14ac:dyDescent="0.2">
      <c r="B14" s="670" t="s">
        <v>21</v>
      </c>
      <c r="C14" s="591"/>
      <c r="D14" s="591"/>
      <c r="E14" s="93">
        <v>7</v>
      </c>
      <c r="F14" s="29"/>
      <c r="G14" s="30"/>
      <c r="H14" s="102"/>
      <c r="I14" s="515"/>
      <c r="J14" s="11"/>
      <c r="K14" s="408"/>
      <c r="L14" s="400"/>
      <c r="M14" s="400"/>
      <c r="N14" s="400"/>
      <c r="O14" s="400"/>
      <c r="P14" s="400"/>
      <c r="Q14" s="400"/>
      <c r="R14" s="441"/>
      <c r="S14" s="57"/>
      <c r="T14" s="117">
        <f t="shared" si="0"/>
        <v>0</v>
      </c>
      <c r="U14" s="113"/>
      <c r="V14" s="413" t="str">
        <f>IFERROR(IF(VLOOKUP($J14, 'Jira Data'!$A:$R, 6, FALSE)="", "-", VLOOKUP($J14, 'Jira Data'!$A:$R, 6, FALSE)), "-")</f>
        <v>-</v>
      </c>
      <c r="W14" s="419" t="str">
        <f>IFERROR(IF(VLOOKUP($J14, 'Jira Data'!$A:$R, 7, FALSE)="", "-", VLOOKUP($J14, 'Jira Data'!$A:$R, 7, FALSE)), "-")</f>
        <v>-</v>
      </c>
      <c r="X14" s="567" t="str" cm="1">
        <f t="array" ref="X14">CountUniquePeopleByTask($I14,$K$43:$AS$49,$I$43:$J$49)</f>
        <v>-</v>
      </c>
      <c r="Y14" s="49">
        <f t="shared" si="1"/>
        <v>0</v>
      </c>
      <c r="Z14" s="439" t="str">
        <f t="shared" si="2"/>
        <v>-</v>
      </c>
      <c r="AA14" s="35">
        <f t="shared" si="3"/>
        <v>0</v>
      </c>
      <c r="AB14" s="422">
        <f t="shared" si="4"/>
        <v>0</v>
      </c>
      <c r="AC14" s="567" t="str" cm="1">
        <f t="array" ref="AC14">CountUniquePeopleByTask($I14,$K$31:$AS$37,$I$31:$J$37)</f>
        <v>-</v>
      </c>
      <c r="AD14" s="452" t="str">
        <f>IFERROR(VLOOKUP($J14, 'Jira Data'!$A:$R, 3, FALSE), "-")</f>
        <v>-</v>
      </c>
      <c r="AE14" s="425" t="str">
        <f>IFERROR(IF(VLOOKUP($J14, 'Jira Data'!$A:$R, 8, FALSE)="","-",VLOOKUP($J14, 'Jira Data'!$A:$R, 8, FALSE)),"-")</f>
        <v>-</v>
      </c>
      <c r="AF14" s="16" t="str">
        <f>IFERROR(VLOOKUP($J14, 'Jira Data'!$A:$R, 11, FALSE), "-")</f>
        <v>-</v>
      </c>
      <c r="AG14" s="426" t="str">
        <f>IFERROR(VLOOKUP($J14, 'Jira Data'!$A:$R, 12, FALSE), "-")</f>
        <v>-</v>
      </c>
      <c r="AH14" s="425" t="str">
        <f>IFERROR(IF(VLOOKUP($J14, 'Jira Data'!$A:$R, 9, FALSE)="","-",VLOOKUP($J14, 'Jira Data'!$A:$R, 9, FALSE)), "-")</f>
        <v>-</v>
      </c>
      <c r="AI14" s="415" t="str">
        <f t="shared" si="5"/>
        <v>-</v>
      </c>
      <c r="AJ14" s="16" t="str">
        <f t="shared" si="6"/>
        <v>-</v>
      </c>
      <c r="AK14" s="16" t="str">
        <f>IFERROR(VLOOKUP($J14, 'Jira Data'!$A:$R, 15, FALSE), "-")</f>
        <v>-</v>
      </c>
      <c r="AL14" s="16" t="str">
        <f>IFERROR(VLOOKUP($J14, 'Jira Data'!$A:$R, 16, FALSE), "-")</f>
        <v>-</v>
      </c>
      <c r="AM14" s="426" t="str">
        <f>IFERROR(VLOOKUP($J14, 'Jira Data'!$A:$R, 18, FALSE), "-")</f>
        <v>-</v>
      </c>
      <c r="AN14" s="425" t="str">
        <f>IFERROR(IF(VLOOKUP($J14, 'Jira Data'!$A:$R, 10, FALSE)="", "-", VLOOKUP($J14, 'Jira Data'!$A:$R, 10, FALSE)), "-")</f>
        <v>-</v>
      </c>
      <c r="AO14" s="16" t="str">
        <f>IFERROR(VLOOKUP($J14, 'Jira Data'!$A:$R, 13, FALSE), "-")</f>
        <v>-</v>
      </c>
      <c r="AP14" s="426" t="str">
        <f>IFERROR(VLOOKUP($J14, 'Jira Data'!$A:$R, 14, FALSE), "-")</f>
        <v>-</v>
      </c>
      <c r="AQ14" s="49">
        <f>COUNTIF($K$31:$AN$37,$I15)</f>
        <v>0</v>
      </c>
      <c r="AR14" s="90">
        <f t="shared" si="8"/>
        <v>0</v>
      </c>
      <c r="AS14" s="433" t="str">
        <f t="shared" si="9"/>
        <v>-</v>
      </c>
    </row>
    <row r="15" spans="1:52" x14ac:dyDescent="0.2">
      <c r="B15" s="671" t="s">
        <v>22</v>
      </c>
      <c r="C15" s="596"/>
      <c r="D15" s="597"/>
      <c r="E15" s="94">
        <v>0.9</v>
      </c>
      <c r="F15" s="29"/>
      <c r="G15" s="30"/>
      <c r="H15" s="102"/>
      <c r="I15" s="52"/>
      <c r="J15" s="11"/>
      <c r="K15" s="23"/>
      <c r="L15" s="24"/>
      <c r="M15" s="24"/>
      <c r="N15" s="24"/>
      <c r="O15" s="24"/>
      <c r="P15" s="24"/>
      <c r="Q15" s="24"/>
      <c r="R15" s="441"/>
      <c r="S15" s="57"/>
      <c r="T15" s="117">
        <f t="shared" si="0"/>
        <v>0</v>
      </c>
      <c r="U15" s="113"/>
      <c r="V15" s="413" t="str">
        <f>IFERROR(IF(VLOOKUP($J15, 'Jira Data'!$A:$R, 6, FALSE)="", "-", VLOOKUP($J15, 'Jira Data'!$A:$R, 6, FALSE)), "-")</f>
        <v>-</v>
      </c>
      <c r="W15" s="419" t="str">
        <f>IFERROR(IF(VLOOKUP($J15, 'Jira Data'!$A:$R, 7, FALSE)="", "-", VLOOKUP($J15, 'Jira Data'!$A:$R, 7, FALSE)), "-")</f>
        <v>-</v>
      </c>
      <c r="X15" s="567" t="str" cm="1">
        <f t="array" ref="X15">CountUniquePeopleByTask($I15,$K$43:$AS$49,$I$43:$J$49)</f>
        <v>-</v>
      </c>
      <c r="Y15" s="49">
        <f t="shared" si="1"/>
        <v>0</v>
      </c>
      <c r="Z15" s="439" t="str">
        <f t="shared" si="2"/>
        <v>-</v>
      </c>
      <c r="AA15" s="35">
        <f t="shared" si="3"/>
        <v>0</v>
      </c>
      <c r="AB15" s="422">
        <f t="shared" si="4"/>
        <v>0</v>
      </c>
      <c r="AC15" s="567" t="str" cm="1">
        <f t="array" ref="AC15">CountUniquePeopleByTask($I15,$K$31:$AS$37,$I$31:$J$37)</f>
        <v>-</v>
      </c>
      <c r="AD15" s="452" t="str">
        <f>IFERROR(VLOOKUP($J15, 'Jira Data'!$A:$R, 3, FALSE), "-")</f>
        <v>-</v>
      </c>
      <c r="AE15" s="425" t="str">
        <f>IFERROR(IF(VLOOKUP($J15, 'Jira Data'!$A:$R, 8, FALSE)="","-",VLOOKUP($J15, 'Jira Data'!$A:$R, 8, FALSE)),"-")</f>
        <v>-</v>
      </c>
      <c r="AF15" s="16" t="str">
        <f>IFERROR(VLOOKUP($J15, 'Jira Data'!$A:$R, 11, FALSE), "-")</f>
        <v>-</v>
      </c>
      <c r="AG15" s="426" t="str">
        <f>IFERROR(VLOOKUP($J15, 'Jira Data'!$A:$R, 12, FALSE), "-")</f>
        <v>-</v>
      </c>
      <c r="AH15" s="425" t="str">
        <f>IFERROR(IF(VLOOKUP($J15, 'Jira Data'!$A:$R, 9, FALSE)="","-",VLOOKUP($J15, 'Jira Data'!$A:$R, 9, FALSE)), "-")</f>
        <v>-</v>
      </c>
      <c r="AI15" s="415" t="str">
        <f t="shared" si="5"/>
        <v>-</v>
      </c>
      <c r="AJ15" s="16" t="str">
        <f t="shared" si="6"/>
        <v>-</v>
      </c>
      <c r="AK15" s="16" t="str">
        <f>IFERROR(VLOOKUP($J15, 'Jira Data'!$A:$R, 15, FALSE), "-")</f>
        <v>-</v>
      </c>
      <c r="AL15" s="16" t="str">
        <f>IFERROR(VLOOKUP($J15, 'Jira Data'!$A:$R, 16, FALSE), "-")</f>
        <v>-</v>
      </c>
      <c r="AM15" s="426" t="str">
        <f>IFERROR(VLOOKUP($J15, 'Jira Data'!$A:$R, 18, FALSE), "-")</f>
        <v>-</v>
      </c>
      <c r="AN15" s="425" t="str">
        <f>IFERROR(IF(VLOOKUP($J15, 'Jira Data'!$A:$R, 10, FALSE)="", "-", VLOOKUP($J15, 'Jira Data'!$A:$R, 10, FALSE)), "-")</f>
        <v>-</v>
      </c>
      <c r="AO15" s="16" t="str">
        <f>IFERROR(VLOOKUP($J15, 'Jira Data'!$A:$R, 13, FALSE), "-")</f>
        <v>-</v>
      </c>
      <c r="AP15" s="426" t="str">
        <f>IFERROR(VLOOKUP($J15, 'Jira Data'!$A:$R, 14, FALSE), "-")</f>
        <v>-</v>
      </c>
      <c r="AQ15" s="49">
        <f>COUNTIF($K$31:$AN$37,#REF!)</f>
        <v>0</v>
      </c>
      <c r="AR15" s="90">
        <f t="shared" si="8"/>
        <v>0</v>
      </c>
      <c r="AS15" s="433" t="str">
        <f t="shared" si="9"/>
        <v>-</v>
      </c>
    </row>
    <row r="16" spans="1:52" x14ac:dyDescent="0.2">
      <c r="B16" s="671" t="s">
        <v>3</v>
      </c>
      <c r="C16" s="596"/>
      <c r="D16" s="597"/>
      <c r="E16" s="93">
        <v>1</v>
      </c>
      <c r="F16" s="29"/>
      <c r="G16" s="30"/>
      <c r="H16" s="102"/>
      <c r="I16" s="52"/>
      <c r="J16" s="11"/>
      <c r="K16" s="23"/>
      <c r="L16" s="24"/>
      <c r="M16" s="24"/>
      <c r="N16" s="24"/>
      <c r="O16" s="24"/>
      <c r="P16" s="24"/>
      <c r="Q16" s="24"/>
      <c r="R16" s="441"/>
      <c r="S16" s="57"/>
      <c r="T16" s="117">
        <f t="shared" si="0"/>
        <v>0</v>
      </c>
      <c r="U16" s="113"/>
      <c r="V16" s="413" t="str">
        <f>IFERROR(IF(VLOOKUP($J16, 'Jira Data'!$A:$R, 6, FALSE)="", "-", VLOOKUP($J16, 'Jira Data'!$A:$R, 6, FALSE)), "-")</f>
        <v>-</v>
      </c>
      <c r="W16" s="419" t="str">
        <f>IFERROR(IF(VLOOKUP($J16, 'Jira Data'!$A:$R, 7, FALSE)="", "-", VLOOKUP($J16, 'Jira Data'!$A:$R, 7, FALSE)), "-")</f>
        <v>-</v>
      </c>
      <c r="X16" s="567" t="str" cm="1">
        <f t="array" ref="X16">CountUniquePeopleByTask($I16,$K$43:$AS$49,$I$43:$J$49)</f>
        <v>-</v>
      </c>
      <c r="Y16" s="49">
        <f t="shared" si="1"/>
        <v>0</v>
      </c>
      <c r="Z16" s="439" t="str">
        <f t="shared" si="2"/>
        <v>-</v>
      </c>
      <c r="AA16" s="35">
        <f t="shared" si="3"/>
        <v>0</v>
      </c>
      <c r="AB16" s="422">
        <f t="shared" si="4"/>
        <v>0</v>
      </c>
      <c r="AC16" s="567" t="str" cm="1">
        <f t="array" ref="AC16">CountUniquePeopleByTask($I16,$K$31:$AS$37,$I$31:$J$37)</f>
        <v>-</v>
      </c>
      <c r="AD16" s="452" t="str">
        <f>IFERROR(VLOOKUP($J16, 'Jira Data'!$A:$R, 3, FALSE), "-")</f>
        <v>-</v>
      </c>
      <c r="AE16" s="425" t="str">
        <f>IFERROR(IF(VLOOKUP($J16, 'Jira Data'!$A:$R, 8, FALSE)="","-",VLOOKUP($J16, 'Jira Data'!$A:$R, 8, FALSE)),"-")</f>
        <v>-</v>
      </c>
      <c r="AF16" s="16" t="str">
        <f>IFERROR(VLOOKUP($J16, 'Jira Data'!$A:$R, 11, FALSE), "-")</f>
        <v>-</v>
      </c>
      <c r="AG16" s="426" t="str">
        <f>IFERROR(VLOOKUP($J16, 'Jira Data'!$A:$R, 12, FALSE), "-")</f>
        <v>-</v>
      </c>
      <c r="AH16" s="425" t="str">
        <f>IFERROR(IF(VLOOKUP($J16, 'Jira Data'!$A:$R, 9, FALSE)="","-",VLOOKUP($J16, 'Jira Data'!$A:$R, 9, FALSE)), "-")</f>
        <v>-</v>
      </c>
      <c r="AI16" s="415" t="str">
        <f t="shared" si="5"/>
        <v>-</v>
      </c>
      <c r="AJ16" s="16" t="str">
        <f t="shared" si="6"/>
        <v>-</v>
      </c>
      <c r="AK16" s="16" t="str">
        <f>IFERROR(VLOOKUP($J16, 'Jira Data'!$A:$R, 15, FALSE), "-")</f>
        <v>-</v>
      </c>
      <c r="AL16" s="16" t="str">
        <f>IFERROR(VLOOKUP($J16, 'Jira Data'!$A:$R, 16, FALSE), "-")</f>
        <v>-</v>
      </c>
      <c r="AM16" s="426" t="str">
        <f>IFERROR(VLOOKUP($J16, 'Jira Data'!$A:$R, 18, FALSE), "-")</f>
        <v>-</v>
      </c>
      <c r="AN16" s="425" t="str">
        <f>IFERROR(IF(VLOOKUP($J16, 'Jira Data'!$A:$R, 10, FALSE)="", "-", VLOOKUP($J16, 'Jira Data'!$A:$R, 10, FALSE)), "-")</f>
        <v>-</v>
      </c>
      <c r="AO16" s="16" t="str">
        <f>IFERROR(VLOOKUP($J16, 'Jira Data'!$A:$R, 13, FALSE), "-")</f>
        <v>-</v>
      </c>
      <c r="AP16" s="426" t="str">
        <f>IFERROR(VLOOKUP($J16, 'Jira Data'!$A:$R, 14, FALSE), "-")</f>
        <v>-</v>
      </c>
      <c r="AQ16" s="49">
        <f t="shared" ref="AQ16:AQ25" si="10">COUNTIF($K$31:$AN$37,$I16)</f>
        <v>0</v>
      </c>
      <c r="AR16" s="90">
        <f t="shared" si="8"/>
        <v>0</v>
      </c>
      <c r="AS16" s="433" t="str">
        <f t="shared" si="9"/>
        <v>-</v>
      </c>
    </row>
    <row r="17" spans="2:45" x14ac:dyDescent="0.2">
      <c r="B17" s="671" t="s">
        <v>34</v>
      </c>
      <c r="C17" s="596"/>
      <c r="D17" s="597"/>
      <c r="E17" s="460">
        <v>45516</v>
      </c>
      <c r="F17" s="29"/>
      <c r="G17" s="30"/>
      <c r="H17" s="102"/>
      <c r="I17" s="52"/>
      <c r="J17" s="11"/>
      <c r="K17" s="23"/>
      <c r="L17" s="24"/>
      <c r="M17" s="24"/>
      <c r="N17" s="24"/>
      <c r="O17" s="24"/>
      <c r="P17" s="24"/>
      <c r="Q17" s="24"/>
      <c r="R17" s="441"/>
      <c r="S17" s="57"/>
      <c r="T17" s="117">
        <f t="shared" si="0"/>
        <v>0</v>
      </c>
      <c r="U17" s="113"/>
      <c r="V17" s="413" t="str">
        <f>IFERROR(IF(VLOOKUP($J17, 'Jira Data'!$A:$R, 6, FALSE)="", "-", VLOOKUP($J17, 'Jira Data'!$A:$R, 6, FALSE)), "-")</f>
        <v>-</v>
      </c>
      <c r="W17" s="419" t="str">
        <f>IFERROR(IF(VLOOKUP($J17, 'Jira Data'!$A:$R, 7, FALSE)="", "-", VLOOKUP($J17, 'Jira Data'!$A:$R, 7, FALSE)), "-")</f>
        <v>-</v>
      </c>
      <c r="X17" s="567" t="str" cm="1">
        <f t="array" ref="X17">CountUniquePeopleByTask($I17,$K$43:$AS$49,$I$43:$J$49)</f>
        <v>-</v>
      </c>
      <c r="Y17" s="49">
        <f t="shared" si="1"/>
        <v>0</v>
      </c>
      <c r="Z17" s="439" t="str">
        <f t="shared" si="2"/>
        <v>-</v>
      </c>
      <c r="AA17" s="35">
        <f t="shared" si="3"/>
        <v>0</v>
      </c>
      <c r="AB17" s="422">
        <f t="shared" si="4"/>
        <v>0</v>
      </c>
      <c r="AC17" s="567" t="str" cm="1">
        <f t="array" ref="AC17">CountUniquePeopleByTask($I17,$K$31:$AS$37,$I$31:$J$37)</f>
        <v>-</v>
      </c>
      <c r="AD17" s="452" t="str">
        <f>IFERROR(VLOOKUP($J17, 'Jira Data'!$A:$R, 3, FALSE), "-")</f>
        <v>-</v>
      </c>
      <c r="AE17" s="425" t="str">
        <f>IFERROR(IF(VLOOKUP($J17, 'Jira Data'!$A:$R, 8, FALSE)="","-",VLOOKUP($J17, 'Jira Data'!$A:$R, 8, FALSE)),"-")</f>
        <v>-</v>
      </c>
      <c r="AF17" s="16" t="str">
        <f>IFERROR(VLOOKUP($J17, 'Jira Data'!$A:$R, 11, FALSE), "-")</f>
        <v>-</v>
      </c>
      <c r="AG17" s="426" t="str">
        <f>IFERROR(VLOOKUP($J17, 'Jira Data'!$A:$R, 12, FALSE), "-")</f>
        <v>-</v>
      </c>
      <c r="AH17" s="425" t="str">
        <f>IFERROR(IF(VLOOKUP($J17, 'Jira Data'!$A:$R, 9, FALSE)="","-",VLOOKUP($J17, 'Jira Data'!$A:$R, 9, FALSE)), "-")</f>
        <v>-</v>
      </c>
      <c r="AI17" s="415" t="str">
        <f t="shared" si="5"/>
        <v>-</v>
      </c>
      <c r="AJ17" s="16" t="str">
        <f t="shared" si="6"/>
        <v>-</v>
      </c>
      <c r="AK17" s="16" t="str">
        <f>IFERROR(VLOOKUP($J17, 'Jira Data'!$A:$R, 15, FALSE), "-")</f>
        <v>-</v>
      </c>
      <c r="AL17" s="16" t="str">
        <f>IFERROR(VLOOKUP($J17, 'Jira Data'!$A:$R, 16, FALSE), "-")</f>
        <v>-</v>
      </c>
      <c r="AM17" s="426" t="str">
        <f>IFERROR(VLOOKUP($J17, 'Jira Data'!$A:$R, 18, FALSE), "-")</f>
        <v>-</v>
      </c>
      <c r="AN17" s="425" t="str">
        <f>IFERROR(IF(VLOOKUP($J17, 'Jira Data'!$A:$R, 10, FALSE)="", "-", VLOOKUP($J17, 'Jira Data'!$A:$R, 10, FALSE)), "-")</f>
        <v>-</v>
      </c>
      <c r="AO17" s="16" t="str">
        <f>IFERROR(VLOOKUP($J17, 'Jira Data'!$A:$R, 13, FALSE), "-")</f>
        <v>-</v>
      </c>
      <c r="AP17" s="426" t="str">
        <f>IFERROR(VLOOKUP($J17, 'Jira Data'!$A:$R, 14, FALSE), "-")</f>
        <v>-</v>
      </c>
      <c r="AQ17" s="49">
        <f t="shared" si="10"/>
        <v>0</v>
      </c>
      <c r="AR17" s="90">
        <f t="shared" si="8"/>
        <v>0</v>
      </c>
      <c r="AS17" s="433" t="str">
        <f t="shared" si="9"/>
        <v>-</v>
      </c>
    </row>
    <row r="18" spans="2:45" ht="17" thickBot="1" x14ac:dyDescent="0.25">
      <c r="B18" s="672" t="s">
        <v>292</v>
      </c>
      <c r="C18" s="673"/>
      <c r="D18" s="673"/>
      <c r="E18" s="95">
        <f>E17 + (E14 * 7)</f>
        <v>45565</v>
      </c>
      <c r="F18" s="29"/>
      <c r="G18" s="30"/>
      <c r="H18" s="102"/>
      <c r="I18" s="52"/>
      <c r="J18" s="11"/>
      <c r="K18" s="23"/>
      <c r="L18" s="24"/>
      <c r="M18" s="24"/>
      <c r="N18" s="24"/>
      <c r="O18" s="24"/>
      <c r="P18" s="24"/>
      <c r="Q18" s="24"/>
      <c r="R18" s="441"/>
      <c r="S18" s="57"/>
      <c r="T18" s="117">
        <f t="shared" si="0"/>
        <v>0</v>
      </c>
      <c r="U18" s="113"/>
      <c r="V18" s="413" t="str">
        <f>IFERROR(IF(VLOOKUP($J18, 'Jira Data'!$A:$R, 6, FALSE)="", "-", VLOOKUP($J18, 'Jira Data'!$A:$R, 6, FALSE)), "-")</f>
        <v>-</v>
      </c>
      <c r="W18" s="419" t="str">
        <f>IFERROR(IF(VLOOKUP($J18, 'Jira Data'!$A:$R, 7, FALSE)="", "-", VLOOKUP($J18, 'Jira Data'!$A:$R, 7, FALSE)), "-")</f>
        <v>-</v>
      </c>
      <c r="X18" s="567" t="str" cm="1">
        <f t="array" ref="X18">CountUniquePeopleByTask($I18,$K$43:$AS$49,$I$43:$J$49)</f>
        <v>-</v>
      </c>
      <c r="Y18" s="49">
        <f t="shared" si="1"/>
        <v>0</v>
      </c>
      <c r="Z18" s="439" t="str">
        <f t="shared" si="2"/>
        <v>-</v>
      </c>
      <c r="AA18" s="35">
        <f t="shared" si="3"/>
        <v>0</v>
      </c>
      <c r="AB18" s="422">
        <f t="shared" si="4"/>
        <v>0</v>
      </c>
      <c r="AC18" s="567" t="str" cm="1">
        <f t="array" ref="AC18">CountUniquePeopleByTask($I18,$K$31:$AS$37,$I$31:$J$37)</f>
        <v>-</v>
      </c>
      <c r="AD18" s="452" t="str">
        <f>IFERROR(VLOOKUP($J18, 'Jira Data'!$A:$R, 3, FALSE), "-")</f>
        <v>-</v>
      </c>
      <c r="AE18" s="425" t="str">
        <f>IFERROR(IF(VLOOKUP($J18, 'Jira Data'!$A:$R, 8, FALSE)="","-",VLOOKUP($J18, 'Jira Data'!$A:$R, 8, FALSE)),"-")</f>
        <v>-</v>
      </c>
      <c r="AF18" s="16" t="str">
        <f>IFERROR(VLOOKUP($J18, 'Jira Data'!$A:$R, 11, FALSE), "-")</f>
        <v>-</v>
      </c>
      <c r="AG18" s="426" t="str">
        <f>IFERROR(VLOOKUP($J18, 'Jira Data'!$A:$R, 12, FALSE), "-")</f>
        <v>-</v>
      </c>
      <c r="AH18" s="425" t="str">
        <f>IFERROR(IF(VLOOKUP($J18, 'Jira Data'!$A:$R, 9, FALSE)="","-",VLOOKUP($J18, 'Jira Data'!$A:$R, 9, FALSE)), "-")</f>
        <v>-</v>
      </c>
      <c r="AI18" s="415" t="str">
        <f t="shared" si="5"/>
        <v>-</v>
      </c>
      <c r="AJ18" s="16" t="str">
        <f t="shared" si="6"/>
        <v>-</v>
      </c>
      <c r="AK18" s="16" t="str">
        <f>IFERROR(VLOOKUP($J18, 'Jira Data'!$A:$R, 15, FALSE), "-")</f>
        <v>-</v>
      </c>
      <c r="AL18" s="16" t="str">
        <f>IFERROR(VLOOKUP($J18, 'Jira Data'!$A:$R, 16, FALSE), "-")</f>
        <v>-</v>
      </c>
      <c r="AM18" s="426" t="str">
        <f>IFERROR(VLOOKUP($J18, 'Jira Data'!$A:$R, 18, FALSE), "-")</f>
        <v>-</v>
      </c>
      <c r="AN18" s="425" t="str">
        <f>IFERROR(IF(VLOOKUP($J18, 'Jira Data'!$A:$R, 10, FALSE)="", "-", VLOOKUP($J18, 'Jira Data'!$A:$R, 10, FALSE)), "-")</f>
        <v>-</v>
      </c>
      <c r="AO18" s="16" t="str">
        <f>IFERROR(VLOOKUP($J18, 'Jira Data'!$A:$R, 13, FALSE), "-")</f>
        <v>-</v>
      </c>
      <c r="AP18" s="426" t="str">
        <f>IFERROR(VLOOKUP($J18, 'Jira Data'!$A:$R, 14, FALSE), "-")</f>
        <v>-</v>
      </c>
      <c r="AQ18" s="49">
        <f t="shared" si="10"/>
        <v>0</v>
      </c>
      <c r="AR18" s="90">
        <f t="shared" si="8"/>
        <v>0</v>
      </c>
      <c r="AS18" s="433" t="str">
        <f t="shared" si="9"/>
        <v>-</v>
      </c>
    </row>
    <row r="19" spans="2:45" ht="17" thickBot="1" x14ac:dyDescent="0.25">
      <c r="B19" s="19"/>
      <c r="C19" s="19"/>
      <c r="D19" s="19"/>
      <c r="E19" s="19"/>
      <c r="F19" s="29"/>
      <c r="G19" s="30"/>
      <c r="H19" s="102"/>
      <c r="I19" s="52"/>
      <c r="J19" s="11"/>
      <c r="K19" s="408"/>
      <c r="L19" s="400"/>
      <c r="M19" s="400"/>
      <c r="N19" s="400"/>
      <c r="O19" s="400"/>
      <c r="P19" s="400"/>
      <c r="Q19" s="400"/>
      <c r="R19" s="441"/>
      <c r="S19" s="57"/>
      <c r="T19" s="117">
        <f t="shared" si="0"/>
        <v>0</v>
      </c>
      <c r="U19" s="113"/>
      <c r="V19" s="413" t="str">
        <f>IFERROR(IF(VLOOKUP($J19, 'Jira Data'!$A:$R, 6, FALSE)="", "-", VLOOKUP($J19, 'Jira Data'!$A:$R, 6, FALSE)), "-")</f>
        <v>-</v>
      </c>
      <c r="W19" s="419" t="str">
        <f>IFERROR(IF(VLOOKUP($J19, 'Jira Data'!$A:$R, 7, FALSE)="", "-", VLOOKUP($J19, 'Jira Data'!$A:$R, 7, FALSE)), "-")</f>
        <v>-</v>
      </c>
      <c r="X19" s="567" t="str" cm="1">
        <f t="array" ref="X19">CountUniquePeopleByTask($I19,$K$43:$AS$49,$I$43:$J$49)</f>
        <v>-</v>
      </c>
      <c r="Y19" s="49">
        <f t="shared" si="1"/>
        <v>0</v>
      </c>
      <c r="Z19" s="439" t="str">
        <f t="shared" si="2"/>
        <v>-</v>
      </c>
      <c r="AA19" s="35">
        <f t="shared" si="3"/>
        <v>0</v>
      </c>
      <c r="AB19" s="422">
        <f t="shared" si="4"/>
        <v>0</v>
      </c>
      <c r="AC19" s="567" t="str" cm="1">
        <f t="array" ref="AC19">CountUniquePeopleByTask($I19,$K$31:$AS$37,$I$31:$J$37)</f>
        <v>-</v>
      </c>
      <c r="AD19" s="452" t="str">
        <f>IFERROR(VLOOKUP($J19, 'Jira Data'!$A:$R, 3, FALSE), "-")</f>
        <v>-</v>
      </c>
      <c r="AE19" s="425" t="str">
        <f>IFERROR(IF(VLOOKUP($J19, 'Jira Data'!$A:$R, 8, FALSE)="","-",VLOOKUP($J19, 'Jira Data'!$A:$R, 8, FALSE)),"-")</f>
        <v>-</v>
      </c>
      <c r="AF19" s="16" t="str">
        <f>IFERROR(VLOOKUP($J19, 'Jira Data'!$A:$R, 11, FALSE), "-")</f>
        <v>-</v>
      </c>
      <c r="AG19" s="426" t="str">
        <f>IFERROR(VLOOKUP($J19, 'Jira Data'!$A:$R, 12, FALSE), "-")</f>
        <v>-</v>
      </c>
      <c r="AH19" s="425" t="str">
        <f>IFERROR(IF(VLOOKUP($J19, 'Jira Data'!$A:$R, 9, FALSE)="","-",VLOOKUP($J19, 'Jira Data'!$A:$R, 9, FALSE)), "-")</f>
        <v>-</v>
      </c>
      <c r="AI19" s="415" t="str">
        <f t="shared" si="5"/>
        <v>-</v>
      </c>
      <c r="AJ19" s="16" t="str">
        <f t="shared" si="6"/>
        <v>-</v>
      </c>
      <c r="AK19" s="16" t="str">
        <f>IFERROR(VLOOKUP($J19, 'Jira Data'!$A:$R, 15, FALSE), "-")</f>
        <v>-</v>
      </c>
      <c r="AL19" s="16" t="str">
        <f>IFERROR(VLOOKUP($J19, 'Jira Data'!$A:$R, 16, FALSE), "-")</f>
        <v>-</v>
      </c>
      <c r="AM19" s="426" t="str">
        <f>IFERROR(VLOOKUP($J19, 'Jira Data'!$A:$R, 18, FALSE), "-")</f>
        <v>-</v>
      </c>
      <c r="AN19" s="425" t="str">
        <f>IFERROR(IF(VLOOKUP($J19, 'Jira Data'!$A:$R, 10, FALSE)="", "-", VLOOKUP($J19, 'Jira Data'!$A:$R, 10, FALSE)), "-")</f>
        <v>-</v>
      </c>
      <c r="AO19" s="16" t="str">
        <f>IFERROR(VLOOKUP($J19, 'Jira Data'!$A:$R, 13, FALSE), "-")</f>
        <v>-</v>
      </c>
      <c r="AP19" s="426" t="str">
        <f>IFERROR(VLOOKUP($J19, 'Jira Data'!$A:$R, 14, FALSE), "-")</f>
        <v>-</v>
      </c>
      <c r="AQ19" s="49">
        <f t="shared" si="10"/>
        <v>0</v>
      </c>
      <c r="AR19" s="90">
        <f t="shared" si="8"/>
        <v>0</v>
      </c>
      <c r="AS19" s="433" t="str">
        <f t="shared" si="9"/>
        <v>-</v>
      </c>
    </row>
    <row r="20" spans="2:45" ht="17" thickBot="1" x14ac:dyDescent="0.25">
      <c r="B20" s="644" t="s">
        <v>128</v>
      </c>
      <c r="C20" s="644"/>
      <c r="D20" s="644"/>
      <c r="E20" s="644" t="s">
        <v>128</v>
      </c>
      <c r="F20" s="29"/>
      <c r="G20" s="30"/>
      <c r="H20" s="102"/>
      <c r="I20" s="162" t="s">
        <v>51</v>
      </c>
      <c r="J20" s="11"/>
      <c r="K20" s="408"/>
      <c r="L20" s="400"/>
      <c r="M20" s="400"/>
      <c r="N20" s="400"/>
      <c r="O20" s="400"/>
      <c r="P20" s="400"/>
      <c r="Q20" s="400"/>
      <c r="R20" s="441" t="s">
        <v>149</v>
      </c>
      <c r="S20" s="57">
        <v>0</v>
      </c>
      <c r="T20" s="117">
        <f t="shared" si="0"/>
        <v>0</v>
      </c>
      <c r="U20" s="113"/>
      <c r="V20" s="413" t="str">
        <f>IFERROR(IF(VLOOKUP($J20, 'Jira Data'!$A:$R, 6, FALSE)="", "-", VLOOKUP($J20, 'Jira Data'!$A:$R, 6, FALSE)), "-")</f>
        <v>-</v>
      </c>
      <c r="W20" s="419" t="str">
        <f>IFERROR(IF(VLOOKUP($J20, 'Jira Data'!$A:$R, 7, FALSE)="", "-", VLOOKUP($J20, 'Jira Data'!$A:$R, 7, FALSE)), "-")</f>
        <v>-</v>
      </c>
      <c r="X20" s="567" cm="1">
        <f t="array" ref="X20">CountUniquePeopleByTask($I20,$K$43:$AS$49,$I$43:$J$49)</f>
        <v>0</v>
      </c>
      <c r="Y20" s="49">
        <f t="shared" si="1"/>
        <v>0</v>
      </c>
      <c r="Z20" s="439" t="str">
        <f t="shared" si="2"/>
        <v>-</v>
      </c>
      <c r="AA20" s="35">
        <f t="shared" si="3"/>
        <v>0</v>
      </c>
      <c r="AB20" s="422">
        <f t="shared" si="4"/>
        <v>0</v>
      </c>
      <c r="AC20" s="567" cm="1">
        <f t="array" ref="AC20">CountUniquePeopleByTask($I20,$K$31:$AS$37,$I$31:$J$37)</f>
        <v>0</v>
      </c>
      <c r="AD20" s="452" t="str">
        <f>IFERROR(VLOOKUP($J20, 'Jira Data'!$A:$R, 3, FALSE), "-")</f>
        <v>-</v>
      </c>
      <c r="AE20" s="425" t="str">
        <f>IFERROR(IF(VLOOKUP($J20, 'Jira Data'!$A:$R, 8, FALSE)="","-",VLOOKUP($J20, 'Jira Data'!$A:$R, 8, FALSE)),"-")</f>
        <v>-</v>
      </c>
      <c r="AF20" s="16" t="str">
        <f>IFERROR(VLOOKUP($J20, 'Jira Data'!$A:$R, 11, FALSE), "-")</f>
        <v>-</v>
      </c>
      <c r="AG20" s="426" t="str">
        <f>IFERROR(VLOOKUP($J20, 'Jira Data'!$A:$R, 12, FALSE), "-")</f>
        <v>-</v>
      </c>
      <c r="AH20" s="425" t="str">
        <f>IFERROR(IF(VLOOKUP($J20, 'Jira Data'!$A:$R, 9, FALSE)="","-",VLOOKUP($J20, 'Jira Data'!$A:$R, 9, FALSE)), "-")</f>
        <v>-</v>
      </c>
      <c r="AI20" s="415" t="str">
        <f t="shared" si="5"/>
        <v>-</v>
      </c>
      <c r="AJ20" s="16" t="str">
        <f t="shared" si="6"/>
        <v>-</v>
      </c>
      <c r="AK20" s="16" t="str">
        <f>IFERROR(VLOOKUP($J20, 'Jira Data'!$A:$R, 15, FALSE), "-")</f>
        <v>-</v>
      </c>
      <c r="AL20" s="16" t="str">
        <f>IFERROR(VLOOKUP($J20, 'Jira Data'!$A:$R, 16, FALSE), "-")</f>
        <v>-</v>
      </c>
      <c r="AM20" s="426" t="str">
        <f>IFERROR(VLOOKUP($J20, 'Jira Data'!$A:$R, 18, FALSE), "-")</f>
        <v>-</v>
      </c>
      <c r="AN20" s="425" t="str">
        <f>IFERROR(IF(VLOOKUP($J20, 'Jira Data'!$A:$R, 10, FALSE)="", "-", VLOOKUP($J20, 'Jira Data'!$A:$R, 10, FALSE)), "-")</f>
        <v>-</v>
      </c>
      <c r="AO20" s="16" t="str">
        <f>IFERROR(VLOOKUP($J20, 'Jira Data'!$A:$R, 13, FALSE), "-")</f>
        <v>-</v>
      </c>
      <c r="AP20" s="426" t="str">
        <f>IFERROR(VLOOKUP($J20, 'Jira Data'!$A:$R, 14, FALSE), "-")</f>
        <v>-</v>
      </c>
      <c r="AQ20" s="49">
        <f t="shared" si="10"/>
        <v>0</v>
      </c>
      <c r="AR20" s="90">
        <f t="shared" si="8"/>
        <v>0</v>
      </c>
      <c r="AS20" s="433" t="str">
        <f t="shared" si="9"/>
        <v>-</v>
      </c>
    </row>
    <row r="21" spans="2:45" x14ac:dyDescent="0.2">
      <c r="B21" s="693" t="s">
        <v>175</v>
      </c>
      <c r="C21" s="694"/>
      <c r="D21" s="157">
        <v>0.25</v>
      </c>
      <c r="E21" s="156"/>
      <c r="F21" s="29"/>
      <c r="G21" s="30"/>
      <c r="H21" s="102"/>
      <c r="I21" s="248" t="s">
        <v>62</v>
      </c>
      <c r="J21" s="11"/>
      <c r="K21" s="23"/>
      <c r="L21" s="24"/>
      <c r="M21" s="24"/>
      <c r="N21" s="24"/>
      <c r="O21" s="24"/>
      <c r="P21" s="24"/>
      <c r="Q21" s="24"/>
      <c r="R21" s="441" t="s">
        <v>26</v>
      </c>
      <c r="S21" s="57">
        <v>0</v>
      </c>
      <c r="T21" s="117">
        <f t="shared" si="0"/>
        <v>0</v>
      </c>
      <c r="U21" s="113"/>
      <c r="V21" s="413" t="str">
        <f>IFERROR(IF(VLOOKUP($J21, 'Jira Data'!$A:$R, 6, FALSE)="", "-", VLOOKUP($J21, 'Jira Data'!$A:$R, 6, FALSE)), "-")</f>
        <v>-</v>
      </c>
      <c r="W21" s="419" t="str">
        <f>IFERROR(IF(VLOOKUP($J21, 'Jira Data'!$A:$R, 7, FALSE)="", "-", VLOOKUP($J21, 'Jira Data'!$A:$R, 7, FALSE)), "-")</f>
        <v>-</v>
      </c>
      <c r="X21" s="567" cm="1">
        <f t="array" ref="X21">CountUniquePeopleByTask($I21,$K$43:$AS$49,$I$43:$J$49)</f>
        <v>0</v>
      </c>
      <c r="Y21" s="49">
        <f t="shared" si="1"/>
        <v>0</v>
      </c>
      <c r="Z21" s="439" t="str">
        <f t="shared" si="2"/>
        <v>-</v>
      </c>
      <c r="AA21" s="35">
        <f t="shared" si="3"/>
        <v>0</v>
      </c>
      <c r="AB21" s="422">
        <f t="shared" si="4"/>
        <v>0</v>
      </c>
      <c r="AC21" s="567" cm="1">
        <f t="array" ref="AC21">CountUniquePeopleByTask($I21,$K$31:$AS$37,$I$31:$J$37)</f>
        <v>0</v>
      </c>
      <c r="AD21" s="452" t="str">
        <f>IFERROR(VLOOKUP($J21, 'Jira Data'!$A:$R, 3, FALSE), "-")</f>
        <v>-</v>
      </c>
      <c r="AE21" s="425" t="str">
        <f>IFERROR(IF(VLOOKUP($J21, 'Jira Data'!$A:$R, 8, FALSE)="","-",VLOOKUP($J21, 'Jira Data'!$A:$R, 8, FALSE)),"-")</f>
        <v>-</v>
      </c>
      <c r="AF21" s="16" t="str">
        <f>IFERROR(VLOOKUP($J21, 'Jira Data'!$A:$R, 11, FALSE), "-")</f>
        <v>-</v>
      </c>
      <c r="AG21" s="426" t="str">
        <f>IFERROR(VLOOKUP($J21, 'Jira Data'!$A:$R, 12, FALSE), "-")</f>
        <v>-</v>
      </c>
      <c r="AH21" s="425" t="str">
        <f>IFERROR(IF(VLOOKUP($J21, 'Jira Data'!$A:$R, 9, FALSE)="","-",VLOOKUP($J21, 'Jira Data'!$A:$R, 9, FALSE)), "-")</f>
        <v>-</v>
      </c>
      <c r="AI21" s="415" t="str">
        <f t="shared" si="5"/>
        <v>-</v>
      </c>
      <c r="AJ21" s="16" t="str">
        <f t="shared" si="6"/>
        <v>-</v>
      </c>
      <c r="AK21" s="16" t="str">
        <f>IFERROR(VLOOKUP($J21, 'Jira Data'!$A:$R, 15, FALSE), "-")</f>
        <v>-</v>
      </c>
      <c r="AL21" s="16" t="str">
        <f>IFERROR(VLOOKUP($J21, 'Jira Data'!$A:$R, 16, FALSE), "-")</f>
        <v>-</v>
      </c>
      <c r="AM21" s="426" t="str">
        <f>IFERROR(VLOOKUP($J21, 'Jira Data'!$A:$R, 18, FALSE), "-")</f>
        <v>-</v>
      </c>
      <c r="AN21" s="425" t="str">
        <f>IFERROR(IF(VLOOKUP($J21, 'Jira Data'!$A:$R, 10, FALSE)="", "-", VLOOKUP($J21, 'Jira Data'!$A:$R, 10, FALSE)), "-")</f>
        <v>-</v>
      </c>
      <c r="AO21" s="16" t="str">
        <f>IFERROR(VLOOKUP($J21, 'Jira Data'!$A:$R, 13, FALSE), "-")</f>
        <v>-</v>
      </c>
      <c r="AP21" s="426" t="str">
        <f>IFERROR(VLOOKUP($J21, 'Jira Data'!$A:$R, 14, FALSE), "-")</f>
        <v>-</v>
      </c>
      <c r="AQ21" s="49">
        <f t="shared" si="10"/>
        <v>0</v>
      </c>
      <c r="AR21" s="90">
        <f t="shared" si="8"/>
        <v>0</v>
      </c>
      <c r="AS21" s="433" t="str">
        <f t="shared" si="9"/>
        <v>-</v>
      </c>
    </row>
    <row r="22" spans="2:45" x14ac:dyDescent="0.2">
      <c r="B22" s="684" t="s">
        <v>24</v>
      </c>
      <c r="C22" s="685"/>
      <c r="D22" s="26">
        <v>0.125</v>
      </c>
      <c r="E22" s="156"/>
      <c r="F22" s="29"/>
      <c r="G22" s="30"/>
      <c r="H22" s="102"/>
      <c r="I22" s="159" t="s">
        <v>85</v>
      </c>
      <c r="J22" s="11"/>
      <c r="K22" s="408"/>
      <c r="L22" s="400"/>
      <c r="M22" s="400"/>
      <c r="N22" s="400"/>
      <c r="O22" s="400"/>
      <c r="P22" s="400"/>
      <c r="Q22" s="400"/>
      <c r="R22" s="441" t="s">
        <v>152</v>
      </c>
      <c r="S22" s="57">
        <v>0</v>
      </c>
      <c r="T22" s="117">
        <f t="shared" si="0"/>
        <v>0</v>
      </c>
      <c r="U22" s="113"/>
      <c r="V22" s="413" t="str">
        <f>IFERROR(IF(VLOOKUP($J22, 'Jira Data'!$A:$R, 6, FALSE)="", "-", VLOOKUP($J22, 'Jira Data'!$A:$R, 6, FALSE)), "-")</f>
        <v>-</v>
      </c>
      <c r="W22" s="419" t="str">
        <f>IFERROR(IF(VLOOKUP($J22, 'Jira Data'!$A:$R, 7, FALSE)="", "-", VLOOKUP($J22, 'Jira Data'!$A:$R, 7, FALSE)), "-")</f>
        <v>-</v>
      </c>
      <c r="X22" s="567" cm="1">
        <f t="array" ref="X22">CountUniquePeopleByTask($I22,$K$43:$AS$49,$I$43:$J$49)</f>
        <v>0</v>
      </c>
      <c r="Y22" s="49">
        <f t="shared" si="1"/>
        <v>0</v>
      </c>
      <c r="Z22" s="439" t="str">
        <f t="shared" si="2"/>
        <v>-</v>
      </c>
      <c r="AA22" s="35">
        <f t="shared" si="3"/>
        <v>0</v>
      </c>
      <c r="AB22" s="422">
        <f t="shared" si="4"/>
        <v>0</v>
      </c>
      <c r="AC22" s="567" cm="1">
        <f t="array" ref="AC22">CountUniquePeopleByTask($I22,$K$31:$AS$37,$I$31:$J$37)</f>
        <v>0</v>
      </c>
      <c r="AD22" s="452" t="str">
        <f>IFERROR(VLOOKUP($J22, 'Jira Data'!$A:$R, 3, FALSE), "-")</f>
        <v>-</v>
      </c>
      <c r="AE22" s="425" t="str">
        <f>IFERROR(IF(VLOOKUP($J22, 'Jira Data'!$A:$R, 8, FALSE)="","-",VLOOKUP($J22, 'Jira Data'!$A:$R, 8, FALSE)),"-")</f>
        <v>-</v>
      </c>
      <c r="AF22" s="16" t="str">
        <f>IFERROR(VLOOKUP($J22, 'Jira Data'!$A:$R, 11, FALSE), "-")</f>
        <v>-</v>
      </c>
      <c r="AG22" s="426" t="str">
        <f>IFERROR(VLOOKUP($J22, 'Jira Data'!$A:$R, 12, FALSE), "-")</f>
        <v>-</v>
      </c>
      <c r="AH22" s="425" t="str">
        <f>IFERROR(IF(VLOOKUP($J22, 'Jira Data'!$A:$R, 9, FALSE)="","-",VLOOKUP($J22, 'Jira Data'!$A:$R, 9, FALSE)), "-")</f>
        <v>-</v>
      </c>
      <c r="AI22" s="415" t="str">
        <f t="shared" si="5"/>
        <v>-</v>
      </c>
      <c r="AJ22" s="16" t="str">
        <f t="shared" si="6"/>
        <v>-</v>
      </c>
      <c r="AK22" s="16" t="str">
        <f>IFERROR(VLOOKUP($J22, 'Jira Data'!$A:$R, 15, FALSE), "-")</f>
        <v>-</v>
      </c>
      <c r="AL22" s="16" t="str">
        <f>IFERROR(VLOOKUP($J22, 'Jira Data'!$A:$R, 16, FALSE), "-")</f>
        <v>-</v>
      </c>
      <c r="AM22" s="426" t="str">
        <f>IFERROR(VLOOKUP($J22, 'Jira Data'!$A:$R, 18, FALSE), "-")</f>
        <v>-</v>
      </c>
      <c r="AN22" s="425" t="str">
        <f>IFERROR(IF(VLOOKUP($J22, 'Jira Data'!$A:$R, 10, FALSE)="", "-", VLOOKUP($J22, 'Jira Data'!$A:$R, 10, FALSE)), "-")</f>
        <v>-</v>
      </c>
      <c r="AO22" s="16" t="str">
        <f>IFERROR(VLOOKUP($J22, 'Jira Data'!$A:$R, 13, FALSE), "-")</f>
        <v>-</v>
      </c>
      <c r="AP22" s="426" t="str">
        <f>IFERROR(VLOOKUP($J22, 'Jira Data'!$A:$R, 14, FALSE), "-")</f>
        <v>-</v>
      </c>
      <c r="AQ22" s="49">
        <f t="shared" si="10"/>
        <v>0</v>
      </c>
      <c r="AR22" s="90">
        <f t="shared" si="8"/>
        <v>0</v>
      </c>
      <c r="AS22" s="433" t="str">
        <f t="shared" si="9"/>
        <v>-</v>
      </c>
    </row>
    <row r="23" spans="2:45" x14ac:dyDescent="0.2">
      <c r="B23" s="684" t="s">
        <v>28</v>
      </c>
      <c r="C23" s="685"/>
      <c r="D23" s="686"/>
      <c r="E23" s="93">
        <v>2</v>
      </c>
      <c r="F23" s="29"/>
      <c r="G23" s="30"/>
      <c r="H23" s="102"/>
      <c r="I23" s="54" t="s">
        <v>23</v>
      </c>
      <c r="J23" s="11"/>
      <c r="K23" s="408" t="s">
        <v>24</v>
      </c>
      <c r="L23" s="400"/>
      <c r="M23" s="400"/>
      <c r="N23" s="400"/>
      <c r="O23" s="400"/>
      <c r="P23" s="400"/>
      <c r="Q23" s="400"/>
      <c r="R23" s="441" t="s">
        <v>23</v>
      </c>
      <c r="S23" s="57">
        <v>0</v>
      </c>
      <c r="T23" s="117">
        <f t="shared" si="0"/>
        <v>0</v>
      </c>
      <c r="U23" s="113"/>
      <c r="V23" s="413" t="str">
        <f>IFERROR(IF(VLOOKUP($J23, 'Jira Data'!$A:$R, 6, FALSE)="", "-", VLOOKUP($J23, 'Jira Data'!$A:$R, 6, FALSE)), "-")</f>
        <v>-</v>
      </c>
      <c r="W23" s="419" t="str">
        <f>IFERROR(IF(VLOOKUP($J23, 'Jira Data'!$A:$R, 7, FALSE)="", "-", VLOOKUP($J23, 'Jira Data'!$A:$R, 7, FALSE)), "-")</f>
        <v>-</v>
      </c>
      <c r="X23" s="567" cm="1">
        <f t="array" ref="X23">CountUniquePeopleByTask($I23,$K$43:$AS$49,$I$43:$J$49)</f>
        <v>0</v>
      </c>
      <c r="Y23" s="49">
        <f t="shared" si="1"/>
        <v>0</v>
      </c>
      <c r="Z23" s="439" t="str">
        <f t="shared" si="2"/>
        <v>-</v>
      </c>
      <c r="AA23" s="35">
        <f t="shared" si="3"/>
        <v>0</v>
      </c>
      <c r="AB23" s="422">
        <f t="shared" si="4"/>
        <v>0</v>
      </c>
      <c r="AC23" s="567" cm="1">
        <f t="array" ref="AC23">CountUniquePeopleByTask($I23,$K$31:$AS$37,$I$31:$J$37)</f>
        <v>0</v>
      </c>
      <c r="AD23" s="452" t="str">
        <f>IFERROR(VLOOKUP($J23, 'Jira Data'!$A:$R, 3, FALSE), "-")</f>
        <v>-</v>
      </c>
      <c r="AE23" s="425" t="str">
        <f>IFERROR(IF(VLOOKUP($J23, 'Jira Data'!$A:$R, 8, FALSE)="","-",VLOOKUP($J23, 'Jira Data'!$A:$R, 8, FALSE)),"-")</f>
        <v>-</v>
      </c>
      <c r="AF23" s="16" t="str">
        <f>IFERROR(VLOOKUP($J23, 'Jira Data'!$A:$R, 11, FALSE), "-")</f>
        <v>-</v>
      </c>
      <c r="AG23" s="426" t="str">
        <f>IFERROR(VLOOKUP($J23, 'Jira Data'!$A:$R, 12, FALSE), "-")</f>
        <v>-</v>
      </c>
      <c r="AH23" s="425" t="str">
        <f>IFERROR(IF(VLOOKUP($J23, 'Jira Data'!$A:$R, 9, FALSE)="","-",VLOOKUP($J23, 'Jira Data'!$A:$R, 9, FALSE)), "-")</f>
        <v>-</v>
      </c>
      <c r="AI23" s="415" t="str">
        <f t="shared" si="5"/>
        <v>-</v>
      </c>
      <c r="AJ23" s="16" t="str">
        <f t="shared" si="6"/>
        <v>-</v>
      </c>
      <c r="AK23" s="16" t="str">
        <f>IFERROR(VLOOKUP($J23, 'Jira Data'!$A:$R, 15, FALSE), "-")</f>
        <v>-</v>
      </c>
      <c r="AL23" s="16" t="str">
        <f>IFERROR(VLOOKUP($J23, 'Jira Data'!$A:$R, 16, FALSE), "-")</f>
        <v>-</v>
      </c>
      <c r="AM23" s="426" t="str">
        <f>IFERROR(VLOOKUP($J23, 'Jira Data'!$A:$R, 18, FALSE), "-")</f>
        <v>-</v>
      </c>
      <c r="AN23" s="425" t="str">
        <f>IFERROR(IF(VLOOKUP($J23, 'Jira Data'!$A:$R, 10, FALSE)="", "-", VLOOKUP($J23, 'Jira Data'!$A:$R, 10, FALSE)), "-")</f>
        <v>-</v>
      </c>
      <c r="AO23" s="16" t="str">
        <f>IFERROR(VLOOKUP($J23, 'Jira Data'!$A:$R, 13, FALSE), "-")</f>
        <v>-</v>
      </c>
      <c r="AP23" s="426" t="str">
        <f>IFERROR(VLOOKUP($J23, 'Jira Data'!$A:$R, 14, FALSE), "-")</f>
        <v>-</v>
      </c>
      <c r="AQ23" s="49">
        <f t="shared" si="10"/>
        <v>0</v>
      </c>
      <c r="AR23" s="90">
        <f t="shared" si="8"/>
        <v>0</v>
      </c>
      <c r="AS23" s="433" t="str">
        <f t="shared" si="9"/>
        <v>-</v>
      </c>
    </row>
    <row r="24" spans="2:45" ht="17" thickBot="1" x14ac:dyDescent="0.25">
      <c r="B24" s="687" t="s">
        <v>32</v>
      </c>
      <c r="C24" s="688"/>
      <c r="D24" s="689"/>
      <c r="E24" s="96">
        <v>2</v>
      </c>
      <c r="F24" s="29"/>
      <c r="G24" s="30"/>
      <c r="H24" s="102"/>
      <c r="I24" s="53" t="s">
        <v>126</v>
      </c>
      <c r="J24" s="11"/>
      <c r="K24" s="408" t="s">
        <v>27</v>
      </c>
      <c r="L24" s="400"/>
      <c r="M24" s="400"/>
      <c r="N24" s="400"/>
      <c r="O24" s="400"/>
      <c r="P24" s="400"/>
      <c r="Q24" s="400"/>
      <c r="R24" s="441" t="s">
        <v>26</v>
      </c>
      <c r="S24" s="57">
        <v>0</v>
      </c>
      <c r="T24" s="117">
        <f t="shared" si="0"/>
        <v>0</v>
      </c>
      <c r="U24" s="113"/>
      <c r="V24" s="413" t="str">
        <f>IFERROR(IF(VLOOKUP($J24, 'Jira Data'!$A:$R, 6, FALSE)="", "-", VLOOKUP($J24, 'Jira Data'!$A:$R, 6, FALSE)), "-")</f>
        <v>-</v>
      </c>
      <c r="W24" s="419" t="str">
        <f>IFERROR(IF(VLOOKUP($J24, 'Jira Data'!$A:$R, 7, FALSE)="", "-", VLOOKUP($J24, 'Jira Data'!$A:$R, 7, FALSE)), "-")</f>
        <v>-</v>
      </c>
      <c r="X24" s="567" cm="1">
        <f t="array" ref="X24">CountUniquePeopleByTask($I24,$K$43:$AS$49,$I$43:$J$49)</f>
        <v>0</v>
      </c>
      <c r="Y24" s="49">
        <f t="shared" si="1"/>
        <v>0</v>
      </c>
      <c r="Z24" s="439" t="str">
        <f t="shared" si="2"/>
        <v>-</v>
      </c>
      <c r="AA24" s="35">
        <f t="shared" si="3"/>
        <v>0</v>
      </c>
      <c r="AB24" s="422">
        <f t="shared" si="4"/>
        <v>0</v>
      </c>
      <c r="AC24" s="567" cm="1">
        <f t="array" ref="AC24">CountUniquePeopleByTask($I24,$K$31:$AS$37,$I$31:$J$37)</f>
        <v>0</v>
      </c>
      <c r="AD24" s="452" t="str">
        <f>IFERROR(VLOOKUP($J24, 'Jira Data'!$A:$R, 3, FALSE), "-")</f>
        <v>-</v>
      </c>
      <c r="AE24" s="425" t="str">
        <f>IFERROR(IF(VLOOKUP($J24, 'Jira Data'!$A:$R, 8, FALSE)="","-",VLOOKUP($J24, 'Jira Data'!$A:$R, 8, FALSE)),"-")</f>
        <v>-</v>
      </c>
      <c r="AF24" s="16" t="str">
        <f>IFERROR(VLOOKUP($J24, 'Jira Data'!$A:$R, 11, FALSE), "-")</f>
        <v>-</v>
      </c>
      <c r="AG24" s="426" t="str">
        <f>IFERROR(VLOOKUP($J24, 'Jira Data'!$A:$R, 12, FALSE), "-")</f>
        <v>-</v>
      </c>
      <c r="AH24" s="425" t="str">
        <f>IFERROR(IF(VLOOKUP($J24, 'Jira Data'!$A:$R, 9, FALSE)="","-",VLOOKUP($J24, 'Jira Data'!$A:$R, 9, FALSE)), "-")</f>
        <v>-</v>
      </c>
      <c r="AI24" s="415" t="str">
        <f t="shared" si="5"/>
        <v>-</v>
      </c>
      <c r="AJ24" s="16" t="str">
        <f t="shared" si="6"/>
        <v>-</v>
      </c>
      <c r="AK24" s="16" t="str">
        <f>IFERROR(VLOOKUP($J24, 'Jira Data'!$A:$R, 15, FALSE), "-")</f>
        <v>-</v>
      </c>
      <c r="AL24" s="16" t="str">
        <f>IFERROR(VLOOKUP($J24, 'Jira Data'!$A:$R, 16, FALSE), "-")</f>
        <v>-</v>
      </c>
      <c r="AM24" s="426" t="str">
        <f>IFERROR(VLOOKUP($J24, 'Jira Data'!$A:$R, 18, FALSE), "-")</f>
        <v>-</v>
      </c>
      <c r="AN24" s="425" t="str">
        <f>IFERROR(IF(VLOOKUP($J24, 'Jira Data'!$A:$R, 10, FALSE)="", "-", VLOOKUP($J24, 'Jira Data'!$A:$R, 10, FALSE)), "-")</f>
        <v>-</v>
      </c>
      <c r="AO24" s="16" t="str">
        <f>IFERROR(VLOOKUP($J24, 'Jira Data'!$A:$R, 13, FALSE), "-")</f>
        <v>-</v>
      </c>
      <c r="AP24" s="426" t="str">
        <f>IFERROR(VLOOKUP($J24, 'Jira Data'!$A:$R, 14, FALSE), "-")</f>
        <v>-</v>
      </c>
      <c r="AQ24" s="49">
        <f t="shared" si="10"/>
        <v>0</v>
      </c>
      <c r="AR24" s="90">
        <f t="shared" si="8"/>
        <v>0</v>
      </c>
      <c r="AS24" s="433" t="str">
        <f t="shared" si="9"/>
        <v>-</v>
      </c>
    </row>
    <row r="25" spans="2:45" ht="17" thickBot="1" x14ac:dyDescent="0.25">
      <c r="B25" s="19"/>
      <c r="C25" s="19"/>
      <c r="D25" s="19"/>
      <c r="E25" s="19"/>
      <c r="F25" s="29"/>
      <c r="G25" s="30"/>
      <c r="H25" s="324"/>
      <c r="I25" s="443" t="s">
        <v>29</v>
      </c>
      <c r="J25" s="106"/>
      <c r="K25" s="409" t="s">
        <v>30</v>
      </c>
      <c r="L25" s="410"/>
      <c r="M25" s="410"/>
      <c r="N25" s="410"/>
      <c r="O25" s="410"/>
      <c r="P25" s="410"/>
      <c r="Q25" s="410"/>
      <c r="R25" s="442" t="s">
        <v>29</v>
      </c>
      <c r="S25" s="449">
        <v>0</v>
      </c>
      <c r="T25" s="118">
        <f t="shared" si="0"/>
        <v>0</v>
      </c>
      <c r="U25" s="114"/>
      <c r="V25" s="414" t="str">
        <f>IFERROR(IF(VLOOKUP($J25, 'Jira Data'!$A:$R, 6, FALSE)="", "-", VLOOKUP($J25, 'Jira Data'!$A:$R, 6, FALSE)), "-")</f>
        <v>-</v>
      </c>
      <c r="W25" s="421" t="str">
        <f>IFERROR(IF(VLOOKUP($J25, 'Jira Data'!$A:$R, 7, FALSE)="", "-", VLOOKUP($J25, 'Jira Data'!$A:$R, 7, FALSE)), "-")</f>
        <v>-</v>
      </c>
      <c r="X25" s="568" cm="1">
        <f t="array" ref="X25">CountUniquePeopleByTask($I25,$K$43:$AS$49,$I$43:$J$49)</f>
        <v>0</v>
      </c>
      <c r="Y25" s="86">
        <f t="shared" si="1"/>
        <v>0</v>
      </c>
      <c r="Z25" s="440" t="str">
        <f t="shared" si="2"/>
        <v>-</v>
      </c>
      <c r="AA25" s="43">
        <f t="shared" si="3"/>
        <v>0</v>
      </c>
      <c r="AB25" s="423">
        <f t="shared" si="4"/>
        <v>0</v>
      </c>
      <c r="AC25" s="568" cm="1">
        <f t="array" ref="AC25">CountUniquePeopleByTask($I25,$K$31:$AS$37,$I$31:$J$37)</f>
        <v>0</v>
      </c>
      <c r="AD25" s="453" t="str">
        <f>IFERROR(VLOOKUP($J25, 'Jira Data'!$A:$R, 3, FALSE), "-")</f>
        <v>-</v>
      </c>
      <c r="AE25" s="427" t="str">
        <f>IFERROR(IF(VLOOKUP($J25, 'Jira Data'!$A:$R, 8, FALSE)="","-",VLOOKUP($J25, 'Jira Data'!$A:$R, 8, FALSE)),"-")</f>
        <v>-</v>
      </c>
      <c r="AF25" s="41" t="str">
        <f>IFERROR(VLOOKUP($J25, 'Jira Data'!$A:$R, 11, FALSE), "-")</f>
        <v>-</v>
      </c>
      <c r="AG25" s="428" t="str">
        <f>IFERROR(VLOOKUP($J25, 'Jira Data'!$A:$R, 12, FALSE), "-")</f>
        <v>-</v>
      </c>
      <c r="AH25" s="427" t="str">
        <f>IFERROR(IF(VLOOKUP($J25, 'Jira Data'!$A:$R, 9, FALSE)="","-",VLOOKUP($J25, 'Jira Data'!$A:$R, 9, FALSE)), "-")</f>
        <v>-</v>
      </c>
      <c r="AI25" s="430" t="str">
        <f t="shared" si="5"/>
        <v>-</v>
      </c>
      <c r="AJ25" s="41" t="str">
        <f t="shared" si="6"/>
        <v>-</v>
      </c>
      <c r="AK25" s="41" t="str">
        <f>IFERROR(VLOOKUP($J25, 'Jira Data'!$A:$R, 15, FALSE), "-")</f>
        <v>-</v>
      </c>
      <c r="AL25" s="41" t="str">
        <f>IFERROR(VLOOKUP($J25, 'Jira Data'!$A:$R, 16, FALSE), "-")</f>
        <v>-</v>
      </c>
      <c r="AM25" s="428" t="str">
        <f>IFERROR(VLOOKUP($J25, 'Jira Data'!$A:$R, 18, FALSE), "-")</f>
        <v>-</v>
      </c>
      <c r="AN25" s="427" t="str">
        <f>IFERROR(IF(VLOOKUP($J25, 'Jira Data'!$A:$R, 10, FALSE)="", "-", VLOOKUP($J25, 'Jira Data'!$A:$R, 10, FALSE)), "-")</f>
        <v>-</v>
      </c>
      <c r="AO25" s="41" t="str">
        <f>IFERROR(VLOOKUP($J25, 'Jira Data'!$A:$R, 13, FALSE), "-")</f>
        <v>-</v>
      </c>
      <c r="AP25" s="428" t="str">
        <f>IFERROR(VLOOKUP($J25, 'Jira Data'!$A:$R, 14, FALSE), "-")</f>
        <v>-</v>
      </c>
      <c r="AQ25" s="86">
        <f t="shared" si="10"/>
        <v>0</v>
      </c>
      <c r="AR25" s="434">
        <f t="shared" si="8"/>
        <v>0</v>
      </c>
      <c r="AS25" s="435" t="str">
        <f t="shared" si="9"/>
        <v>-</v>
      </c>
    </row>
    <row r="26" spans="2:45" ht="17" thickBot="1" x14ac:dyDescent="0.25">
      <c r="B26" s="677" t="s">
        <v>54</v>
      </c>
      <c r="C26" s="679"/>
      <c r="D26" s="502"/>
      <c r="E26" s="502"/>
      <c r="F26" s="29"/>
      <c r="G26" s="30"/>
      <c r="I26" s="12"/>
      <c r="J26" s="12"/>
      <c r="K26" s="13"/>
      <c r="L26" s="13"/>
      <c r="M26" s="13"/>
      <c r="N26" s="13"/>
      <c r="O26" s="13"/>
      <c r="P26" s="13"/>
      <c r="Q26" s="13"/>
      <c r="R26" s="13"/>
      <c r="S26" s="14"/>
      <c r="T26" s="51"/>
      <c r="U26" s="51"/>
      <c r="V26" s="51"/>
      <c r="W26" s="51"/>
      <c r="X26" s="51"/>
      <c r="Y26" s="436">
        <f>SUM(Y6:Y25)</f>
        <v>0</v>
      </c>
      <c r="Z26" s="51"/>
      <c r="AA26" s="51"/>
      <c r="AB26" s="436">
        <f>SUM(AB6:AB25)</f>
        <v>0</v>
      </c>
      <c r="AC26" s="450"/>
      <c r="AD26" s="450"/>
      <c r="AE26" s="51"/>
      <c r="AF26" s="51"/>
      <c r="AG26" s="51"/>
      <c r="AH26" s="1"/>
      <c r="AI26" s="1"/>
      <c r="AJ26" s="1"/>
      <c r="AK26" s="1"/>
      <c r="AN26" s="1"/>
      <c r="AO26" s="1"/>
      <c r="AP26" s="1"/>
      <c r="AQ26" s="436">
        <f>SUM(AQ6:AQ25)</f>
        <v>0</v>
      </c>
      <c r="AR26" s="436">
        <f>SUM(AR6:AR25)</f>
        <v>0</v>
      </c>
    </row>
    <row r="27" spans="2:45" x14ac:dyDescent="0.2">
      <c r="B27" s="97"/>
      <c r="C27" s="464" t="s">
        <v>37</v>
      </c>
      <c r="D27" s="503"/>
      <c r="E27" s="503"/>
      <c r="F27" s="29"/>
      <c r="G27" s="30"/>
    </row>
    <row r="28" spans="2:45" x14ac:dyDescent="0.2">
      <c r="B28" s="97" t="s">
        <v>177</v>
      </c>
      <c r="C28" s="426">
        <f>COUNTIF($B$4:$B$11,"=D")</f>
        <v>7</v>
      </c>
      <c r="D28" s="1"/>
      <c r="F28" s="29"/>
      <c r="G28" s="30"/>
      <c r="K28" s="719" t="s">
        <v>41</v>
      </c>
      <c r="L28" s="720"/>
      <c r="M28" s="720"/>
      <c r="N28" s="720"/>
      <c r="O28" s="720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5"/>
      <c r="AN28" s="675"/>
      <c r="AO28" s="675"/>
      <c r="AP28" s="675"/>
      <c r="AQ28" s="675"/>
      <c r="AR28" s="675"/>
      <c r="AS28" s="676"/>
    </row>
    <row r="29" spans="2:45" x14ac:dyDescent="0.2">
      <c r="B29" s="100" t="s">
        <v>42</v>
      </c>
      <c r="C29" s="426">
        <f>($E$14*5*$C$28)-($C$28*$E$16)</f>
        <v>238</v>
      </c>
      <c r="D29" s="1"/>
      <c r="F29" s="29"/>
      <c r="G29" s="30"/>
      <c r="I29"/>
      <c r="J29" s="7"/>
      <c r="K29" s="600" t="s">
        <v>43</v>
      </c>
      <c r="L29" s="601"/>
      <c r="M29" s="601"/>
      <c r="N29" s="601"/>
      <c r="O29" s="699"/>
      <c r="P29" s="601" t="s">
        <v>44</v>
      </c>
      <c r="Q29" s="601"/>
      <c r="R29" s="601"/>
      <c r="S29" s="601"/>
      <c r="T29" s="699"/>
      <c r="U29" s="601" t="s">
        <v>45</v>
      </c>
      <c r="V29" s="601"/>
      <c r="W29" s="601"/>
      <c r="X29" s="601"/>
      <c r="Y29" s="699"/>
      <c r="Z29" s="601" t="s">
        <v>46</v>
      </c>
      <c r="AA29" s="601"/>
      <c r="AB29" s="601"/>
      <c r="AC29" s="601"/>
      <c r="AD29" s="699"/>
      <c r="AE29" s="601" t="s">
        <v>47</v>
      </c>
      <c r="AF29" s="601"/>
      <c r="AG29" s="601"/>
      <c r="AH29" s="601"/>
      <c r="AI29" s="699"/>
      <c r="AJ29" s="601" t="s">
        <v>83</v>
      </c>
      <c r="AK29" s="601"/>
      <c r="AL29" s="601"/>
      <c r="AM29" s="601"/>
      <c r="AN29" s="699"/>
      <c r="AO29" s="601" t="s">
        <v>210</v>
      </c>
      <c r="AP29" s="601"/>
      <c r="AQ29" s="601"/>
      <c r="AR29" s="601"/>
      <c r="AS29" s="602"/>
    </row>
    <row r="30" spans="2:45" x14ac:dyDescent="0.2">
      <c r="B30" s="97" t="s">
        <v>48</v>
      </c>
      <c r="C30" s="426">
        <f>8*$E$15</f>
        <v>7.2</v>
      </c>
      <c r="D30" s="1"/>
      <c r="F30" s="29"/>
      <c r="G30" s="30"/>
      <c r="I30" s="600" t="s">
        <v>49</v>
      </c>
      <c r="J30" s="601"/>
      <c r="K30" s="15">
        <f t="shared" ref="K30:AS30" si="11">$E$17+(7*ROUNDDOWN((COLUMN(K$30)-COLUMN($K$30))/5,0))+MOD(COLUMN(K$30)-COLUMN($K$30),5)</f>
        <v>45516</v>
      </c>
      <c r="L30" s="15">
        <f t="shared" si="11"/>
        <v>45517</v>
      </c>
      <c r="M30" s="15">
        <f t="shared" si="11"/>
        <v>45518</v>
      </c>
      <c r="N30" s="15">
        <f t="shared" si="11"/>
        <v>45519</v>
      </c>
      <c r="O30" s="284">
        <f t="shared" si="11"/>
        <v>45520</v>
      </c>
      <c r="P30" s="291">
        <f t="shared" si="11"/>
        <v>45523</v>
      </c>
      <c r="Q30" s="15">
        <f t="shared" si="11"/>
        <v>45524</v>
      </c>
      <c r="R30" s="15">
        <f t="shared" si="11"/>
        <v>45525</v>
      </c>
      <c r="S30" s="15">
        <f t="shared" si="11"/>
        <v>45526</v>
      </c>
      <c r="T30" s="284">
        <f t="shared" si="11"/>
        <v>45527</v>
      </c>
      <c r="U30" s="291">
        <f t="shared" si="11"/>
        <v>45530</v>
      </c>
      <c r="V30" s="15">
        <f t="shared" si="11"/>
        <v>45531</v>
      </c>
      <c r="W30" s="15">
        <f t="shared" si="11"/>
        <v>45532</v>
      </c>
      <c r="X30" s="15">
        <f t="shared" si="11"/>
        <v>45533</v>
      </c>
      <c r="Y30" s="284">
        <f t="shared" si="11"/>
        <v>45534</v>
      </c>
      <c r="Z30" s="291">
        <f t="shared" si="11"/>
        <v>45537</v>
      </c>
      <c r="AA30" s="15">
        <f t="shared" si="11"/>
        <v>45538</v>
      </c>
      <c r="AB30" s="15">
        <f t="shared" si="11"/>
        <v>45539</v>
      </c>
      <c r="AC30" s="15">
        <f t="shared" si="11"/>
        <v>45540</v>
      </c>
      <c r="AD30" s="284">
        <f t="shared" si="11"/>
        <v>45541</v>
      </c>
      <c r="AE30" s="291">
        <f t="shared" si="11"/>
        <v>45544</v>
      </c>
      <c r="AF30" s="15">
        <f t="shared" si="11"/>
        <v>45545</v>
      </c>
      <c r="AG30" s="15">
        <f t="shared" si="11"/>
        <v>45546</v>
      </c>
      <c r="AH30" s="15">
        <f t="shared" si="11"/>
        <v>45547</v>
      </c>
      <c r="AI30" s="284">
        <f t="shared" si="11"/>
        <v>45548</v>
      </c>
      <c r="AJ30" s="291">
        <f t="shared" si="11"/>
        <v>45551</v>
      </c>
      <c r="AK30" s="15">
        <f t="shared" si="11"/>
        <v>45552</v>
      </c>
      <c r="AL30" s="15">
        <f t="shared" si="11"/>
        <v>45553</v>
      </c>
      <c r="AM30" s="15">
        <f t="shared" si="11"/>
        <v>45554</v>
      </c>
      <c r="AN30" s="284">
        <f t="shared" si="11"/>
        <v>45555</v>
      </c>
      <c r="AO30" s="291">
        <f t="shared" si="11"/>
        <v>45558</v>
      </c>
      <c r="AP30" s="15">
        <f t="shared" si="11"/>
        <v>45559</v>
      </c>
      <c r="AQ30" s="15">
        <f t="shared" si="11"/>
        <v>45560</v>
      </c>
      <c r="AR30" s="15">
        <f t="shared" si="11"/>
        <v>45561</v>
      </c>
      <c r="AS30" s="15">
        <f t="shared" si="11"/>
        <v>45562</v>
      </c>
    </row>
    <row r="31" spans="2:45" x14ac:dyDescent="0.2">
      <c r="B31" s="97" t="s">
        <v>50</v>
      </c>
      <c r="C31" s="426">
        <f>C29*C30</f>
        <v>1713.6000000000001</v>
      </c>
      <c r="D31" s="1"/>
      <c r="F31" s="29"/>
      <c r="G31" s="30"/>
      <c r="I31" s="593" t="str">
        <f t="shared" ref="I31:I37" si="12">$D4</f>
        <v>Andréa</v>
      </c>
      <c r="J31" s="683"/>
      <c r="K31" s="467"/>
      <c r="L31" s="465"/>
      <c r="M31" s="465"/>
      <c r="N31" s="10"/>
      <c r="O31" s="465"/>
      <c r="P31" s="468"/>
      <c r="Q31" s="465"/>
      <c r="R31" s="465"/>
      <c r="S31" s="465"/>
      <c r="T31" s="469"/>
      <c r="U31" s="470"/>
      <c r="V31" s="465"/>
      <c r="W31" s="465"/>
      <c r="X31" s="465"/>
      <c r="Y31" s="471"/>
      <c r="Z31" s="468"/>
      <c r="AA31" s="472"/>
      <c r="AB31" s="473"/>
      <c r="AC31" s="472"/>
      <c r="AD31" s="473"/>
      <c r="AE31" s="10"/>
      <c r="AF31" s="10"/>
      <c r="AG31" s="10"/>
      <c r="AH31" s="10"/>
      <c r="AI31" s="10"/>
      <c r="AJ31" s="474"/>
      <c r="AK31" s="472"/>
      <c r="AL31" s="473"/>
      <c r="AM31" s="472"/>
      <c r="AN31" s="473"/>
      <c r="AO31" s="474"/>
      <c r="AP31" s="473"/>
      <c r="AQ31" s="467"/>
      <c r="AR31" s="467"/>
      <c r="AS31" s="467"/>
    </row>
    <row r="32" spans="2:45" x14ac:dyDescent="0.2">
      <c r="B32" s="97" t="s">
        <v>51</v>
      </c>
      <c r="C32" s="426">
        <f>$E$14*$E$23*C28</f>
        <v>98</v>
      </c>
      <c r="D32" s="1"/>
      <c r="F32" s="29"/>
      <c r="G32" s="30"/>
      <c r="I32" s="593" t="str">
        <f t="shared" si="12"/>
        <v>André</v>
      </c>
      <c r="J32" s="683"/>
      <c r="K32" s="466"/>
      <c r="L32" s="472"/>
      <c r="M32" s="466"/>
      <c r="N32" s="10"/>
      <c r="O32" s="472"/>
      <c r="P32" s="468"/>
      <c r="Q32" s="465"/>
      <c r="R32" s="465"/>
      <c r="S32" s="465"/>
      <c r="T32" s="469"/>
      <c r="U32" s="470"/>
      <c r="V32" s="465"/>
      <c r="W32" s="465"/>
      <c r="X32" s="52"/>
      <c r="Y32" s="55"/>
      <c r="Z32" s="475"/>
      <c r="AA32" s="52"/>
      <c r="AB32" s="52"/>
      <c r="AC32" s="52"/>
      <c r="AD32" s="476"/>
      <c r="AE32" s="474"/>
      <c r="AF32" s="472"/>
      <c r="AG32" s="473"/>
      <c r="AH32" s="472"/>
      <c r="AI32" s="477"/>
      <c r="AJ32" s="474"/>
      <c r="AK32" s="473"/>
      <c r="AL32" s="473"/>
      <c r="AM32" s="473"/>
      <c r="AN32" s="477"/>
      <c r="AO32" s="478"/>
      <c r="AP32" s="473"/>
      <c r="AQ32" s="467"/>
      <c r="AR32" s="467"/>
      <c r="AS32" s="467"/>
    </row>
    <row r="33" spans="1:45" x14ac:dyDescent="0.2">
      <c r="B33" s="97" t="s">
        <v>1</v>
      </c>
      <c r="C33" s="426">
        <f>$E$14*$E$24*COUNTIF($C$4:$C$11,"=Y")</f>
        <v>98</v>
      </c>
      <c r="D33" s="1"/>
      <c r="F33" s="29"/>
      <c r="G33" s="30"/>
      <c r="I33" s="593" t="str">
        <f t="shared" si="12"/>
        <v>Marcela</v>
      </c>
      <c r="J33" s="683"/>
      <c r="K33" s="466"/>
      <c r="L33" s="466"/>
      <c r="M33" s="479"/>
      <c r="N33" s="10"/>
      <c r="O33" s="465"/>
      <c r="P33" s="468"/>
      <c r="Q33" s="472"/>
      <c r="R33" s="465"/>
      <c r="S33" s="472"/>
      <c r="T33" s="469"/>
      <c r="U33" s="470"/>
      <c r="V33" s="472"/>
      <c r="W33" s="465"/>
      <c r="X33" s="472"/>
      <c r="Y33" s="471"/>
      <c r="Z33" s="468"/>
      <c r="AA33" s="465"/>
      <c r="AB33" s="465"/>
      <c r="AC33" s="465"/>
      <c r="AD33" s="469"/>
      <c r="AE33" s="465"/>
      <c r="AF33" s="465"/>
      <c r="AG33" s="465"/>
      <c r="AH33" s="465"/>
      <c r="AI33" s="465"/>
      <c r="AJ33" s="468"/>
      <c r="AK33" s="465"/>
      <c r="AL33" s="465"/>
      <c r="AM33" s="465"/>
      <c r="AN33" s="469"/>
      <c r="AO33" s="470"/>
      <c r="AP33" s="473"/>
      <c r="AQ33" s="467"/>
      <c r="AR33" s="467"/>
      <c r="AS33" s="467"/>
    </row>
    <row r="34" spans="1:45" x14ac:dyDescent="0.2">
      <c r="B34" s="97" t="s">
        <v>52</v>
      </c>
      <c r="C34" s="426">
        <f>(0.25*$C$29)+($C$28*$E$14)+$C$28</f>
        <v>115.5</v>
      </c>
      <c r="D34" s="1"/>
      <c r="F34" s="29"/>
      <c r="G34" s="30"/>
      <c r="I34" s="593" t="str">
        <f t="shared" si="12"/>
        <v>Josiel</v>
      </c>
      <c r="J34" s="683"/>
      <c r="K34" s="10"/>
      <c r="L34" s="10"/>
      <c r="M34" s="10"/>
      <c r="N34" s="10"/>
      <c r="O34" s="10"/>
      <c r="P34" s="480"/>
      <c r="Q34" s="10"/>
      <c r="R34" s="10"/>
      <c r="S34" s="10"/>
      <c r="T34" s="481"/>
      <c r="U34" s="482"/>
      <c r="V34" s="10"/>
      <c r="W34" s="10"/>
      <c r="X34" s="10"/>
      <c r="Y34" s="483"/>
      <c r="Z34" s="467"/>
      <c r="AA34" s="467"/>
      <c r="AB34" s="484"/>
      <c r="AC34" s="472"/>
      <c r="AD34" s="485"/>
      <c r="AE34" s="486"/>
      <c r="AF34" s="484"/>
      <c r="AG34" s="484"/>
      <c r="AH34" s="484"/>
      <c r="AI34" s="485"/>
      <c r="AJ34" s="484"/>
      <c r="AK34" s="487"/>
      <c r="AL34" s="466"/>
      <c r="AM34" s="466"/>
      <c r="AN34" s="488"/>
      <c r="AO34" s="489"/>
      <c r="AP34" s="484"/>
      <c r="AQ34" s="467"/>
      <c r="AR34" s="467"/>
      <c r="AS34" s="467"/>
    </row>
    <row r="35" spans="1:45" x14ac:dyDescent="0.2">
      <c r="B35" s="97" t="s">
        <v>129</v>
      </c>
      <c r="C35" s="426">
        <f>(4*$E$14*$C$28)+($C$28*($E$14/2))</f>
        <v>220.5</v>
      </c>
      <c r="D35" s="1"/>
      <c r="F35" s="29"/>
      <c r="G35" s="30"/>
      <c r="I35" s="593" t="str">
        <f t="shared" si="12"/>
        <v>Fernando</v>
      </c>
      <c r="J35" s="683"/>
      <c r="K35" s="52"/>
      <c r="L35" s="472"/>
      <c r="M35" s="52"/>
      <c r="N35" s="10"/>
      <c r="O35" s="472"/>
      <c r="P35" s="475"/>
      <c r="Q35" s="52"/>
      <c r="R35" s="52"/>
      <c r="S35" s="52"/>
      <c r="T35" s="476"/>
      <c r="U35" s="474"/>
      <c r="V35" s="52"/>
      <c r="W35" s="52"/>
      <c r="X35" s="52"/>
      <c r="Y35" s="55"/>
      <c r="Z35" s="475"/>
      <c r="AA35" s="52"/>
      <c r="AB35" s="52"/>
      <c r="AC35" s="52"/>
      <c r="AD35" s="476"/>
      <c r="AE35" s="52"/>
      <c r="AF35" s="472"/>
      <c r="AG35" s="52"/>
      <c r="AH35" s="472"/>
      <c r="AI35" s="52"/>
      <c r="AJ35" s="475"/>
      <c r="AK35" s="467"/>
      <c r="AL35" s="52"/>
      <c r="AM35" s="467"/>
      <c r="AN35" s="476"/>
      <c r="AO35" s="490"/>
      <c r="AP35" s="467"/>
      <c r="AQ35" s="467"/>
      <c r="AR35" s="467"/>
      <c r="AS35" s="467"/>
    </row>
    <row r="36" spans="1:45" x14ac:dyDescent="0.2">
      <c r="B36" s="97" t="s">
        <v>53</v>
      </c>
      <c r="C36" s="426">
        <f>C31-C32-C33-C34-C35</f>
        <v>1181.6000000000001</v>
      </c>
      <c r="D36" s="1"/>
      <c r="F36" s="29"/>
      <c r="G36" s="30"/>
      <c r="I36" s="593" t="str">
        <f t="shared" si="12"/>
        <v>Elias</v>
      </c>
      <c r="J36" s="683"/>
      <c r="K36" s="52"/>
      <c r="L36" s="52"/>
      <c r="M36" s="52"/>
      <c r="N36" s="483"/>
      <c r="O36" s="52"/>
      <c r="P36" s="475"/>
      <c r="Q36" s="472"/>
      <c r="R36" s="52"/>
      <c r="S36" s="472"/>
      <c r="T36" s="476"/>
      <c r="U36" s="473"/>
      <c r="V36" s="473"/>
      <c r="W36" s="473"/>
      <c r="X36" s="473"/>
      <c r="Y36" s="491"/>
      <c r="Z36" s="492"/>
      <c r="AA36" s="473"/>
      <c r="AB36" s="473"/>
      <c r="AC36" s="473"/>
      <c r="AD36" s="491"/>
      <c r="AE36" s="492"/>
      <c r="AF36" s="473"/>
      <c r="AG36" s="473"/>
      <c r="AH36" s="473"/>
      <c r="AI36" s="491"/>
      <c r="AJ36" s="492"/>
      <c r="AK36" s="473"/>
      <c r="AL36" s="473"/>
      <c r="AM36" s="473"/>
      <c r="AN36" s="491"/>
      <c r="AO36" s="492"/>
      <c r="AP36" s="473"/>
      <c r="AQ36" s="467"/>
      <c r="AR36" s="467"/>
      <c r="AS36" s="467"/>
    </row>
    <row r="37" spans="1:45" x14ac:dyDescent="0.2">
      <c r="B37" s="101" t="s">
        <v>130</v>
      </c>
      <c r="C37" s="119">
        <v>1</v>
      </c>
      <c r="D37" s="504"/>
      <c r="E37" s="505"/>
      <c r="F37" s="29"/>
      <c r="G37" s="30"/>
      <c r="I37" s="593" t="str">
        <f t="shared" si="12"/>
        <v>Ricardo</v>
      </c>
      <c r="J37" s="683"/>
      <c r="K37" s="466"/>
      <c r="L37" s="466"/>
      <c r="M37" s="466"/>
      <c r="N37" s="483"/>
      <c r="O37" s="4"/>
      <c r="P37" s="493"/>
      <c r="Q37" s="4"/>
      <c r="R37" s="4"/>
      <c r="S37" s="4"/>
      <c r="T37" s="494"/>
      <c r="U37" s="146"/>
      <c r="V37" s="472"/>
      <c r="W37" s="4"/>
      <c r="X37" s="472"/>
      <c r="Y37" s="495"/>
      <c r="Z37" s="467"/>
      <c r="AA37" s="10"/>
      <c r="AB37" s="10"/>
      <c r="AC37" s="10"/>
      <c r="AD37" s="481"/>
      <c r="AE37" s="10"/>
      <c r="AF37" s="10"/>
      <c r="AG37" s="10"/>
      <c r="AH37" s="10"/>
      <c r="AI37" s="10"/>
      <c r="AJ37" s="480"/>
      <c r="AK37" s="484"/>
      <c r="AL37" s="10"/>
      <c r="AM37" s="484"/>
      <c r="AN37" s="481"/>
      <c r="AO37" s="482"/>
      <c r="AP37" s="467"/>
      <c r="AQ37" s="467"/>
      <c r="AR37" s="467"/>
      <c r="AS37" s="467"/>
    </row>
    <row r="38" spans="1:45" ht="17" thickBot="1" x14ac:dyDescent="0.25">
      <c r="B38" s="122" t="s">
        <v>131</v>
      </c>
      <c r="C38" s="506">
        <f>IF(C29=0,0,C36/C29)</f>
        <v>4.9647058823529422</v>
      </c>
      <c r="D38" s="504"/>
      <c r="E38" s="504"/>
      <c r="F38" s="29"/>
      <c r="G38" s="30"/>
      <c r="I38"/>
      <c r="J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45" x14ac:dyDescent="0.2">
      <c r="B39" s="7"/>
      <c r="D39" s="504"/>
      <c r="E39" s="504"/>
      <c r="F39" s="29"/>
      <c r="G39" s="30"/>
    </row>
    <row r="40" spans="1:45" x14ac:dyDescent="0.2">
      <c r="F40" s="29"/>
      <c r="G40" s="30"/>
      <c r="K40" s="674" t="s">
        <v>96</v>
      </c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675"/>
      <c r="AO40" s="675"/>
      <c r="AP40" s="675"/>
      <c r="AQ40" s="675"/>
      <c r="AR40" s="675"/>
      <c r="AS40" s="676"/>
    </row>
    <row r="41" spans="1:45" x14ac:dyDescent="0.2">
      <c r="F41" s="29"/>
      <c r="G41" s="30"/>
      <c r="I41"/>
      <c r="J41" s="7"/>
      <c r="K41" s="600" t="s">
        <v>43</v>
      </c>
      <c r="L41" s="601"/>
      <c r="M41" s="601"/>
      <c r="N41" s="601"/>
      <c r="O41" s="602"/>
      <c r="P41" s="721" t="s">
        <v>44</v>
      </c>
      <c r="Q41" s="601"/>
      <c r="R41" s="601"/>
      <c r="S41" s="601"/>
      <c r="T41" s="699"/>
      <c r="U41" s="601" t="s">
        <v>45</v>
      </c>
      <c r="V41" s="601"/>
      <c r="W41" s="601"/>
      <c r="X41" s="601"/>
      <c r="Y41" s="601"/>
      <c r="Z41" s="721" t="s">
        <v>46</v>
      </c>
      <c r="AA41" s="601"/>
      <c r="AB41" s="601"/>
      <c r="AC41" s="601"/>
      <c r="AD41" s="699"/>
      <c r="AE41" s="600" t="s">
        <v>47</v>
      </c>
      <c r="AF41" s="601"/>
      <c r="AG41" s="601"/>
      <c r="AH41" s="601"/>
      <c r="AI41" s="602"/>
      <c r="AJ41" s="721" t="s">
        <v>83</v>
      </c>
      <c r="AK41" s="601"/>
      <c r="AL41" s="601"/>
      <c r="AM41" s="601"/>
      <c r="AN41" s="699"/>
      <c r="AO41" s="601" t="s">
        <v>210</v>
      </c>
      <c r="AP41" s="601"/>
      <c r="AQ41" s="601"/>
      <c r="AR41" s="601"/>
      <c r="AS41" s="602"/>
    </row>
    <row r="42" spans="1:45" x14ac:dyDescent="0.2">
      <c r="F42" s="29"/>
      <c r="G42" s="30"/>
      <c r="I42" s="600" t="s">
        <v>49</v>
      </c>
      <c r="J42" s="602"/>
      <c r="K42" s="15">
        <f t="shared" ref="K42:AS42" si="13">$E$18+(7*ROUNDDOWN((COLUMN(K$30)-COLUMN($K$30))/5,0))+MOD(COLUMN(K$30)-COLUMN($K$30),5)</f>
        <v>45565</v>
      </c>
      <c r="L42" s="15">
        <f t="shared" si="13"/>
        <v>45566</v>
      </c>
      <c r="M42" s="15">
        <f t="shared" si="13"/>
        <v>45567</v>
      </c>
      <c r="N42" s="15">
        <f t="shared" si="13"/>
        <v>45568</v>
      </c>
      <c r="O42" s="15">
        <f t="shared" si="13"/>
        <v>45569</v>
      </c>
      <c r="P42" s="354">
        <f t="shared" si="13"/>
        <v>45572</v>
      </c>
      <c r="Q42" s="15">
        <f t="shared" si="13"/>
        <v>45573</v>
      </c>
      <c r="R42" s="15">
        <f t="shared" si="13"/>
        <v>45574</v>
      </c>
      <c r="S42" s="15">
        <f t="shared" si="13"/>
        <v>45575</v>
      </c>
      <c r="T42" s="284">
        <f t="shared" si="13"/>
        <v>45576</v>
      </c>
      <c r="U42" s="291">
        <f t="shared" si="13"/>
        <v>45579</v>
      </c>
      <c r="V42" s="15">
        <f t="shared" si="13"/>
        <v>45580</v>
      </c>
      <c r="W42" s="15">
        <f t="shared" si="13"/>
        <v>45581</v>
      </c>
      <c r="X42" s="15">
        <f t="shared" si="13"/>
        <v>45582</v>
      </c>
      <c r="Y42" s="362">
        <f t="shared" si="13"/>
        <v>45583</v>
      </c>
      <c r="Z42" s="354">
        <f t="shared" si="13"/>
        <v>45586</v>
      </c>
      <c r="AA42" s="15">
        <f t="shared" si="13"/>
        <v>45587</v>
      </c>
      <c r="AB42" s="15">
        <f t="shared" si="13"/>
        <v>45588</v>
      </c>
      <c r="AC42" s="15">
        <f t="shared" si="13"/>
        <v>45589</v>
      </c>
      <c r="AD42" s="284">
        <f t="shared" si="13"/>
        <v>45590</v>
      </c>
      <c r="AE42" s="15">
        <f t="shared" si="13"/>
        <v>45593</v>
      </c>
      <c r="AF42" s="15">
        <f t="shared" si="13"/>
        <v>45594</v>
      </c>
      <c r="AG42" s="15">
        <f t="shared" si="13"/>
        <v>45595</v>
      </c>
      <c r="AH42" s="15">
        <f t="shared" si="13"/>
        <v>45596</v>
      </c>
      <c r="AI42" s="15">
        <f t="shared" si="13"/>
        <v>45597</v>
      </c>
      <c r="AJ42" s="354">
        <f t="shared" si="13"/>
        <v>45600</v>
      </c>
      <c r="AK42" s="15">
        <f t="shared" si="13"/>
        <v>45601</v>
      </c>
      <c r="AL42" s="15">
        <f t="shared" si="13"/>
        <v>45602</v>
      </c>
      <c r="AM42" s="15">
        <f t="shared" si="13"/>
        <v>45603</v>
      </c>
      <c r="AN42" s="284">
        <f t="shared" si="13"/>
        <v>45604</v>
      </c>
      <c r="AO42" s="291">
        <f t="shared" si="13"/>
        <v>45607</v>
      </c>
      <c r="AP42" s="15">
        <f t="shared" si="13"/>
        <v>45608</v>
      </c>
      <c r="AQ42" s="15">
        <f t="shared" si="13"/>
        <v>45609</v>
      </c>
      <c r="AR42" s="15">
        <f t="shared" si="13"/>
        <v>45610</v>
      </c>
      <c r="AS42" s="15">
        <f t="shared" si="13"/>
        <v>45611</v>
      </c>
    </row>
    <row r="43" spans="1:45" x14ac:dyDescent="0.2">
      <c r="F43" s="29"/>
      <c r="G43" s="30"/>
      <c r="I43" s="722" t="str">
        <f t="shared" ref="I43:I49" si="14">$D4</f>
        <v>Andréa</v>
      </c>
      <c r="J43" s="722"/>
      <c r="K43" s="465"/>
      <c r="L43" s="465"/>
      <c r="M43" s="465"/>
      <c r="N43" s="10"/>
      <c r="O43" s="465"/>
      <c r="P43" s="468"/>
      <c r="Q43" s="465"/>
      <c r="R43" s="465"/>
      <c r="S43" s="465"/>
      <c r="T43" s="469"/>
      <c r="U43" s="470"/>
      <c r="V43" s="465"/>
      <c r="W43" s="465"/>
      <c r="X43" s="465"/>
      <c r="Y43" s="471"/>
      <c r="Z43" s="468"/>
      <c r="AA43" s="472"/>
      <c r="AB43" s="465"/>
      <c r="AC43" s="472"/>
      <c r="AD43" s="465"/>
      <c r="AE43" s="10"/>
      <c r="AF43" s="10"/>
      <c r="AG43" s="10"/>
      <c r="AH43" s="10"/>
      <c r="AI43" s="10"/>
      <c r="AJ43" s="475"/>
      <c r="AK43" s="472"/>
      <c r="AL43" s="52"/>
      <c r="AM43" s="472"/>
      <c r="AN43" s="476"/>
      <c r="AO43" s="57"/>
      <c r="AP43" s="496"/>
      <c r="AQ43" s="496"/>
      <c r="AR43" s="496"/>
      <c r="AS43" s="52"/>
    </row>
    <row r="44" spans="1:45" x14ac:dyDescent="0.2">
      <c r="F44" s="29"/>
      <c r="G44" s="30"/>
      <c r="I44" s="593" t="str">
        <f t="shared" si="14"/>
        <v>André</v>
      </c>
      <c r="J44" s="594"/>
      <c r="K44" s="466"/>
      <c r="L44" s="472"/>
      <c r="M44" s="466"/>
      <c r="N44" s="10"/>
      <c r="O44" s="472"/>
      <c r="P44" s="468"/>
      <c r="Q44" s="465"/>
      <c r="R44" s="465"/>
      <c r="S44" s="465"/>
      <c r="T44" s="469"/>
      <c r="U44" s="470"/>
      <c r="V44" s="465"/>
      <c r="W44" s="465"/>
      <c r="X44" s="52"/>
      <c r="Y44" s="55"/>
      <c r="Z44" s="475"/>
      <c r="AA44" s="52"/>
      <c r="AB44" s="52"/>
      <c r="AC44" s="52"/>
      <c r="AD44" s="476"/>
      <c r="AE44" s="52"/>
      <c r="AF44" s="472"/>
      <c r="AG44" s="52"/>
      <c r="AH44" s="472"/>
      <c r="AI44" s="52"/>
      <c r="AJ44" s="475"/>
      <c r="AK44" s="52"/>
      <c r="AL44" s="52"/>
      <c r="AM44" s="52"/>
      <c r="AN44" s="476"/>
      <c r="AO44" s="490"/>
      <c r="AP44" s="496"/>
      <c r="AQ44" s="496"/>
      <c r="AR44" s="496"/>
      <c r="AS44" s="472"/>
    </row>
    <row r="45" spans="1:45" x14ac:dyDescent="0.2">
      <c r="F45" s="29"/>
      <c r="G45" s="30"/>
      <c r="I45" s="593" t="str">
        <f t="shared" si="14"/>
        <v>Marcela</v>
      </c>
      <c r="J45" s="594"/>
      <c r="K45" s="466"/>
      <c r="L45" s="466"/>
      <c r="M45" s="465"/>
      <c r="N45" s="10"/>
      <c r="O45" s="465"/>
      <c r="P45" s="468"/>
      <c r="Q45" s="472"/>
      <c r="R45" s="465"/>
      <c r="S45" s="472"/>
      <c r="T45" s="469"/>
      <c r="U45" s="470"/>
      <c r="V45" s="472"/>
      <c r="W45" s="465"/>
      <c r="X45" s="472"/>
      <c r="Y45" s="471"/>
      <c r="Z45" s="468"/>
      <c r="AA45" s="465"/>
      <c r="AB45" s="465"/>
      <c r="AC45" s="465"/>
      <c r="AD45" s="469"/>
      <c r="AE45" s="465"/>
      <c r="AF45" s="465"/>
      <c r="AG45" s="465"/>
      <c r="AH45" s="465"/>
      <c r="AI45" s="465"/>
      <c r="AJ45" s="468"/>
      <c r="AK45" s="465"/>
      <c r="AL45" s="465"/>
      <c r="AM45" s="465"/>
      <c r="AN45" s="469"/>
      <c r="AO45" s="470"/>
      <c r="AP45" s="496"/>
      <c r="AQ45" s="496"/>
      <c r="AR45" s="496"/>
      <c r="AS45" s="465"/>
    </row>
    <row r="46" spans="1:45" x14ac:dyDescent="0.2">
      <c r="F46" s="29"/>
      <c r="G46" s="30"/>
      <c r="I46" s="593" t="str">
        <f t="shared" si="14"/>
        <v>Josiel</v>
      </c>
      <c r="J46" s="594"/>
      <c r="K46" s="10"/>
      <c r="L46" s="10"/>
      <c r="M46" s="10"/>
      <c r="N46" s="10"/>
      <c r="O46" s="10"/>
      <c r="P46" s="480"/>
      <c r="Q46" s="10"/>
      <c r="R46" s="10"/>
      <c r="S46" s="10"/>
      <c r="T46" s="481"/>
      <c r="U46" s="482"/>
      <c r="V46" s="10"/>
      <c r="W46" s="10"/>
      <c r="X46" s="10"/>
      <c r="Y46" s="483"/>
      <c r="Z46" s="497"/>
      <c r="AA46" s="472"/>
      <c r="AB46" s="498"/>
      <c r="AC46" s="472"/>
      <c r="AD46" s="499"/>
      <c r="AE46" s="498"/>
      <c r="AF46" s="500"/>
      <c r="AG46" s="466"/>
      <c r="AH46" s="466"/>
      <c r="AI46" s="466"/>
      <c r="AJ46" s="501"/>
      <c r="AK46" s="466"/>
      <c r="AL46" s="466"/>
      <c r="AM46" s="466"/>
      <c r="AN46" s="488"/>
      <c r="AO46" s="489"/>
      <c r="AP46" s="496"/>
      <c r="AQ46" s="496"/>
      <c r="AR46" s="496"/>
      <c r="AS46" s="466"/>
    </row>
    <row r="47" spans="1:45" x14ac:dyDescent="0.2">
      <c r="F47" s="29"/>
      <c r="G47" s="30"/>
      <c r="I47" s="593" t="str">
        <f t="shared" si="14"/>
        <v>Fernando</v>
      </c>
      <c r="J47" s="683"/>
      <c r="K47" s="52"/>
      <c r="L47" s="472"/>
      <c r="M47" s="52"/>
      <c r="N47" s="10"/>
      <c r="O47" s="472"/>
      <c r="P47" s="475"/>
      <c r="Q47" s="52"/>
      <c r="R47" s="52"/>
      <c r="S47" s="52"/>
      <c r="T47" s="476"/>
      <c r="U47" s="57"/>
      <c r="V47" s="52"/>
      <c r="W47" s="52"/>
      <c r="X47" s="52"/>
      <c r="Y47" s="55"/>
      <c r="Z47" s="475"/>
      <c r="AA47" s="52"/>
      <c r="AB47" s="52"/>
      <c r="AC47" s="52"/>
      <c r="AD47" s="476"/>
      <c r="AE47" s="52"/>
      <c r="AF47" s="472"/>
      <c r="AG47" s="52"/>
      <c r="AH47" s="472"/>
      <c r="AI47" s="52"/>
      <c r="AJ47" s="475"/>
      <c r="AK47" s="52"/>
      <c r="AL47" s="52"/>
      <c r="AM47" s="52"/>
      <c r="AN47" s="476"/>
      <c r="AO47" s="490"/>
      <c r="AP47" s="496"/>
      <c r="AQ47" s="496"/>
      <c r="AR47" s="496"/>
      <c r="AS47" s="472"/>
    </row>
    <row r="48" spans="1:45" ht="16" customHeight="1" x14ac:dyDescent="0.2">
      <c r="A48" s="8"/>
      <c r="F48" s="29"/>
      <c r="G48" s="30"/>
      <c r="I48" s="593" t="str">
        <f t="shared" si="14"/>
        <v>Elias</v>
      </c>
      <c r="J48" s="683"/>
      <c r="K48" s="52"/>
      <c r="L48" s="52"/>
      <c r="M48" s="52"/>
      <c r="N48" s="483"/>
      <c r="O48" s="52"/>
      <c r="P48" s="475"/>
      <c r="Q48" s="472"/>
      <c r="R48" s="52"/>
      <c r="S48" s="472"/>
      <c r="T48" s="476"/>
      <c r="U48" s="57"/>
      <c r="V48" s="52"/>
      <c r="W48" s="52"/>
      <c r="X48" s="52"/>
      <c r="Y48" s="55"/>
      <c r="Z48" s="475"/>
      <c r="AA48" s="52"/>
      <c r="AB48" s="52"/>
      <c r="AC48" s="52"/>
      <c r="AD48" s="476"/>
      <c r="AE48" s="52"/>
      <c r="AF48" s="52"/>
      <c r="AG48" s="55"/>
      <c r="AH48" s="52"/>
      <c r="AI48" s="52"/>
      <c r="AJ48" s="475"/>
      <c r="AK48" s="52"/>
      <c r="AL48" s="52"/>
      <c r="AM48" s="52"/>
      <c r="AN48" s="476"/>
      <c r="AO48" s="57"/>
      <c r="AP48" s="496"/>
      <c r="AQ48" s="496"/>
      <c r="AR48" s="496"/>
      <c r="AS48" s="52"/>
    </row>
    <row r="49" spans="1:45" x14ac:dyDescent="0.2">
      <c r="A49" s="8"/>
      <c r="F49" s="31"/>
      <c r="G49" s="32"/>
      <c r="I49" s="593" t="str">
        <f t="shared" si="14"/>
        <v>Ricardo</v>
      </c>
      <c r="J49" s="683"/>
      <c r="K49" s="466"/>
      <c r="L49" s="466"/>
      <c r="M49" s="466"/>
      <c r="N49" s="483"/>
      <c r="O49" s="4"/>
      <c r="P49" s="493"/>
      <c r="Q49" s="4"/>
      <c r="R49" s="4"/>
      <c r="S49" s="4"/>
      <c r="T49" s="494"/>
      <c r="U49" s="146"/>
      <c r="V49" s="472"/>
      <c r="W49" s="4"/>
      <c r="X49" s="472"/>
      <c r="Y49" s="495"/>
      <c r="Z49" s="493"/>
      <c r="AA49" s="4"/>
      <c r="AB49" s="10"/>
      <c r="AC49" s="10"/>
      <c r="AD49" s="481"/>
      <c r="AE49" s="10"/>
      <c r="AF49" s="10"/>
      <c r="AG49" s="10"/>
      <c r="AH49" s="10"/>
      <c r="AI49" s="10"/>
      <c r="AJ49" s="480"/>
      <c r="AK49" s="472"/>
      <c r="AL49" s="10"/>
      <c r="AM49" s="472"/>
      <c r="AN49" s="481"/>
      <c r="AO49" s="482"/>
      <c r="AP49" s="496"/>
      <c r="AQ49" s="496"/>
      <c r="AR49" s="496"/>
      <c r="AS49" s="10"/>
    </row>
    <row r="50" spans="1:45" ht="17" thickBot="1" x14ac:dyDescent="0.25">
      <c r="A50" s="8"/>
      <c r="F50" s="29"/>
      <c r="G50" s="30"/>
      <c r="T50"/>
      <c r="U50"/>
      <c r="V50"/>
      <c r="W50"/>
      <c r="Y50"/>
      <c r="Z50"/>
      <c r="AA50"/>
      <c r="AB50"/>
      <c r="AC50"/>
      <c r="AD50"/>
      <c r="AE50"/>
      <c r="AF50"/>
      <c r="AG50"/>
    </row>
    <row r="51" spans="1:45" x14ac:dyDescent="0.2">
      <c r="F51" s="29"/>
      <c r="G51" s="30"/>
      <c r="K51" s="186" t="str">
        <f>AZ6</f>
        <v>Eng</v>
      </c>
      <c r="L51" s="187" cm="1">
        <f t="array" ref="L51:L55">SUMIFS(AA6:AA25, R6:R25, AZ6:AZ10)</f>
        <v>0</v>
      </c>
      <c r="M51" s="183">
        <f>IF($L$56=0,0,L51/$L$56)</f>
        <v>0</v>
      </c>
      <c r="O51" s="271" t="s">
        <v>26</v>
      </c>
      <c r="P51" s="272">
        <f>IF((L51+L52+L55)=0,0,(L51+L55)/(L51+L52+L55))</f>
        <v>0</v>
      </c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45" ht="17" thickBot="1" x14ac:dyDescent="0.25">
      <c r="F52" s="33"/>
      <c r="G52" s="30"/>
      <c r="H52" s="1"/>
      <c r="K52" s="188" t="str">
        <f>AZ7</f>
        <v>Prod</v>
      </c>
      <c r="L52" s="189">
        <v>0</v>
      </c>
      <c r="M52" s="191">
        <f t="shared" ref="M52:M55" si="15">IF($L$56=0,0,L52/$L$56)</f>
        <v>0</v>
      </c>
      <c r="O52" s="273" t="s">
        <v>149</v>
      </c>
      <c r="P52" s="274">
        <f>IF((L51+L52+L55)=0,0,L52/(L51+L52+L55))</f>
        <v>0</v>
      </c>
      <c r="AB52"/>
      <c r="AE52"/>
      <c r="AF52"/>
      <c r="AG52"/>
    </row>
    <row r="53" spans="1:45" x14ac:dyDescent="0.2">
      <c r="F53" s="33"/>
      <c r="G53" s="30"/>
      <c r="I53"/>
      <c r="K53" s="188" t="str">
        <f>AZ8</f>
        <v>Day-by-Day</v>
      </c>
      <c r="L53" s="189">
        <v>0</v>
      </c>
      <c r="M53" s="191">
        <f t="shared" si="15"/>
        <v>0</v>
      </c>
      <c r="O53"/>
      <c r="P53"/>
      <c r="Q53"/>
      <c r="S53"/>
      <c r="T53"/>
      <c r="U53"/>
      <c r="V53"/>
      <c r="W53"/>
      <c r="Y53"/>
      <c r="Z53"/>
      <c r="AA53"/>
      <c r="AC53"/>
      <c r="AD53"/>
      <c r="AE53"/>
      <c r="AF53"/>
      <c r="AG53"/>
    </row>
    <row r="54" spans="1:45" x14ac:dyDescent="0.2">
      <c r="F54" s="33"/>
      <c r="G54" s="30"/>
      <c r="I54"/>
      <c r="J54" s="7"/>
      <c r="K54" s="184" t="str">
        <f>AZ9</f>
        <v>Out</v>
      </c>
      <c r="L54" s="189">
        <v>0</v>
      </c>
      <c r="M54" s="192">
        <f t="shared" si="15"/>
        <v>0</v>
      </c>
      <c r="N54"/>
      <c r="O54"/>
      <c r="P54"/>
      <c r="Q54"/>
      <c r="S54"/>
      <c r="T54"/>
      <c r="U54"/>
      <c r="V54"/>
      <c r="W54"/>
      <c r="Y54"/>
      <c r="Z54"/>
      <c r="AA54"/>
      <c r="AB54"/>
      <c r="AC54"/>
      <c r="AD54"/>
      <c r="AE54"/>
      <c r="AF54"/>
      <c r="AG54"/>
    </row>
    <row r="55" spans="1:45" ht="17" thickBot="1" x14ac:dyDescent="0.25">
      <c r="F55" s="33"/>
      <c r="G55" s="30"/>
      <c r="I55"/>
      <c r="J55" s="7"/>
      <c r="K55" s="190" t="str">
        <f>AZ10</f>
        <v>Bug</v>
      </c>
      <c r="L55" s="193">
        <v>0</v>
      </c>
      <c r="M55" s="185">
        <f t="shared" si="15"/>
        <v>0</v>
      </c>
      <c r="N55"/>
      <c r="R55"/>
      <c r="S55"/>
      <c r="T55"/>
      <c r="U55"/>
      <c r="V55"/>
      <c r="W55"/>
      <c r="Y55"/>
      <c r="Z55"/>
      <c r="AA55"/>
      <c r="AB55"/>
      <c r="AC55"/>
      <c r="AD55"/>
      <c r="AE55"/>
      <c r="AF55"/>
      <c r="AG55"/>
    </row>
    <row r="56" spans="1:45" x14ac:dyDescent="0.2">
      <c r="F56" s="33"/>
      <c r="G56" s="30"/>
      <c r="I56"/>
      <c r="J56" s="7"/>
      <c r="K56"/>
      <c r="L56" s="231">
        <f>SUM(_xlfn.ANCHORARRAY(L51))</f>
        <v>0</v>
      </c>
      <c r="M56"/>
      <c r="N56"/>
      <c r="R56"/>
      <c r="S56"/>
      <c r="T56"/>
      <c r="U56"/>
      <c r="V56"/>
      <c r="W56"/>
      <c r="Y56"/>
      <c r="Z56"/>
      <c r="AA56"/>
      <c r="AB56"/>
      <c r="AC56"/>
      <c r="AD56"/>
      <c r="AE56"/>
      <c r="AF56"/>
      <c r="AG56"/>
    </row>
    <row r="57" spans="1:45" x14ac:dyDescent="0.2">
      <c r="F57" s="33"/>
      <c r="G57" s="30"/>
      <c r="I57"/>
      <c r="J57" s="7"/>
      <c r="N57"/>
      <c r="R57"/>
      <c r="S57"/>
      <c r="T57"/>
      <c r="U57"/>
      <c r="V57"/>
      <c r="W57"/>
      <c r="Y57"/>
      <c r="Z57"/>
      <c r="AA57"/>
      <c r="AB57"/>
      <c r="AC57"/>
      <c r="AD57"/>
      <c r="AE57"/>
      <c r="AF57"/>
      <c r="AG57"/>
    </row>
    <row r="58" spans="1:45" x14ac:dyDescent="0.2">
      <c r="F58" s="33"/>
      <c r="G58" s="30"/>
      <c r="I58"/>
      <c r="J58" s="7"/>
      <c r="N58"/>
      <c r="R58"/>
      <c r="S58"/>
      <c r="T58"/>
      <c r="U58"/>
      <c r="V58"/>
      <c r="W58"/>
      <c r="Y58"/>
      <c r="Z58"/>
      <c r="AA58"/>
      <c r="AB58"/>
      <c r="AC58"/>
      <c r="AD58"/>
      <c r="AE58"/>
      <c r="AF58"/>
      <c r="AG58"/>
    </row>
    <row r="59" spans="1:45" x14ac:dyDescent="0.2">
      <c r="F59" s="33"/>
      <c r="G59" s="30"/>
      <c r="I59"/>
      <c r="J59" s="7"/>
      <c r="N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45" x14ac:dyDescent="0.2">
      <c r="F60" s="33"/>
      <c r="G60" s="30"/>
      <c r="I60"/>
      <c r="J60" s="7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45" x14ac:dyDescent="0.2">
      <c r="F61" s="33"/>
      <c r="G61" s="34"/>
      <c r="I61"/>
      <c r="J61" s="7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45" x14ac:dyDescent="0.2">
      <c r="F62" s="33"/>
      <c r="G62" s="34"/>
      <c r="I62"/>
      <c r="J62" s="7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45" x14ac:dyDescent="0.2">
      <c r="G63"/>
      <c r="I63"/>
      <c r="J63" s="7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45" x14ac:dyDescent="0.2">
      <c r="H64"/>
      <c r="I64"/>
      <c r="J64" s="7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2:45" x14ac:dyDescent="0.2">
      <c r="F65"/>
      <c r="H65"/>
      <c r="I65"/>
      <c r="J65" s="7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2:45" x14ac:dyDescent="0.2">
      <c r="F66"/>
      <c r="H66"/>
      <c r="I66"/>
      <c r="J66" s="7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2:45" s="1" customFormat="1" x14ac:dyDescent="0.2">
      <c r="B67"/>
      <c r="C67"/>
      <c r="D67"/>
      <c r="F67"/>
      <c r="G67" s="7"/>
      <c r="H67" s="7"/>
      <c r="I67"/>
      <c r="J67" s="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s="1" customFormat="1" x14ac:dyDescent="0.2">
      <c r="B68"/>
      <c r="C68"/>
      <c r="D68"/>
      <c r="F68" s="7"/>
      <c r="G68" s="7"/>
      <c r="H68" s="7"/>
      <c r="K68"/>
      <c r="L68"/>
      <c r="M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s="1" customFormat="1" x14ac:dyDescent="0.2">
      <c r="B69"/>
      <c r="C69"/>
      <c r="D69"/>
      <c r="F69" s="7"/>
      <c r="G69" s="7"/>
      <c r="H69" s="7"/>
      <c r="L69" s="1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2:45" s="1" customFormat="1" x14ac:dyDescent="0.2">
      <c r="B70"/>
      <c r="C70"/>
      <c r="D70"/>
      <c r="F70" s="7"/>
      <c r="G70" s="7"/>
      <c r="H70" s="7"/>
      <c r="L70" s="19"/>
      <c r="O70" s="19"/>
      <c r="R70"/>
      <c r="AB70"/>
      <c r="AH70"/>
      <c r="AI70"/>
      <c r="AJ70"/>
      <c r="AK70"/>
      <c r="AL70"/>
      <c r="AM70"/>
      <c r="AN70"/>
    </row>
    <row r="71" spans="2:45" s="1" customFormat="1" x14ac:dyDescent="0.2">
      <c r="B71"/>
      <c r="C71"/>
      <c r="D71"/>
      <c r="F71" s="7"/>
      <c r="G71" s="7"/>
      <c r="H71" s="7"/>
      <c r="O71" s="19"/>
      <c r="R71"/>
      <c r="AH71"/>
      <c r="AI71"/>
      <c r="AJ71"/>
      <c r="AK71"/>
      <c r="AL71"/>
      <c r="AM71"/>
      <c r="AN71"/>
    </row>
    <row r="72" spans="2:45" s="1" customFormat="1" x14ac:dyDescent="0.2">
      <c r="B72"/>
      <c r="C72"/>
      <c r="D72"/>
      <c r="F72" s="7"/>
      <c r="G72" s="7"/>
      <c r="H72" s="7"/>
      <c r="L72" s="19"/>
      <c r="AH72"/>
      <c r="AI72"/>
      <c r="AJ72"/>
      <c r="AK72"/>
      <c r="AL72"/>
      <c r="AM72"/>
      <c r="AN72"/>
    </row>
    <row r="73" spans="2:45" s="1" customFormat="1" x14ac:dyDescent="0.2">
      <c r="B73"/>
      <c r="C73"/>
      <c r="D73"/>
      <c r="F73" s="7"/>
      <c r="G73" s="7"/>
      <c r="H73" s="7"/>
      <c r="AH73"/>
      <c r="AI73"/>
      <c r="AJ73"/>
      <c r="AK73"/>
      <c r="AL73"/>
      <c r="AM73"/>
      <c r="AN73"/>
    </row>
    <row r="74" spans="2:45" s="1" customFormat="1" x14ac:dyDescent="0.2">
      <c r="B74"/>
      <c r="C74"/>
      <c r="D74"/>
      <c r="F74" s="7"/>
      <c r="G74" s="7"/>
      <c r="H74" s="7"/>
      <c r="AH74"/>
      <c r="AI74"/>
      <c r="AJ74"/>
      <c r="AK74"/>
      <c r="AL74"/>
      <c r="AM74"/>
      <c r="AN74"/>
    </row>
    <row r="75" spans="2:45" s="1" customFormat="1" x14ac:dyDescent="0.2">
      <c r="B75"/>
      <c r="C75"/>
      <c r="D75"/>
      <c r="F75" s="7"/>
      <c r="G75" s="7"/>
      <c r="H75" s="7"/>
      <c r="AH75"/>
      <c r="AI75"/>
      <c r="AJ75"/>
      <c r="AK75"/>
      <c r="AL75"/>
      <c r="AM75"/>
      <c r="AN75"/>
    </row>
    <row r="76" spans="2:45" s="1" customFormat="1" x14ac:dyDescent="0.2">
      <c r="B76"/>
      <c r="C76"/>
      <c r="D76"/>
      <c r="F76" s="7"/>
      <c r="G76" s="7"/>
      <c r="H76" s="7"/>
      <c r="AH76"/>
      <c r="AI76"/>
      <c r="AJ76"/>
      <c r="AK76"/>
      <c r="AL76"/>
      <c r="AM76"/>
      <c r="AN76"/>
    </row>
    <row r="77" spans="2:45" x14ac:dyDescent="0.2">
      <c r="AO77" s="1"/>
      <c r="AP77" s="1"/>
      <c r="AQ77" s="1"/>
      <c r="AR77" s="1"/>
      <c r="AS77" s="1"/>
    </row>
    <row r="78" spans="2:45" x14ac:dyDescent="0.2">
      <c r="AO78" s="1"/>
      <c r="AP78" s="1"/>
      <c r="AQ78" s="1"/>
      <c r="AR78" s="1"/>
      <c r="AS78" s="1"/>
    </row>
    <row r="79" spans="2:45" x14ac:dyDescent="0.2">
      <c r="AO79" s="1"/>
    </row>
    <row r="83" spans="37:40" x14ac:dyDescent="0.2">
      <c r="AK83" s="1"/>
      <c r="AL83" s="1"/>
      <c r="AM83" s="1"/>
      <c r="AN83" s="1"/>
    </row>
    <row r="84" spans="37:40" x14ac:dyDescent="0.2">
      <c r="AK84" s="1"/>
      <c r="AL84" s="1"/>
      <c r="AM84" s="1"/>
      <c r="AN84" s="1"/>
    </row>
    <row r="85" spans="37:40" x14ac:dyDescent="0.2">
      <c r="AK85" s="1"/>
      <c r="AL85" s="1"/>
      <c r="AM85" s="1"/>
      <c r="AN85" s="1"/>
    </row>
    <row r="86" spans="37:40" x14ac:dyDescent="0.2">
      <c r="AK86" s="1"/>
      <c r="AL86" s="1"/>
      <c r="AM86" s="1"/>
      <c r="AN86" s="1"/>
    </row>
    <row r="87" spans="37:40" x14ac:dyDescent="0.2">
      <c r="AK87" s="1"/>
      <c r="AL87" s="1"/>
      <c r="AM87" s="1"/>
      <c r="AN87" s="1"/>
    </row>
    <row r="88" spans="37:40" x14ac:dyDescent="0.2">
      <c r="AK88" s="1"/>
      <c r="AL88" s="1"/>
      <c r="AM88" s="1"/>
      <c r="AN88" s="1"/>
    </row>
    <row r="89" spans="37:40" x14ac:dyDescent="0.2">
      <c r="AK89" s="1"/>
      <c r="AL89" s="1"/>
      <c r="AM89" s="1"/>
      <c r="AN89" s="1"/>
    </row>
    <row r="90" spans="37:40" x14ac:dyDescent="0.2">
      <c r="AK90" s="1"/>
      <c r="AL90" s="1"/>
      <c r="AM90" s="1"/>
      <c r="AN90" s="1"/>
    </row>
    <row r="91" spans="37:40" x14ac:dyDescent="0.2">
      <c r="AK91" s="1"/>
      <c r="AL91" s="1"/>
      <c r="AM91" s="1"/>
      <c r="AN91" s="1"/>
    </row>
    <row r="92" spans="37:40" x14ac:dyDescent="0.2">
      <c r="AK92" s="1"/>
      <c r="AL92" s="1"/>
      <c r="AM92" s="1"/>
      <c r="AN92" s="1"/>
    </row>
  </sheetData>
  <mergeCells count="75">
    <mergeCell ref="I48:J48"/>
    <mergeCell ref="I49:J49"/>
    <mergeCell ref="B26:C26"/>
    <mergeCell ref="I42:J42"/>
    <mergeCell ref="I43:J43"/>
    <mergeCell ref="I44:J44"/>
    <mergeCell ref="I45:J45"/>
    <mergeCell ref="I46:J46"/>
    <mergeCell ref="I47:J47"/>
    <mergeCell ref="I36:J36"/>
    <mergeCell ref="I37:J37"/>
    <mergeCell ref="I30:J30"/>
    <mergeCell ref="I31:J31"/>
    <mergeCell ref="I32:J32"/>
    <mergeCell ref="I33:J33"/>
    <mergeCell ref="I34:J34"/>
    <mergeCell ref="K40:AS40"/>
    <mergeCell ref="K41:O41"/>
    <mergeCell ref="P41:T41"/>
    <mergeCell ref="U41:Y41"/>
    <mergeCell ref="Z41:AD41"/>
    <mergeCell ref="AE41:AI41"/>
    <mergeCell ref="AJ41:AN41"/>
    <mergeCell ref="AO41:AS41"/>
    <mergeCell ref="I35:J35"/>
    <mergeCell ref="B24:D24"/>
    <mergeCell ref="K28:AS28"/>
    <mergeCell ref="K29:O29"/>
    <mergeCell ref="P29:T29"/>
    <mergeCell ref="U29:Y29"/>
    <mergeCell ref="Z29:AD29"/>
    <mergeCell ref="AE29:AI29"/>
    <mergeCell ref="AJ29:AN29"/>
    <mergeCell ref="AO29:AS29"/>
    <mergeCell ref="B23:D23"/>
    <mergeCell ref="D10:E10"/>
    <mergeCell ref="D11:E11"/>
    <mergeCell ref="B13:E13"/>
    <mergeCell ref="B14:D14"/>
    <mergeCell ref="B15:D15"/>
    <mergeCell ref="B16:D16"/>
    <mergeCell ref="B17:D17"/>
    <mergeCell ref="B18:D18"/>
    <mergeCell ref="B20:E20"/>
    <mergeCell ref="B21:C21"/>
    <mergeCell ref="B22:C22"/>
    <mergeCell ref="AZ4:AZ5"/>
    <mergeCell ref="D5:E5"/>
    <mergeCell ref="D6:E6"/>
    <mergeCell ref="D7:E7"/>
    <mergeCell ref="D8:E8"/>
    <mergeCell ref="X4:AB4"/>
    <mergeCell ref="AC4:AC5"/>
    <mergeCell ref="AD4:AD5"/>
    <mergeCell ref="AE4:AG4"/>
    <mergeCell ref="AH4:AM4"/>
    <mergeCell ref="AN4:AP4"/>
    <mergeCell ref="AQ4:AS4"/>
    <mergeCell ref="K4:Q5"/>
    <mergeCell ref="V4:W4"/>
    <mergeCell ref="T3:T5"/>
    <mergeCell ref="U3:U5"/>
    <mergeCell ref="D9:E9"/>
    <mergeCell ref="D4:E4"/>
    <mergeCell ref="H4:H5"/>
    <mergeCell ref="I4:I5"/>
    <mergeCell ref="J4:J5"/>
    <mergeCell ref="B2:E2"/>
    <mergeCell ref="D3:E3"/>
    <mergeCell ref="H3:Q3"/>
    <mergeCell ref="R3:R5"/>
    <mergeCell ref="S3:S5"/>
    <mergeCell ref="H2:AH2"/>
    <mergeCell ref="V3:AB3"/>
    <mergeCell ref="AC3:AS3"/>
  </mergeCells>
  <conditionalFormatting sqref="Z6:Z25">
    <cfRule type="containsText" dxfId="29" priority="8" operator="containsText" text="Excess">
      <formula>NOT(ISERROR(SEARCH("Excess",Z6)))</formula>
    </cfRule>
    <cfRule type="containsText" dxfId="28" priority="9" stopIfTrue="1" operator="containsText" text="Risk">
      <formula>NOT(ISERROR(SEARCH("Risk",Z6)))</formula>
    </cfRule>
    <cfRule type="containsText" dxfId="27" priority="10" stopIfTrue="1" operator="containsText" text="Short">
      <formula>NOT(ISERROR(SEARCH("Short",Z6)))</formula>
    </cfRule>
    <cfRule type="containsText" dxfId="26" priority="11" stopIfTrue="1" operator="containsText" text="Attention">
      <formula>NOT(ISERROR(SEARCH("Attention",Z6)))</formula>
    </cfRule>
    <cfRule type="containsText" dxfId="25" priority="12" operator="containsText" text="Aligned">
      <formula>NOT(ISERROR(SEARCH("Aligned",Z6)))</formula>
    </cfRule>
  </conditionalFormatting>
  <conditionalFormatting sqref="AA6:AA25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D25">
    <cfRule type="expression" dxfId="24" priority="2">
      <formula>AND($AD6&lt;&gt;"7 PI Started",$AD6&lt;&gt;"Done")</formula>
    </cfRule>
    <cfRule type="containsText" dxfId="23" priority="3" operator="containsText" text="7 PI Started">
      <formula>NOT(ISERROR(SEARCH("7 PI Started",AD6)))</formula>
    </cfRule>
    <cfRule type="containsText" dxfId="22" priority="4" stopIfTrue="1" operator="containsText" text="Done">
      <formula>NOT(ISERROR(SEARCH("Done",AD6)))</formula>
    </cfRule>
  </conditionalFormatting>
  <conditionalFormatting sqref="AF6:AF25">
    <cfRule type="containsText" dxfId="21" priority="5" operator="containsText" text="On Time">
      <formula>NOT(ISERROR(SEARCH("On Time",AF6)))</formula>
    </cfRule>
    <cfRule type="containsText" dxfId="20" priority="6" stopIfTrue="1" operator="containsText" text="Delayed">
      <formula>NOT(ISERROR(SEARCH("Delayed",AF6)))</formula>
    </cfRule>
    <cfRule type="containsText" dxfId="19" priority="7" stopIfTrue="1" operator="containsText" text="Not Started">
      <formula>NOT(ISERROR(SEARCH("Not Started",AF6)))</formula>
    </cfRule>
  </conditionalFormatting>
  <conditionalFormatting sqref="AI6:AI25">
    <cfRule type="containsText" dxfId="18" priority="28" operator="containsText" text="Postponed">
      <formula>NOT(ISERROR(SEARCH("Postponed",AI6)))</formula>
    </cfRule>
    <cfRule type="containsText" dxfId="17" priority="29" operator="containsText" text="Advanced">
      <formula>NOT(ISERROR(SEARCH("Advanced",AI6)))</formula>
    </cfRule>
    <cfRule type="containsText" dxfId="16" priority="30" operator="containsText" text="No Change">
      <formula>NOT(ISERROR(SEARCH("No Change",AI6)))</formula>
    </cfRule>
  </conditionalFormatting>
  <conditionalFormatting sqref="AK6:AK25">
    <cfRule type="containsText" dxfId="15" priority="22" stopIfTrue="1" operator="containsText" text="Not Started">
      <formula>NOT(ISERROR(SEARCH("Not Started",AK6)))</formula>
    </cfRule>
    <cfRule type="containsText" dxfId="14" priority="23" stopIfTrue="1" operator="containsText" text="Due Today">
      <formula>NOT(ISERROR(SEARCH("Due Today",AK6)))</formula>
    </cfRule>
    <cfRule type="containsText" dxfId="13" priority="24" operator="containsText" text="Near End">
      <formula>NOT(ISERROR(SEARCH("Near End",AK6)))</formula>
    </cfRule>
    <cfRule type="containsText" dxfId="12" priority="25" operator="containsText" text="Delivered">
      <formula>NOT(ISERROR(SEARCH("Delivered",AK6)))</formula>
    </cfRule>
    <cfRule type="containsText" dxfId="11" priority="26" operator="containsText" text="On Track">
      <formula>NOT(ISERROR(SEARCH("On Track",AK6)))</formula>
    </cfRule>
    <cfRule type="containsText" dxfId="10" priority="27" operator="containsText" text="Delayed">
      <formula>NOT(ISERROR(SEARCH("Delayed",AK6)))</formula>
    </cfRule>
  </conditionalFormatting>
  <conditionalFormatting sqref="AO6:AO25">
    <cfRule type="containsText" dxfId="9" priority="16" stopIfTrue="1" operator="containsText" text="Not Started">
      <formula>NOT(ISERROR(SEARCH("Not Started",AO6)))</formula>
    </cfRule>
    <cfRule type="containsText" dxfId="8" priority="17" stopIfTrue="1" operator="containsText" text="Due Today">
      <formula>NOT(ISERROR(SEARCH("Due Today",AO6)))</formula>
    </cfRule>
    <cfRule type="containsText" dxfId="7" priority="18" operator="containsText" text="Near End">
      <formula>NOT(ISERROR(SEARCH("Near End",AO6)))</formula>
    </cfRule>
    <cfRule type="containsText" dxfId="6" priority="19" operator="containsText" text="Delivered">
      <formula>NOT(ISERROR(SEARCH("Delivered",AO6)))</formula>
    </cfRule>
    <cfRule type="containsText" dxfId="5" priority="20" operator="containsText" text="On Track">
      <formula>NOT(ISERROR(SEARCH("On Track",AO6)))</formula>
    </cfRule>
    <cfRule type="containsText" dxfId="4" priority="21" operator="containsText" text="Delayed">
      <formula>NOT(ISERROR(SEARCH("Delayed",AO6)))</formula>
    </cfRule>
  </conditionalFormatting>
  <conditionalFormatting sqref="AS6:AS25">
    <cfRule type="expression" dxfId="3" priority="13" stopIfTrue="1">
      <formula>$AS6&lt;0</formula>
    </cfRule>
    <cfRule type="expression" dxfId="2" priority="14" stopIfTrue="1">
      <formula>$AS6&gt;0</formula>
    </cfRule>
    <cfRule type="expression" dxfId="1" priority="15" stopIfTrue="1">
      <formula>$AS6=0</formula>
    </cfRule>
  </conditionalFormatting>
  <dataValidations count="2">
    <dataValidation type="list" allowBlank="1" showInputMessage="1" showErrorMessage="1" sqref="R6:R25" xr:uid="{04DD894E-83C1-5B4A-AF1E-E6EE7F7726EE}">
      <formula1>$K$50:$K$54</formula1>
    </dataValidation>
    <dataValidation type="list" allowBlank="1" showInputMessage="1" showErrorMessage="1" sqref="N43:N49 AA34 AE31:AI31 K34:M34 O46:Y46 O34:Y34 N31:N37 AE43:AI43 K46:M46 AP43:AR49 AP31:AS37" xr:uid="{6EB64D96-94BA-7B46-9B6C-A3338ED85E3A}">
      <formula1>$I$6:$I$25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1405DFF-0DB6-DD42-B057-5B677ED82CF4}">
            <xm:f>NOT(ISERROR(SEARCH("-",AD6)))</xm:f>
            <xm:f>"-"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AD6:AD25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DAEE9-71C1-A34C-B43F-F22E1B1A7B31}">
  <sheetPr codeName="Sheet10"/>
  <dimension ref="A1:Z5001"/>
  <sheetViews>
    <sheetView tabSelected="1" topLeftCell="D1" zoomScaleNormal="100" workbookViewId="0">
      <pane ySplit="1" topLeftCell="A60" activePane="bottomLeft" state="frozen"/>
      <selection pane="bottomLeft" activeCell="S86" sqref="S86"/>
    </sheetView>
  </sheetViews>
  <sheetFormatPr baseColWidth="10" defaultColWidth="11" defaultRowHeight="16" x14ac:dyDescent="0.2"/>
  <cols>
    <col min="1" max="1" width="10.6640625" bestFit="1" customWidth="1"/>
    <col min="2" max="2" width="118.5" bestFit="1" customWidth="1"/>
    <col min="3" max="3" width="15.5" bestFit="1" customWidth="1"/>
    <col min="4" max="4" width="72.1640625" bestFit="1" customWidth="1"/>
    <col min="5" max="5" width="26.5" bestFit="1" customWidth="1"/>
    <col min="6" max="6" width="21.6640625" style="1" bestFit="1" customWidth="1"/>
    <col min="7" max="7" width="20.5" style="1" bestFit="1" customWidth="1"/>
    <col min="8" max="8" width="14.33203125" style="1" bestFit="1" customWidth="1"/>
    <col min="9" max="9" width="13.5" style="1" bestFit="1" customWidth="1"/>
    <col min="10" max="10" width="13.33203125" style="1" bestFit="1" customWidth="1"/>
    <col min="11" max="11" width="18" style="1" bestFit="1" customWidth="1"/>
    <col min="12" max="12" width="17.1640625" style="1" bestFit="1" customWidth="1"/>
    <col min="13" max="13" width="17.83203125" style="1" bestFit="1" customWidth="1"/>
    <col min="14" max="14" width="19.83203125" style="1" bestFit="1" customWidth="1"/>
    <col min="15" max="15" width="18.83203125" style="1" bestFit="1" customWidth="1"/>
    <col min="16" max="16" width="20.83203125" style="1" bestFit="1" customWidth="1"/>
    <col min="17" max="17" width="19.5" style="1" bestFit="1" customWidth="1"/>
    <col min="18" max="18" width="24.33203125" style="1" bestFit="1" customWidth="1"/>
    <col min="19" max="19" width="24.6640625" bestFit="1" customWidth="1"/>
    <col min="20" max="20" width="6.1640625" style="7" bestFit="1" customWidth="1"/>
    <col min="21" max="21" width="13.33203125" bestFit="1" customWidth="1"/>
    <col min="22" max="22" width="14.33203125" style="1" bestFit="1" customWidth="1"/>
    <col min="23" max="23" width="12.1640625" bestFit="1" customWidth="1"/>
    <col min="24" max="24" width="9.6640625" bestFit="1" customWidth="1"/>
    <col min="25" max="25" width="14" bestFit="1" customWidth="1"/>
    <col min="26" max="26" width="12.6640625" bestFit="1" customWidth="1"/>
  </cols>
  <sheetData>
    <row r="1" spans="1:26" x14ac:dyDescent="0.2">
      <c r="A1" t="s">
        <v>343</v>
      </c>
      <c r="B1" t="s">
        <v>344</v>
      </c>
      <c r="C1" t="s">
        <v>134</v>
      </c>
      <c r="D1" t="s">
        <v>345</v>
      </c>
      <c r="E1" t="s">
        <v>346</v>
      </c>
      <c r="F1" s="1" t="s">
        <v>347</v>
      </c>
      <c r="G1" s="1" t="s">
        <v>348</v>
      </c>
      <c r="H1" s="1" t="s">
        <v>349</v>
      </c>
      <c r="I1" s="1" t="s">
        <v>350</v>
      </c>
      <c r="J1" s="1" t="s">
        <v>351</v>
      </c>
      <c r="K1" s="1" t="s">
        <v>352</v>
      </c>
      <c r="L1" s="1" t="s">
        <v>353</v>
      </c>
      <c r="M1" s="1" t="s">
        <v>354</v>
      </c>
      <c r="N1" s="1" t="s">
        <v>355</v>
      </c>
      <c r="O1" s="1" t="s">
        <v>356</v>
      </c>
      <c r="P1" s="1" t="s">
        <v>357</v>
      </c>
      <c r="Q1" s="1" t="s">
        <v>358</v>
      </c>
      <c r="R1" s="1" t="s">
        <v>359</v>
      </c>
      <c r="S1" s="1" t="s">
        <v>476</v>
      </c>
      <c r="T1" s="1" t="s">
        <v>98</v>
      </c>
      <c r="U1" s="1" t="s">
        <v>379</v>
      </c>
      <c r="V1" s="1" t="s">
        <v>380</v>
      </c>
      <c r="W1" s="1" t="s">
        <v>477</v>
      </c>
      <c r="X1" s="1" t="s">
        <v>478</v>
      </c>
      <c r="Y1" s="1" t="s">
        <v>503</v>
      </c>
      <c r="Z1" s="1" t="s">
        <v>504</v>
      </c>
    </row>
    <row r="2" spans="1:26" x14ac:dyDescent="0.2">
      <c r="A2" s="405" t="s">
        <v>223</v>
      </c>
      <c r="B2" t="s">
        <v>224</v>
      </c>
      <c r="C2" t="s">
        <v>144</v>
      </c>
      <c r="D2" s="406" t="s">
        <v>383</v>
      </c>
      <c r="E2" s="406" t="s">
        <v>360</v>
      </c>
      <c r="F2" s="19"/>
      <c r="G2" s="19"/>
      <c r="H2" s="19"/>
      <c r="I2" s="19">
        <v>45483</v>
      </c>
      <c r="J2" s="19"/>
      <c r="K2" s="19" t="str">
        <f>IF(AND(F2&lt;&gt;"", H2=""), "Not Started", IF(OR(H2="", F2=""), "-", IF(H2&lt;=F2, "On Time", "Delayed")))</f>
        <v>-</v>
      </c>
      <c r="L2" s="1" t="str">
        <f>IF(OR(H2="",F2=""),"-",IF(H2&gt;F2,H2-F2,0))</f>
        <v>-</v>
      </c>
      <c r="M2" s="19" t="str">
        <f ca="1">IF(C2="Done","Delivered",IF(C2="11 Archived","Archived",IF(G2="","-",IF(C2&lt;&gt;"7 PI Started","Not Started",IF(NETWORKDAYS(TODAY(),G2)&gt;3,"On Track",IF(NETWORKDAYS(TODAY(),G2)=3,"Near End",IF(TODAY()&gt;G2,"Delayed","-")))))))</f>
        <v>Delivered</v>
      </c>
      <c r="N2" s="1" t="str">
        <f ca="1">IF(OR(C2="11 Archived", G2=""), "-", IF(C2="Done", IF(J2&gt;G2, NETWORKDAYS(G2, J2), 0), IF(TODAY()&gt;G2, NETWORKDAYS(G2, TODAY()), 0)))</f>
        <v>-</v>
      </c>
      <c r="O2" s="1" t="str">
        <f ca="1">IF(C2="Done","Delivered",IF(C2="11 Archived","Archived",IF(I2="","-",IF(C2&lt;&gt;"7 PI Started","Not Started",IF(NETWORKDAYS(TODAY(),I2)&gt;3,"On Track",IF(NETWORKDAYS(TODAY(),I2)=3,"Near End",IF(TODAY()=I2,"Due Today",IF(TODAY()&gt;I2,"Delayed","-"))))))))</f>
        <v>Delivered</v>
      </c>
      <c r="P2" s="1" t="str">
        <f ca="1">IF(OR(C2="11 Archived", I2="", J2=""), "-", IF(C2="Done", IF(J2&gt;I2, NETWORKDAYS(I2, J2), 0), IF(TODAY()&gt;I2, NETWORKDAYS(I2, TODAY()), 0)))</f>
        <v>-</v>
      </c>
      <c r="Q2" s="1" t="str">
        <f ca="1">IF(OR(C2="",C2="11 Archived"), "-", IF(AND(C2="Done", I2&lt;&gt;"", H2&lt;&gt;""), I2-H2, IF(H2="", "-", IF(AND(H2&lt;&gt;"", H2&lt;TODAY()), NETWORKDAYS(H2, TODAY()), 0))))</f>
        <v>-</v>
      </c>
      <c r="R2" s="1">
        <f ca="1">IF(I2="","-",IF(TODAY()&gt;I2,0,NETWORKDAYS(TODAY(),I2)))</f>
        <v>0</v>
      </c>
      <c r="S2" s="1" t="s">
        <v>360</v>
      </c>
      <c r="T2" s="7" t="str">
        <f>SUBSTITUTE(RIGHT(S2, 5), " ", "-")</f>
        <v>Q3-C1</v>
      </c>
      <c r="U2" s="1">
        <f ca="1">IF(AND($E2&lt;&gt;"",OR($C2="Ready to Develop",$C2="7 PI Started",$C2="6 Epic Backlog",$C2="Done")),IFERROR(VLOOKUP($A2,INDIRECT("'"&amp;$T2&amp;"'"&amp;VLOOKUP($T2,Config!$B$4:$P$11,2)),VLOOKUP($T2,Config!$B$4:$P$11,5),FALSE),"-"),"-")</f>
        <v>11</v>
      </c>
      <c r="V2" s="1">
        <f ca="1">IF($C2="Done",IFERROR(VLOOKUP($A2,INDIRECT("'"&amp;$T2&amp;"'"&amp;VLOOKUP($T2,Config!$B$4:$P$11,2)),VLOOKUP($T2,Config!$B$4:$P$11,7),FALSE),"-"),"-")</f>
        <v>8</v>
      </c>
      <c r="W2" s="1">
        <f ca="1">IF(AND($E2&lt;&gt;"",OR($C2="Ready to Develop",$C2="7 PI Started",$C2="6 Epic Backlog",$C2="Done")),IFERROR(VLOOKUP($A2,INDIRECT("'"&amp;$T2&amp;"'"&amp;VLOOKUP($T2,Config!$B$4:$P$11,2)),VLOOKUP($T2,Config!$B$4:$P$11,9),FALSE),"-"),"-")</f>
        <v>2</v>
      </c>
      <c r="X2" s="1">
        <f ca="1">IF($C2="Done",IFERROR(VLOOKUP($A2,INDIRECT("'"&amp;$T2&amp;"'"&amp;VLOOKUP($T2,Config!$B$4:$P$11,2)),VLOOKUP($T2,Config!$B$4:$P$11,11),FALSE),"-"),"-")</f>
        <v>1</v>
      </c>
      <c r="Y2" s="1" t="str">
        <f ca="1">IF(AND($E2&lt;&gt;"",OR($C2="Ready to Develop",$C2="7 PI Started",$C2="6 Epic Backlog",$C2="Done")),IFERROR(VLOOKUP($A2,INDIRECT("'"&amp;$T2&amp;"'"&amp;VLOOKUP($T2,Config!$B$4:$P$11,2)),VLOOKUP($T2,Config!$B$4:$P$11,13),FALSE),"-"),"-")</f>
        <v>-</v>
      </c>
      <c r="Z2" s="1" t="str">
        <f ca="1">IF(AND($E2&lt;&gt;"",OR($C2="Ready to Develop",$C2="7 PI Started",$C2="6 Epic Backlog",$C2="Done")),IFERROR(VLOOKUP($A2,INDIRECT("'"&amp;$T2&amp;"'"&amp;VLOOKUP($T2,Config!$B$4:$P$11,2)),VLOOKUP($T2,Config!$B$4:$P$11,15),FALSE),"-"),"-")</f>
        <v>-</v>
      </c>
    </row>
    <row r="3" spans="1:26" x14ac:dyDescent="0.2">
      <c r="A3" s="405" t="s">
        <v>242</v>
      </c>
      <c r="B3" t="s">
        <v>243</v>
      </c>
      <c r="C3" t="s">
        <v>144</v>
      </c>
      <c r="D3" s="406" t="s">
        <v>384</v>
      </c>
      <c r="E3" s="406" t="s">
        <v>360</v>
      </c>
      <c r="F3" s="19"/>
      <c r="G3" s="19"/>
      <c r="H3" s="19"/>
      <c r="I3" s="19">
        <v>45513</v>
      </c>
      <c r="J3" s="19"/>
      <c r="K3" s="19" t="str">
        <f t="shared" ref="K3:K66" si="0">IF(AND(F3&lt;&gt;"", H3=""), "Not Started", IF(OR(H3="", F3=""), "-", IF(H3&lt;=F3, "On Time", "Delayed")))</f>
        <v>-</v>
      </c>
      <c r="L3" s="1" t="str">
        <f t="shared" ref="L3:L66" si="1">IF(OR(H3="",F3=""),"-",IF(H3&gt;F3,H3-F3,0))</f>
        <v>-</v>
      </c>
      <c r="M3" s="19" t="str">
        <f t="shared" ref="M3:M66" ca="1" si="2">IF(C3="Done","Delivered",IF(C3="11 Archived","Archived",IF(G3="","-",IF(C3&lt;&gt;"7 PI Started","Not Started",IF(NETWORKDAYS(TODAY(),G3)&gt;3,"On Track",IF(NETWORKDAYS(TODAY(),G3)=3,"Near End",IF(TODAY()&gt;G3,"Delayed","-")))))))</f>
        <v>Delivered</v>
      </c>
      <c r="N3" s="1" t="str">
        <f t="shared" ref="N3:N66" ca="1" si="3">IF(OR(C3="11 Archived", G3=""), "-", IF(C3="Done", IF(J3&gt;G3, NETWORKDAYS(G3, J3), 0), IF(TODAY()&gt;G3, NETWORKDAYS(G3, TODAY()), 0)))</f>
        <v>-</v>
      </c>
      <c r="O3" s="1" t="str">
        <f t="shared" ref="O3:O66" ca="1" si="4">IF(C3="Done","Delivered",IF(C3="11 Archived","Archived",IF(I3="","-",IF(C3&lt;&gt;"7 PI Started","Not Started",IF(NETWORKDAYS(TODAY(),I3)&gt;3,"On Track",IF(NETWORKDAYS(TODAY(),I3)=3,"Near End",IF(TODAY()=I3,"Due Today",IF(TODAY()&gt;I3,"Delayed","-"))))))))</f>
        <v>Delivered</v>
      </c>
      <c r="P3" s="1" t="str">
        <f t="shared" ref="P3:P66" ca="1" si="5">IF(OR(C3="11 Archived", I3="", J3=""), "-", IF(C3="Done", IF(J3&gt;I3, NETWORKDAYS(I3, J3), 0), IF(TODAY()&gt;I3, NETWORKDAYS(I3, TODAY()), 0)))</f>
        <v>-</v>
      </c>
      <c r="Q3" s="1" t="str">
        <f t="shared" ref="Q3:Q66" ca="1" si="6">IF(OR(C3="",C3="11 Archived"), "-", IF(AND(C3="Done", I3&lt;&gt;"", H3&lt;&gt;""), I3-H3, IF(H3="", "-", IF(AND(H3&lt;&gt;"", H3&lt;TODAY()), NETWORKDAYS(H3, TODAY()), 0))))</f>
        <v>-</v>
      </c>
      <c r="R3" s="1">
        <f t="shared" ref="R3:R66" ca="1" si="7">IF(I3="","-",IF(TODAY()&gt;I3,0,NETWORKDAYS(TODAY(),I3)))</f>
        <v>0</v>
      </c>
      <c r="S3" s="1" t="s">
        <v>360</v>
      </c>
      <c r="T3" s="7" t="str">
        <f t="shared" ref="T3:T66" si="8">SUBSTITUTE(RIGHT(S3, 5), " ", "-")</f>
        <v>Q3-C1</v>
      </c>
      <c r="U3" s="1">
        <f ca="1">IF(AND($E3&lt;&gt;"",OR($C3="Ready to Develop",$C3="7 PI Started",$C3="6 Epic Backlog",$C3="Done")),IFERROR(VLOOKUP($A3,INDIRECT("'"&amp;$T3&amp;"'"&amp;VLOOKUP($T3,Config!$B$4:$L$11,2)),VLOOKUP($T3,Config!$B$4:$L$11,5),FALSE),"-"),"-")</f>
        <v>18</v>
      </c>
      <c r="V3" s="1">
        <f ca="1">IF($C3="Done",IFERROR(VLOOKUP($A3,INDIRECT("'"&amp;$T3&amp;"'"&amp;VLOOKUP($T3,Config!$B$4:$L$11,2)),VLOOKUP($T3,Config!$B$4:$L$11,7),FALSE),"-"),"-")</f>
        <v>15</v>
      </c>
      <c r="W3" s="1">
        <f ca="1">IF(AND($E3&lt;&gt;"",OR($C3="Ready to Develop",$C3="7 PI Started",$C3="6 Epic Backlog",$C3="Done")),IFERROR(VLOOKUP($A3,INDIRECT("'"&amp;$T3&amp;"'"&amp;VLOOKUP($T3,Config!$B$4:$L$11,2)),VLOOKUP($T3,Config!$B$4:$L$11,9),FALSE),"-"),"-")</f>
        <v>1</v>
      </c>
      <c r="X3" s="1">
        <f ca="1">IF($C3="Done",IFERROR(VLOOKUP($A3,INDIRECT("'"&amp;$T3&amp;"'"&amp;VLOOKUP($T3,Config!$B$4:$L$11,2)),VLOOKUP($T3,Config!$B$4:$L$11,11),FALSE),"-"),"-")</f>
        <v>1</v>
      </c>
      <c r="Y3" s="1" t="str">
        <f ca="1">IF(AND($E3&lt;&gt;"",OR($C3="Ready to Develop",$C3="7 PI Started",$C3="6 Epic Backlog",$C3="Done")),IFERROR(VLOOKUP($A3,INDIRECT("'"&amp;$T3&amp;"'"&amp;VLOOKUP($T3,Config!$B$4:$P$11,2)),VLOOKUP($T3,Config!$B$4:$P$11,13),FALSE),"-"),"-")</f>
        <v>-</v>
      </c>
      <c r="Z3" s="1" t="str">
        <f ca="1">IF(AND($E3&lt;&gt;"",OR($C3="Ready to Develop",$C3="7 PI Started",$C3="6 Epic Backlog",$C3="Done")),IFERROR(VLOOKUP($A3,INDIRECT("'"&amp;$T3&amp;"'"&amp;VLOOKUP($T3,Config!$B$4:$P$11,2)),VLOOKUP($T3,Config!$B$4:$P$11,15),FALSE),"-"),"-")</f>
        <v>-</v>
      </c>
    </row>
    <row r="4" spans="1:26" x14ac:dyDescent="0.2">
      <c r="A4" s="405" t="s">
        <v>239</v>
      </c>
      <c r="B4" t="s">
        <v>240</v>
      </c>
      <c r="C4" t="s">
        <v>144</v>
      </c>
      <c r="D4" s="406" t="s">
        <v>385</v>
      </c>
      <c r="E4" s="406" t="s">
        <v>360</v>
      </c>
      <c r="F4" s="19"/>
      <c r="G4" s="19"/>
      <c r="H4" s="19"/>
      <c r="I4" s="19"/>
      <c r="J4" s="19"/>
      <c r="K4" s="19" t="str">
        <f t="shared" si="0"/>
        <v>-</v>
      </c>
      <c r="L4" s="1" t="str">
        <f t="shared" si="1"/>
        <v>-</v>
      </c>
      <c r="M4" s="19" t="str">
        <f t="shared" ca="1" si="2"/>
        <v>Delivered</v>
      </c>
      <c r="N4" s="1" t="str">
        <f t="shared" ca="1" si="3"/>
        <v>-</v>
      </c>
      <c r="O4" s="1" t="str">
        <f t="shared" ca="1" si="4"/>
        <v>Delivered</v>
      </c>
      <c r="P4" s="1" t="str">
        <f t="shared" ca="1" si="5"/>
        <v>-</v>
      </c>
      <c r="Q4" s="1" t="str">
        <f t="shared" ca="1" si="6"/>
        <v>-</v>
      </c>
      <c r="R4" s="1" t="str">
        <f t="shared" ca="1" si="7"/>
        <v>-</v>
      </c>
      <c r="S4" s="1" t="s">
        <v>360</v>
      </c>
      <c r="T4" s="7" t="str">
        <f t="shared" si="8"/>
        <v>Q3-C1</v>
      </c>
      <c r="U4" s="1">
        <f ca="1">IF(AND($E4&lt;&gt;"",OR($C4="Ready to Develop",$C4="7 PI Started",$C4="6 Epic Backlog",$C4="Done")),IFERROR(VLOOKUP($A4,INDIRECT("'"&amp;$T4&amp;"'"&amp;VLOOKUP($T4,Config!$B$4:$L$11,2)),VLOOKUP($T4,Config!$B$4:$L$11,5),FALSE),"-"),"-")</f>
        <v>4</v>
      </c>
      <c r="V4" s="1">
        <f ca="1">IF($C4="Done",IFERROR(VLOOKUP($A4,INDIRECT("'"&amp;$T4&amp;"'"&amp;VLOOKUP($T4,Config!$B$4:$L$11,2)),VLOOKUP($T4,Config!$B$4:$L$11,7),FALSE),"-"),"-")</f>
        <v>4</v>
      </c>
      <c r="W4" s="1">
        <f ca="1">IF(AND($E4&lt;&gt;"",OR($C4="Ready to Develop",$C4="7 PI Started",$C4="6 Epic Backlog",$C4="Done")),IFERROR(VLOOKUP($A4,INDIRECT("'"&amp;$T4&amp;"'"&amp;VLOOKUP($T4,Config!$B$4:$L$11,2)),VLOOKUP($T4,Config!$B$4:$L$11,9),FALSE),"-"),"-")</f>
        <v>1</v>
      </c>
      <c r="X4" s="1">
        <f ca="1">IF($C4="Done",IFERROR(VLOOKUP($A4,INDIRECT("'"&amp;$T4&amp;"'"&amp;VLOOKUP($T4,Config!$B$4:$L$11,2)),VLOOKUP($T4,Config!$B$4:$L$11,11),FALSE),"-"),"-")</f>
        <v>1</v>
      </c>
      <c r="Y4" s="1" t="str">
        <f ca="1">IF(AND($E4&lt;&gt;"",OR($C4="Ready to Develop",$C4="7 PI Started",$C4="6 Epic Backlog",$C4="Done")),IFERROR(VLOOKUP($A4,INDIRECT("'"&amp;$T4&amp;"'"&amp;VLOOKUP($T4,Config!$B$4:$P$11,2)),VLOOKUP($T4,Config!$B$4:$P$11,13),FALSE),"-"),"-")</f>
        <v>-</v>
      </c>
      <c r="Z4" s="1" t="str">
        <f ca="1">IF(AND($E4&lt;&gt;"",OR($C4="Ready to Develop",$C4="7 PI Started",$C4="6 Epic Backlog",$C4="Done")),IFERROR(VLOOKUP($A4,INDIRECT("'"&amp;$T4&amp;"'"&amp;VLOOKUP($T4,Config!$B$4:$P$11,2)),VLOOKUP($T4,Config!$B$4:$P$11,15),FALSE),"-"),"-")</f>
        <v>-</v>
      </c>
    </row>
    <row r="5" spans="1:26" x14ac:dyDescent="0.2">
      <c r="A5" s="405" t="s">
        <v>232</v>
      </c>
      <c r="B5" t="s">
        <v>386</v>
      </c>
      <c r="C5" t="s">
        <v>144</v>
      </c>
      <c r="D5" s="406" t="s">
        <v>387</v>
      </c>
      <c r="E5" s="406" t="s">
        <v>360</v>
      </c>
      <c r="F5" s="19"/>
      <c r="G5" s="19"/>
      <c r="H5" s="19"/>
      <c r="I5" s="19">
        <v>45513</v>
      </c>
      <c r="J5" s="19"/>
      <c r="K5" s="19" t="str">
        <f t="shared" si="0"/>
        <v>-</v>
      </c>
      <c r="L5" s="1" t="str">
        <f t="shared" si="1"/>
        <v>-</v>
      </c>
      <c r="M5" s="19" t="str">
        <f t="shared" ca="1" si="2"/>
        <v>Delivered</v>
      </c>
      <c r="N5" s="1" t="str">
        <f t="shared" ca="1" si="3"/>
        <v>-</v>
      </c>
      <c r="O5" s="1" t="str">
        <f t="shared" ca="1" si="4"/>
        <v>Delivered</v>
      </c>
      <c r="P5" s="1" t="str">
        <f t="shared" ca="1" si="5"/>
        <v>-</v>
      </c>
      <c r="Q5" s="1" t="str">
        <f t="shared" ca="1" si="6"/>
        <v>-</v>
      </c>
      <c r="R5" s="1">
        <f t="shared" ca="1" si="7"/>
        <v>0</v>
      </c>
      <c r="S5" s="1" t="s">
        <v>360</v>
      </c>
      <c r="T5" s="7" t="str">
        <f t="shared" si="8"/>
        <v>Q3-C1</v>
      </c>
      <c r="U5" s="1">
        <f ca="1">IF(AND($E5&lt;&gt;"",OR($C5="Ready to Develop",$C5="7 PI Started",$C5="6 Epic Backlog",$C5="Done")),IFERROR(VLOOKUP($A5,INDIRECT("'"&amp;$T5&amp;"'"&amp;VLOOKUP($T5,Config!$B$4:$L$11,2)),VLOOKUP($T5,Config!$B$4:$L$11,5),FALSE),"-"),"-")</f>
        <v>19</v>
      </c>
      <c r="V5" s="1">
        <f ca="1">IF($C5="Done",IFERROR(VLOOKUP($A5,INDIRECT("'"&amp;$T5&amp;"'"&amp;VLOOKUP($T5,Config!$B$4:$L$11,2)),VLOOKUP($T5,Config!$B$4:$L$11,7),FALSE),"-"),"-")</f>
        <v>17</v>
      </c>
      <c r="W5" s="1">
        <f ca="1">IF(AND($E5&lt;&gt;"",OR($C5="Ready to Develop",$C5="7 PI Started",$C5="6 Epic Backlog",$C5="Done")),IFERROR(VLOOKUP($A5,INDIRECT("'"&amp;$T5&amp;"'"&amp;VLOOKUP($T5,Config!$B$4:$L$11,2)),VLOOKUP($T5,Config!$B$4:$L$11,9),FALSE),"-"),"-")</f>
        <v>1</v>
      </c>
      <c r="X5" s="1">
        <f ca="1">IF($C5="Done",IFERROR(VLOOKUP($A5,INDIRECT("'"&amp;$T5&amp;"'"&amp;VLOOKUP($T5,Config!$B$4:$L$11,2)),VLOOKUP($T5,Config!$B$4:$L$11,11),FALSE),"-"),"-")</f>
        <v>1</v>
      </c>
      <c r="Y5" s="1" t="str">
        <f ca="1">IF(AND($E5&lt;&gt;"",OR($C5="Ready to Develop",$C5="7 PI Started",$C5="6 Epic Backlog",$C5="Done")),IFERROR(VLOOKUP($A5,INDIRECT("'"&amp;$T5&amp;"'"&amp;VLOOKUP($T5,Config!$B$4:$P$11,2)),VLOOKUP($T5,Config!$B$4:$P$11,13),FALSE),"-"),"-")</f>
        <v>-</v>
      </c>
      <c r="Z5" s="1" t="str">
        <f ca="1">IF(AND($E5&lt;&gt;"",OR($C5="Ready to Develop",$C5="7 PI Started",$C5="6 Epic Backlog",$C5="Done")),IFERROR(VLOOKUP($A5,INDIRECT("'"&amp;$T5&amp;"'"&amp;VLOOKUP($T5,Config!$B$4:$P$11,2)),VLOOKUP($T5,Config!$B$4:$P$11,15),FALSE),"-"),"-")</f>
        <v>-</v>
      </c>
    </row>
    <row r="6" spans="1:26" x14ac:dyDescent="0.2">
      <c r="A6" s="405" t="s">
        <v>217</v>
      </c>
      <c r="B6" t="s">
        <v>218</v>
      </c>
      <c r="C6" t="s">
        <v>144</v>
      </c>
      <c r="D6" s="463" t="s">
        <v>388</v>
      </c>
      <c r="E6" s="406" t="s">
        <v>360</v>
      </c>
      <c r="F6" s="19"/>
      <c r="G6" s="19"/>
      <c r="H6" s="19"/>
      <c r="I6" s="19"/>
      <c r="J6" s="19"/>
      <c r="K6" s="19" t="str">
        <f t="shared" si="0"/>
        <v>-</v>
      </c>
      <c r="L6" s="1" t="str">
        <f t="shared" si="1"/>
        <v>-</v>
      </c>
      <c r="M6" s="19" t="str">
        <f t="shared" ca="1" si="2"/>
        <v>Delivered</v>
      </c>
      <c r="N6" s="1" t="str">
        <f t="shared" ca="1" si="3"/>
        <v>-</v>
      </c>
      <c r="O6" s="1" t="str">
        <f t="shared" ca="1" si="4"/>
        <v>Delivered</v>
      </c>
      <c r="P6" s="1" t="str">
        <f t="shared" ca="1" si="5"/>
        <v>-</v>
      </c>
      <c r="Q6" s="1" t="str">
        <f t="shared" ca="1" si="6"/>
        <v>-</v>
      </c>
      <c r="R6" s="1" t="str">
        <f t="shared" ca="1" si="7"/>
        <v>-</v>
      </c>
      <c r="S6" s="1" t="s">
        <v>360</v>
      </c>
      <c r="T6" s="7" t="str">
        <f t="shared" si="8"/>
        <v>Q3-C1</v>
      </c>
      <c r="U6" s="1">
        <f ca="1">IF(AND($E6&lt;&gt;"",OR($C6="Ready to Develop",$C6="7 PI Started",$C6="6 Epic Backlog",$C6="Done")),IFERROR(VLOOKUP($A6,INDIRECT("'"&amp;$T6&amp;"'"&amp;VLOOKUP($T6,Config!$B$4:$L$11,2)),VLOOKUP($T6,Config!$B$4:$L$11,5),FALSE),"-"),"-")</f>
        <v>3</v>
      </c>
      <c r="V6" s="1">
        <f ca="1">IF($C6="Done",IFERROR(VLOOKUP($A6,INDIRECT("'"&amp;$T6&amp;"'"&amp;VLOOKUP($T6,Config!$B$4:$L$11,2)),VLOOKUP($T6,Config!$B$4:$L$11,7),FALSE),"-"),"-")</f>
        <v>3</v>
      </c>
      <c r="W6" s="1">
        <f ca="1">IF(AND($E6&lt;&gt;"",OR($C6="Ready to Develop",$C6="7 PI Started",$C6="6 Epic Backlog",$C6="Done")),IFERROR(VLOOKUP($A6,INDIRECT("'"&amp;$T6&amp;"'"&amp;VLOOKUP($T6,Config!$B$4:$L$11,2)),VLOOKUP($T6,Config!$B$4:$L$11,9),FALSE),"-"),"-")</f>
        <v>1</v>
      </c>
      <c r="X6" s="1">
        <f ca="1">IF($C6="Done",IFERROR(VLOOKUP($A6,INDIRECT("'"&amp;$T6&amp;"'"&amp;VLOOKUP($T6,Config!$B$4:$L$11,2)),VLOOKUP($T6,Config!$B$4:$L$11,11),FALSE),"-"),"-")</f>
        <v>1</v>
      </c>
      <c r="Y6" s="1" t="str">
        <f ca="1">IF(AND($E6&lt;&gt;"",OR($C6="Ready to Develop",$C6="7 PI Started",$C6="6 Epic Backlog",$C6="Done")),IFERROR(VLOOKUP($A6,INDIRECT("'"&amp;$T6&amp;"'"&amp;VLOOKUP($T6,Config!$B$4:$P$11,2)),VLOOKUP($T6,Config!$B$4:$P$11,13),FALSE),"-"),"-")</f>
        <v>-</v>
      </c>
      <c r="Z6" s="1" t="str">
        <f ca="1">IF(AND($E6&lt;&gt;"",OR($C6="Ready to Develop",$C6="7 PI Started",$C6="6 Epic Backlog",$C6="Done")),IFERROR(VLOOKUP($A6,INDIRECT("'"&amp;$T6&amp;"'"&amp;VLOOKUP($T6,Config!$B$4:$P$11,2)),VLOOKUP($T6,Config!$B$4:$P$11,15),FALSE),"-"),"-")</f>
        <v>-</v>
      </c>
    </row>
    <row r="7" spans="1:26" x14ac:dyDescent="0.2">
      <c r="A7" s="405" t="s">
        <v>212</v>
      </c>
      <c r="B7" t="s">
        <v>213</v>
      </c>
      <c r="C7" t="s">
        <v>144</v>
      </c>
      <c r="D7" s="406" t="s">
        <v>389</v>
      </c>
      <c r="E7" s="406" t="s">
        <v>360</v>
      </c>
      <c r="F7" s="19"/>
      <c r="G7" s="19"/>
      <c r="H7" s="19"/>
      <c r="I7" s="19">
        <v>45513</v>
      </c>
      <c r="J7" s="19"/>
      <c r="K7" s="19" t="str">
        <f t="shared" si="0"/>
        <v>-</v>
      </c>
      <c r="L7" s="1" t="str">
        <f t="shared" si="1"/>
        <v>-</v>
      </c>
      <c r="M7" s="19" t="str">
        <f t="shared" ca="1" si="2"/>
        <v>Delivered</v>
      </c>
      <c r="N7" s="1" t="str">
        <f t="shared" ca="1" si="3"/>
        <v>-</v>
      </c>
      <c r="O7" s="1" t="str">
        <f t="shared" ca="1" si="4"/>
        <v>Delivered</v>
      </c>
      <c r="P7" s="1" t="str">
        <f t="shared" ca="1" si="5"/>
        <v>-</v>
      </c>
      <c r="Q7" s="1" t="str">
        <f t="shared" ca="1" si="6"/>
        <v>-</v>
      </c>
      <c r="R7" s="1">
        <f t="shared" ca="1" si="7"/>
        <v>0</v>
      </c>
      <c r="S7" s="1" t="s">
        <v>360</v>
      </c>
      <c r="T7" s="7" t="str">
        <f t="shared" si="8"/>
        <v>Q3-C1</v>
      </c>
      <c r="U7" s="1">
        <f ca="1">IF(AND($E7&lt;&gt;"",OR($C7="Ready to Develop",$C7="7 PI Started",$C7="6 Epic Backlog",$C7="Done")),IFERROR(VLOOKUP($A7,INDIRECT("'"&amp;$T7&amp;"'"&amp;VLOOKUP($T7,Config!$B$4:$L$11,2)),VLOOKUP($T7,Config!$B$4:$L$11,5),FALSE),"-"),"-")</f>
        <v>16</v>
      </c>
      <c r="V7" s="1">
        <f ca="1">IF($C7="Done",IFERROR(VLOOKUP($A7,INDIRECT("'"&amp;$T7&amp;"'"&amp;VLOOKUP($T7,Config!$B$4:$L$11,2)),VLOOKUP($T7,Config!$B$4:$L$11,7),FALSE),"-"),"-")</f>
        <v>14</v>
      </c>
      <c r="W7" s="1">
        <f ca="1">IF(AND($E7&lt;&gt;"",OR($C7="Ready to Develop",$C7="7 PI Started",$C7="6 Epic Backlog",$C7="Done")),IFERROR(VLOOKUP($A7,INDIRECT("'"&amp;$T7&amp;"'"&amp;VLOOKUP($T7,Config!$B$4:$L$11,2)),VLOOKUP($T7,Config!$B$4:$L$11,9),FALSE),"-"),"-")</f>
        <v>1</v>
      </c>
      <c r="X7" s="1">
        <f ca="1">IF($C7="Done",IFERROR(VLOOKUP($A7,INDIRECT("'"&amp;$T7&amp;"'"&amp;VLOOKUP($T7,Config!$B$4:$L$11,2)),VLOOKUP($T7,Config!$B$4:$L$11,11),FALSE),"-"),"-")</f>
        <v>1</v>
      </c>
      <c r="Y7" s="1" t="str">
        <f ca="1">IF(AND($E7&lt;&gt;"",OR($C7="Ready to Develop",$C7="7 PI Started",$C7="6 Epic Backlog",$C7="Done")),IFERROR(VLOOKUP($A7,INDIRECT("'"&amp;$T7&amp;"'"&amp;VLOOKUP($T7,Config!$B$4:$P$11,2)),VLOOKUP($T7,Config!$B$4:$P$11,13),FALSE),"-"),"-")</f>
        <v>-</v>
      </c>
      <c r="Z7" s="1" t="str">
        <f ca="1">IF(AND($E7&lt;&gt;"",OR($C7="Ready to Develop",$C7="7 PI Started",$C7="6 Epic Backlog",$C7="Done")),IFERROR(VLOOKUP($A7,INDIRECT("'"&amp;$T7&amp;"'"&amp;VLOOKUP($T7,Config!$B$4:$P$11,2)),VLOOKUP($T7,Config!$B$4:$P$11,15),FALSE),"-"),"-")</f>
        <v>-</v>
      </c>
    </row>
    <row r="8" spans="1:26" x14ac:dyDescent="0.2">
      <c r="A8" s="405" t="s">
        <v>229</v>
      </c>
      <c r="B8" t="s">
        <v>230</v>
      </c>
      <c r="C8" t="s">
        <v>144</v>
      </c>
      <c r="D8" s="463"/>
      <c r="E8" s="406" t="s">
        <v>360</v>
      </c>
      <c r="F8" s="19"/>
      <c r="G8" s="19"/>
      <c r="H8" s="19"/>
      <c r="I8" s="19">
        <v>45478</v>
      </c>
      <c r="J8" s="19"/>
      <c r="K8" s="19" t="str">
        <f t="shared" si="0"/>
        <v>-</v>
      </c>
      <c r="L8" s="1" t="str">
        <f t="shared" si="1"/>
        <v>-</v>
      </c>
      <c r="M8" s="19" t="str">
        <f t="shared" ca="1" si="2"/>
        <v>Delivered</v>
      </c>
      <c r="N8" s="1" t="str">
        <f t="shared" ca="1" si="3"/>
        <v>-</v>
      </c>
      <c r="O8" s="1" t="str">
        <f t="shared" ca="1" si="4"/>
        <v>Delivered</v>
      </c>
      <c r="P8" s="1" t="str">
        <f t="shared" ca="1" si="5"/>
        <v>-</v>
      </c>
      <c r="Q8" s="1" t="str">
        <f t="shared" ca="1" si="6"/>
        <v>-</v>
      </c>
      <c r="R8" s="1">
        <f t="shared" ca="1" si="7"/>
        <v>0</v>
      </c>
      <c r="S8" s="1" t="s">
        <v>360</v>
      </c>
      <c r="T8" s="7" t="str">
        <f t="shared" si="8"/>
        <v>Q3-C1</v>
      </c>
      <c r="U8" s="1">
        <f ca="1">IF(AND($E8&lt;&gt;"",OR($C8="Ready to Develop",$C8="7 PI Started",$C8="6 Epic Backlog",$C8="Done")),IFERROR(VLOOKUP($A8,INDIRECT("'"&amp;$T8&amp;"'"&amp;VLOOKUP($T8,Config!$B$4:$L$11,2)),VLOOKUP($T8,Config!$B$4:$L$11,5),FALSE),"-"),"-")</f>
        <v>2</v>
      </c>
      <c r="V8" s="1">
        <f ca="1">IF($C8="Done",IFERROR(VLOOKUP($A8,INDIRECT("'"&amp;$T8&amp;"'"&amp;VLOOKUP($T8,Config!$B$4:$L$11,2)),VLOOKUP($T8,Config!$B$4:$L$11,7),FALSE),"-"),"-")</f>
        <v>4</v>
      </c>
      <c r="W8" s="1">
        <f ca="1">IF(AND($E8&lt;&gt;"",OR($C8="Ready to Develop",$C8="7 PI Started",$C8="6 Epic Backlog",$C8="Done")),IFERROR(VLOOKUP($A8,INDIRECT("'"&amp;$T8&amp;"'"&amp;VLOOKUP($T8,Config!$B$4:$L$11,2)),VLOOKUP($T8,Config!$B$4:$L$11,9),FALSE),"-"),"-")</f>
        <v>1</v>
      </c>
      <c r="X8" s="1">
        <f ca="1">IF($C8="Done",IFERROR(VLOOKUP($A8,INDIRECT("'"&amp;$T8&amp;"'"&amp;VLOOKUP($T8,Config!$B$4:$L$11,2)),VLOOKUP($T8,Config!$B$4:$L$11,11),FALSE),"-"),"-")</f>
        <v>1</v>
      </c>
      <c r="Y8" s="1" t="str">
        <f ca="1">IF(AND($E8&lt;&gt;"",OR($C8="Ready to Develop",$C8="7 PI Started",$C8="6 Epic Backlog",$C8="Done")),IFERROR(VLOOKUP($A8,INDIRECT("'"&amp;$T8&amp;"'"&amp;VLOOKUP($T8,Config!$B$4:$P$11,2)),VLOOKUP($T8,Config!$B$4:$P$11,13),FALSE),"-"),"-")</f>
        <v>-</v>
      </c>
      <c r="Z8" s="1" t="str">
        <f ca="1">IF(AND($E8&lt;&gt;"",OR($C8="Ready to Develop",$C8="7 PI Started",$C8="6 Epic Backlog",$C8="Done")),IFERROR(VLOOKUP($A8,INDIRECT("'"&amp;$T8&amp;"'"&amp;VLOOKUP($T8,Config!$B$4:$P$11,2)),VLOOKUP($T8,Config!$B$4:$P$11,15),FALSE),"-"),"-")</f>
        <v>-</v>
      </c>
    </row>
    <row r="9" spans="1:26" x14ac:dyDescent="0.2">
      <c r="A9" s="405" t="s">
        <v>236</v>
      </c>
      <c r="B9" t="s">
        <v>237</v>
      </c>
      <c r="C9" t="s">
        <v>144</v>
      </c>
      <c r="D9" s="463" t="s">
        <v>387</v>
      </c>
      <c r="E9" s="406" t="s">
        <v>360</v>
      </c>
      <c r="F9" s="19"/>
      <c r="G9" s="19"/>
      <c r="H9" s="19"/>
      <c r="I9" s="19">
        <v>45491</v>
      </c>
      <c r="J9" s="19"/>
      <c r="K9" s="19" t="str">
        <f t="shared" si="0"/>
        <v>-</v>
      </c>
      <c r="L9" s="1" t="str">
        <f t="shared" si="1"/>
        <v>-</v>
      </c>
      <c r="M9" s="19" t="str">
        <f t="shared" ca="1" si="2"/>
        <v>Delivered</v>
      </c>
      <c r="N9" s="1" t="str">
        <f t="shared" ca="1" si="3"/>
        <v>-</v>
      </c>
      <c r="O9" s="1" t="str">
        <f t="shared" ca="1" si="4"/>
        <v>Delivered</v>
      </c>
      <c r="P9" s="1" t="str">
        <f t="shared" ca="1" si="5"/>
        <v>-</v>
      </c>
      <c r="Q9" s="1" t="str">
        <f t="shared" ca="1" si="6"/>
        <v>-</v>
      </c>
      <c r="R9" s="1">
        <f t="shared" ca="1" si="7"/>
        <v>0</v>
      </c>
      <c r="S9" s="1" t="s">
        <v>360</v>
      </c>
      <c r="T9" s="7" t="str">
        <f t="shared" si="8"/>
        <v>Q3-C1</v>
      </c>
      <c r="U9" s="1">
        <f ca="1">IF(AND($E9&lt;&gt;"",OR($C9="Ready to Develop",$C9="7 PI Started",$C9="6 Epic Backlog",$C9="Done")),IFERROR(VLOOKUP($A9,INDIRECT("'"&amp;$T9&amp;"'"&amp;VLOOKUP($T9,Config!$B$4:$L$11,2)),VLOOKUP($T9,Config!$B$4:$L$11,5),FALSE),"-"),"-")</f>
        <v>11</v>
      </c>
      <c r="V9" s="1">
        <f ca="1">IF($C9="Done",IFERROR(VLOOKUP($A9,INDIRECT("'"&amp;$T9&amp;"'"&amp;VLOOKUP($T9,Config!$B$4:$L$11,2)),VLOOKUP($T9,Config!$B$4:$L$11,7),FALSE),"-"),"-")</f>
        <v>15</v>
      </c>
      <c r="W9" s="1">
        <f ca="1">IF(AND($E9&lt;&gt;"",OR($C9="Ready to Develop",$C9="7 PI Started",$C9="6 Epic Backlog",$C9="Done")),IFERROR(VLOOKUP($A9,INDIRECT("'"&amp;$T9&amp;"'"&amp;VLOOKUP($T9,Config!$B$4:$L$11,2)),VLOOKUP($T9,Config!$B$4:$L$11,9),FALSE),"-"),"-")</f>
        <v>1</v>
      </c>
      <c r="X9" s="1">
        <f ca="1">IF($C9="Done",IFERROR(VLOOKUP($A9,INDIRECT("'"&amp;$T9&amp;"'"&amp;VLOOKUP($T9,Config!$B$4:$L$11,2)),VLOOKUP($T9,Config!$B$4:$L$11,11),FALSE),"-"),"-")</f>
        <v>1</v>
      </c>
      <c r="Y9" s="1" t="str">
        <f ca="1">IF(AND($E9&lt;&gt;"",OR($C9="Ready to Develop",$C9="7 PI Started",$C9="6 Epic Backlog",$C9="Done")),IFERROR(VLOOKUP($A9,INDIRECT("'"&amp;$T9&amp;"'"&amp;VLOOKUP($T9,Config!$B$4:$P$11,2)),VLOOKUP($T9,Config!$B$4:$P$11,13),FALSE),"-"),"-")</f>
        <v>-</v>
      </c>
      <c r="Z9" s="1" t="str">
        <f ca="1">IF(AND($E9&lt;&gt;"",OR($C9="Ready to Develop",$C9="7 PI Started",$C9="6 Epic Backlog",$C9="Done")),IFERROR(VLOOKUP($A9,INDIRECT("'"&amp;$T9&amp;"'"&amp;VLOOKUP($T9,Config!$B$4:$P$11,2)),VLOOKUP($T9,Config!$B$4:$P$11,15),FALSE),"-"),"-")</f>
        <v>-</v>
      </c>
    </row>
    <row r="10" spans="1:26" x14ac:dyDescent="0.2">
      <c r="A10" s="405" t="s">
        <v>190</v>
      </c>
      <c r="B10" t="s">
        <v>390</v>
      </c>
      <c r="C10" t="s">
        <v>144</v>
      </c>
      <c r="D10" s="406" t="s">
        <v>387</v>
      </c>
      <c r="E10" s="406" t="s">
        <v>391</v>
      </c>
      <c r="F10" s="19"/>
      <c r="G10" s="19"/>
      <c r="H10" s="19">
        <v>45449</v>
      </c>
      <c r="I10" s="19">
        <v>45471</v>
      </c>
      <c r="J10" s="19"/>
      <c r="K10" s="19" t="str">
        <f t="shared" si="0"/>
        <v>-</v>
      </c>
      <c r="L10" s="1" t="str">
        <f t="shared" si="1"/>
        <v>-</v>
      </c>
      <c r="M10" s="19" t="str">
        <f t="shared" ca="1" si="2"/>
        <v>Delivered</v>
      </c>
      <c r="N10" s="1" t="str">
        <f t="shared" ca="1" si="3"/>
        <v>-</v>
      </c>
      <c r="O10" s="1" t="str">
        <f t="shared" ca="1" si="4"/>
        <v>Delivered</v>
      </c>
      <c r="P10" s="1" t="str">
        <f t="shared" ca="1" si="5"/>
        <v>-</v>
      </c>
      <c r="Q10" s="1">
        <f t="shared" ca="1" si="6"/>
        <v>22</v>
      </c>
      <c r="R10" s="1">
        <f t="shared" ca="1" si="7"/>
        <v>0</v>
      </c>
      <c r="S10" s="1" t="s">
        <v>366</v>
      </c>
      <c r="T10" s="7" t="str">
        <f t="shared" si="8"/>
        <v>Q2-C2</v>
      </c>
      <c r="U10" s="1">
        <f ca="1">IF(AND($E10&lt;&gt;"",OR($C10="Ready to Develop",$C10="7 PI Started",$C10="6 Epic Backlog",$C10="Done")),IFERROR(VLOOKUP($A10,INDIRECT("'"&amp;$T10&amp;"'"&amp;VLOOKUP($T10,Config!$B$4:$L$11,2)),VLOOKUP($T10,Config!$B$4:$L$11,5),FALSE),"-"),"-")</f>
        <v>5</v>
      </c>
      <c r="V10" s="1">
        <f ca="1">IF($C10="Done",IFERROR(VLOOKUP($A10,INDIRECT("'"&amp;$T10&amp;"'"&amp;VLOOKUP($T10,Config!$B$4:$L$11,2)),VLOOKUP($T10,Config!$B$4:$L$11,7),FALSE),"-"),"-")</f>
        <v>0</v>
      </c>
      <c r="W10" s="1">
        <f ca="1">IF(AND($E10&lt;&gt;"",OR($C10="Ready to Develop",$C10="7 PI Started",$C10="6 Epic Backlog",$C10="Done")),IFERROR(VLOOKUP($A10,INDIRECT("'"&amp;$T10&amp;"'"&amp;VLOOKUP($T10,Config!$B$4:$L$11,2)),VLOOKUP($T10,Config!$B$4:$L$11,9),FALSE),"-"),"-")</f>
        <v>1</v>
      </c>
      <c r="X10" s="1">
        <f ca="1">IF($C10="Done",IFERROR(VLOOKUP($A10,INDIRECT("'"&amp;$T10&amp;"'"&amp;VLOOKUP($T10,Config!$B$4:$L$11,2)),VLOOKUP($T10,Config!$B$4:$L$11,11),FALSE),"-"),"-")</f>
        <v>0</v>
      </c>
      <c r="Y10" s="1" t="str">
        <f ca="1">IF(AND($E10&lt;&gt;"",OR($C10="Ready to Develop",$C10="7 PI Started",$C10="6 Epic Backlog",$C10="Done")),IFERROR(VLOOKUP($A10,INDIRECT("'"&amp;$T10&amp;"'"&amp;VLOOKUP($T10,Config!$B$4:$P$11,2)),VLOOKUP($T10,Config!$B$4:$P$11,13),FALSE),"-"),"-")</f>
        <v>-</v>
      </c>
      <c r="Z10" s="1" t="str">
        <f ca="1">IF(AND($E10&lt;&gt;"",OR($C10="Ready to Develop",$C10="7 PI Started",$C10="6 Epic Backlog",$C10="Done")),IFERROR(VLOOKUP($A10,INDIRECT("'"&amp;$T10&amp;"'"&amp;VLOOKUP($T10,Config!$B$4:$P$11,2)),VLOOKUP($T10,Config!$B$4:$P$11,15),FALSE),"-"),"-")</f>
        <v>-</v>
      </c>
    </row>
    <row r="11" spans="1:26" x14ac:dyDescent="0.2">
      <c r="A11" s="405" t="s">
        <v>226</v>
      </c>
      <c r="B11" t="s">
        <v>392</v>
      </c>
      <c r="C11" t="s">
        <v>393</v>
      </c>
      <c r="D11" s="463" t="s">
        <v>206</v>
      </c>
      <c r="E11" s="406" t="s">
        <v>360</v>
      </c>
      <c r="F11" s="19"/>
      <c r="G11" s="19"/>
      <c r="H11" s="19"/>
      <c r="I11" s="19"/>
      <c r="J11" s="19"/>
      <c r="K11" s="19" t="str">
        <f t="shared" si="0"/>
        <v>-</v>
      </c>
      <c r="L11" s="1" t="str">
        <f t="shared" si="1"/>
        <v>-</v>
      </c>
      <c r="M11" s="19" t="str">
        <f t="shared" ca="1" si="2"/>
        <v>Archived</v>
      </c>
      <c r="N11" s="1" t="str">
        <f t="shared" ca="1" si="3"/>
        <v>-</v>
      </c>
      <c r="O11" s="1" t="str">
        <f t="shared" ca="1" si="4"/>
        <v>Archived</v>
      </c>
      <c r="P11" s="1" t="str">
        <f t="shared" ca="1" si="5"/>
        <v>-</v>
      </c>
      <c r="Q11" s="1" t="str">
        <f t="shared" ca="1" si="6"/>
        <v>-</v>
      </c>
      <c r="R11" s="1" t="str">
        <f t="shared" ca="1" si="7"/>
        <v>-</v>
      </c>
      <c r="S11" s="1" t="s">
        <v>360</v>
      </c>
      <c r="T11" s="7" t="str">
        <f t="shared" si="8"/>
        <v>Q3-C1</v>
      </c>
      <c r="U11" s="1" t="str">
        <f ca="1">IF(AND($E11&lt;&gt;"",OR($C11="Ready to Develop",$C11="7 PI Started",$C11="6 Epic Backlog",$C11="Done")),IFERROR(VLOOKUP($A11,INDIRECT("'"&amp;$T11&amp;"'"&amp;VLOOKUP($T11,Config!$B$4:$L$11,2)),VLOOKUP($T11,Config!$B$4:$L$11,5),FALSE),"-"),"-")</f>
        <v>-</v>
      </c>
      <c r="V11" s="1" t="str">
        <f ca="1">IF($C11="Done",IFERROR(VLOOKUP($A11,INDIRECT("'"&amp;$T11&amp;"'"&amp;VLOOKUP($T11,Config!$B$4:$L$11,2)),VLOOKUP($T11,Config!$B$4:$L$11,7),FALSE),"-"),"-")</f>
        <v>-</v>
      </c>
      <c r="W11" s="1" t="str">
        <f ca="1">IF(AND($E11&lt;&gt;"",OR($C11="Ready to Develop",$C11="7 PI Started",$C11="6 Epic Backlog",$C11="Done")),IFERROR(VLOOKUP($A11,INDIRECT("'"&amp;$T11&amp;"'"&amp;VLOOKUP($T11,Config!$B$4:$L$11,2)),VLOOKUP($T11,Config!$B$4:$L$11,9),FALSE),"-"),"-")</f>
        <v>-</v>
      </c>
      <c r="X11" s="1" t="str">
        <f ca="1">IF($C11="Done",IFERROR(VLOOKUP($A11,INDIRECT("'"&amp;$T11&amp;"'"&amp;VLOOKUP($T11,Config!$B$4:$L$11,2)),VLOOKUP($T11,Config!$B$4:$L$11,11),FALSE),"-"),"-")</f>
        <v>-</v>
      </c>
      <c r="Y11" s="1" t="str">
        <f ca="1">IF(AND($E11&lt;&gt;"",OR($C11="Ready to Develop",$C11="7 PI Started",$C11="6 Epic Backlog",$C11="Done")),IFERROR(VLOOKUP($A11,INDIRECT("'"&amp;$T11&amp;"'"&amp;VLOOKUP($T11,Config!$B$4:$P$11,2)),VLOOKUP($T11,Config!$B$4:$P$11,13),FALSE),"-"),"-")</f>
        <v>-</v>
      </c>
      <c r="Z11" s="1" t="str">
        <f ca="1">IF(AND($E11&lt;&gt;"",OR($C11="Ready to Develop",$C11="7 PI Started",$C11="6 Epic Backlog",$C11="Done")),IFERROR(VLOOKUP($A11,INDIRECT("'"&amp;$T11&amp;"'"&amp;VLOOKUP($T11,Config!$B$4:$P$11,2)),VLOOKUP($T11,Config!$B$4:$P$11,15),FALSE),"-"),"-")</f>
        <v>-</v>
      </c>
    </row>
    <row r="12" spans="1:26" x14ac:dyDescent="0.2">
      <c r="A12" s="405" t="s">
        <v>220</v>
      </c>
      <c r="B12" t="s">
        <v>221</v>
      </c>
      <c r="C12" t="s">
        <v>144</v>
      </c>
      <c r="D12" s="406" t="s">
        <v>387</v>
      </c>
      <c r="E12" s="406" t="s">
        <v>394</v>
      </c>
      <c r="F12" s="19"/>
      <c r="G12" s="19"/>
      <c r="H12" s="19"/>
      <c r="I12" s="19">
        <v>45513</v>
      </c>
      <c r="J12" s="19"/>
      <c r="K12" s="19" t="str">
        <f t="shared" si="0"/>
        <v>-</v>
      </c>
      <c r="L12" s="1" t="str">
        <f t="shared" si="1"/>
        <v>-</v>
      </c>
      <c r="M12" s="19" t="str">
        <f t="shared" ca="1" si="2"/>
        <v>Delivered</v>
      </c>
      <c r="N12" s="1" t="str">
        <f t="shared" ca="1" si="3"/>
        <v>-</v>
      </c>
      <c r="O12" s="1" t="str">
        <f t="shared" ca="1" si="4"/>
        <v>Delivered</v>
      </c>
      <c r="P12" s="1" t="str">
        <f t="shared" ca="1" si="5"/>
        <v>-</v>
      </c>
      <c r="Q12" s="1" t="str">
        <f t="shared" ca="1" si="6"/>
        <v>-</v>
      </c>
      <c r="R12" s="1">
        <f t="shared" ca="1" si="7"/>
        <v>0</v>
      </c>
      <c r="S12" s="1" t="s">
        <v>360</v>
      </c>
      <c r="T12" s="7" t="str">
        <f t="shared" si="8"/>
        <v>Q3-C1</v>
      </c>
      <c r="U12" s="1">
        <f ca="1">IF(AND($E12&lt;&gt;"",OR($C12="Ready to Develop",$C12="7 PI Started",$C12="6 Epic Backlog",$C12="Done")),IFERROR(VLOOKUP($A12,INDIRECT("'"&amp;$T12&amp;"'"&amp;VLOOKUP($T12,Config!$B$4:$L$11,2)),VLOOKUP($T12,Config!$B$4:$L$11,5),FALSE),"-"),"-")</f>
        <v>18</v>
      </c>
      <c r="V12" s="1">
        <f ca="1">IF($C12="Done",IFERROR(VLOOKUP($A12,INDIRECT("'"&amp;$T12&amp;"'"&amp;VLOOKUP($T12,Config!$B$4:$L$11,2)),VLOOKUP($T12,Config!$B$4:$L$11,7),FALSE),"-"),"-")</f>
        <v>18</v>
      </c>
      <c r="W12" s="1">
        <f ca="1">IF(AND($E12&lt;&gt;"",OR($C12="Ready to Develop",$C12="7 PI Started",$C12="6 Epic Backlog",$C12="Done")),IFERROR(VLOOKUP($A12,INDIRECT("'"&amp;$T12&amp;"'"&amp;VLOOKUP($T12,Config!$B$4:$L$11,2)),VLOOKUP($T12,Config!$B$4:$L$11,9),FALSE),"-"),"-")</f>
        <v>1</v>
      </c>
      <c r="X12" s="1">
        <f ca="1">IF($C12="Done",IFERROR(VLOOKUP($A12,INDIRECT("'"&amp;$T12&amp;"'"&amp;VLOOKUP($T12,Config!$B$4:$L$11,2)),VLOOKUP($T12,Config!$B$4:$L$11,11),FALSE),"-"),"-")</f>
        <v>1</v>
      </c>
      <c r="Y12" s="1" t="str">
        <f ca="1">IF(AND($E12&lt;&gt;"",OR($C12="Ready to Develop",$C12="7 PI Started",$C12="6 Epic Backlog",$C12="Done")),IFERROR(VLOOKUP($A12,INDIRECT("'"&amp;$T12&amp;"'"&amp;VLOOKUP($T12,Config!$B$4:$P$11,2)),VLOOKUP($T12,Config!$B$4:$P$11,13),FALSE),"-"),"-")</f>
        <v>-</v>
      </c>
      <c r="Z12" s="1" t="str">
        <f ca="1">IF(AND($E12&lt;&gt;"",OR($C12="Ready to Develop",$C12="7 PI Started",$C12="6 Epic Backlog",$C12="Done")),IFERROR(VLOOKUP($A12,INDIRECT("'"&amp;$T12&amp;"'"&amp;VLOOKUP($T12,Config!$B$4:$P$11,2)),VLOOKUP($T12,Config!$B$4:$P$11,15),FALSE),"-"),"-")</f>
        <v>-</v>
      </c>
    </row>
    <row r="13" spans="1:26" x14ac:dyDescent="0.2">
      <c r="A13" s="405" t="s">
        <v>395</v>
      </c>
      <c r="B13" t="s">
        <v>169</v>
      </c>
      <c r="C13" t="s">
        <v>393</v>
      </c>
      <c r="D13" t="s">
        <v>388</v>
      </c>
      <c r="E13" s="404" t="s">
        <v>361</v>
      </c>
      <c r="F13" s="19"/>
      <c r="G13" s="19"/>
      <c r="H13" s="19"/>
      <c r="I13" s="19"/>
      <c r="J13" s="19"/>
      <c r="K13" s="19" t="str">
        <f t="shared" si="0"/>
        <v>-</v>
      </c>
      <c r="L13" s="1" t="str">
        <f t="shared" si="1"/>
        <v>-</v>
      </c>
      <c r="M13" s="19" t="str">
        <f t="shared" ca="1" si="2"/>
        <v>Archived</v>
      </c>
      <c r="N13" s="1" t="str">
        <f t="shared" ca="1" si="3"/>
        <v>-</v>
      </c>
      <c r="O13" s="1" t="str">
        <f t="shared" ca="1" si="4"/>
        <v>Archived</v>
      </c>
      <c r="P13" s="1" t="str">
        <f t="shared" ca="1" si="5"/>
        <v>-</v>
      </c>
      <c r="Q13" s="1" t="str">
        <f t="shared" ca="1" si="6"/>
        <v>-</v>
      </c>
      <c r="R13" s="1" t="str">
        <f t="shared" ca="1" si="7"/>
        <v>-</v>
      </c>
      <c r="S13" s="1" t="s">
        <v>361</v>
      </c>
      <c r="T13" s="7" t="str">
        <f t="shared" si="8"/>
        <v>Q2-C1</v>
      </c>
      <c r="U13" s="1" t="str">
        <f ca="1">IF(AND($E13&lt;&gt;"",OR($C13="Ready to Develop",$C13="7 PI Started",$C13="6 Epic Backlog",$C13="Done")),IFERROR(VLOOKUP($A13,INDIRECT("'"&amp;$T13&amp;"'"&amp;VLOOKUP($T13,Config!$B$4:$L$11,2)),VLOOKUP($T13,Config!$B$4:$L$11,5),FALSE),"-"),"-")</f>
        <v>-</v>
      </c>
      <c r="V13" s="1" t="str">
        <f ca="1">IF($C13="Done",IFERROR(VLOOKUP($A13,INDIRECT("'"&amp;$T13&amp;"'"&amp;VLOOKUP($T13,Config!$B$4:$L$11,2)),VLOOKUP($T13,Config!$B$4:$L$11,7),FALSE),"-"),"-")</f>
        <v>-</v>
      </c>
      <c r="W13" s="1" t="str">
        <f ca="1">IF(AND($E13&lt;&gt;"",OR($C13="Ready to Develop",$C13="7 PI Started",$C13="6 Epic Backlog",$C13="Done")),IFERROR(VLOOKUP($A13,INDIRECT("'"&amp;$T13&amp;"'"&amp;VLOOKUP($T13,Config!$B$4:$L$11,2)),VLOOKUP($T13,Config!$B$4:$L$11,9),FALSE),"-"),"-")</f>
        <v>-</v>
      </c>
      <c r="X13" s="1" t="str">
        <f ca="1">IF($C13="Done",IFERROR(VLOOKUP($A13,INDIRECT("'"&amp;$T13&amp;"'"&amp;VLOOKUP($T13,Config!$B$4:$L$11,2)),VLOOKUP($T13,Config!$B$4:$L$11,11),FALSE),"-"),"-")</f>
        <v>-</v>
      </c>
      <c r="Y13" s="1" t="str">
        <f ca="1">IF(AND($E13&lt;&gt;"",OR($C13="Ready to Develop",$C13="7 PI Started",$C13="6 Epic Backlog",$C13="Done")),IFERROR(VLOOKUP($A13,INDIRECT("'"&amp;$T13&amp;"'"&amp;VLOOKUP($T13,Config!$B$4:$P$11,2)),VLOOKUP($T13,Config!$B$4:$P$11,13),FALSE),"-"),"-")</f>
        <v>-</v>
      </c>
      <c r="Z13" s="1" t="str">
        <f ca="1">IF(AND($E13&lt;&gt;"",OR($C13="Ready to Develop",$C13="7 PI Started",$C13="6 Epic Backlog",$C13="Done")),IFERROR(VLOOKUP($A13,INDIRECT("'"&amp;$T13&amp;"'"&amp;VLOOKUP($T13,Config!$B$4:$P$11,2)),VLOOKUP($T13,Config!$B$4:$P$11,15),FALSE),"-"),"-")</f>
        <v>-</v>
      </c>
    </row>
    <row r="14" spans="1:26" x14ac:dyDescent="0.2">
      <c r="A14" s="405" t="s">
        <v>165</v>
      </c>
      <c r="B14" t="s">
        <v>396</v>
      </c>
      <c r="C14" t="s">
        <v>144</v>
      </c>
      <c r="D14" t="s">
        <v>387</v>
      </c>
      <c r="E14" s="404" t="s">
        <v>361</v>
      </c>
      <c r="F14" s="19"/>
      <c r="G14" s="19"/>
      <c r="H14" s="19"/>
      <c r="I14" s="19">
        <v>45427</v>
      </c>
      <c r="J14" s="19"/>
      <c r="K14" s="19" t="str">
        <f t="shared" si="0"/>
        <v>-</v>
      </c>
      <c r="L14" s="1" t="str">
        <f t="shared" si="1"/>
        <v>-</v>
      </c>
      <c r="M14" s="19" t="str">
        <f t="shared" ca="1" si="2"/>
        <v>Delivered</v>
      </c>
      <c r="N14" s="1" t="str">
        <f t="shared" ca="1" si="3"/>
        <v>-</v>
      </c>
      <c r="O14" s="1" t="str">
        <f t="shared" ca="1" si="4"/>
        <v>Delivered</v>
      </c>
      <c r="P14" s="1" t="str">
        <f t="shared" ca="1" si="5"/>
        <v>-</v>
      </c>
      <c r="Q14" s="1" t="str">
        <f t="shared" ca="1" si="6"/>
        <v>-</v>
      </c>
      <c r="R14" s="1">
        <f t="shared" ca="1" si="7"/>
        <v>0</v>
      </c>
      <c r="S14" s="1" t="s">
        <v>361</v>
      </c>
      <c r="T14" s="7" t="str">
        <f t="shared" si="8"/>
        <v>Q2-C1</v>
      </c>
      <c r="U14" s="1">
        <f ca="1">IF(AND($E14&lt;&gt;"",OR($C14="Ready to Develop",$C14="7 PI Started",$C14="6 Epic Backlog",$C14="Done")),IFERROR(VLOOKUP($A14,INDIRECT("'"&amp;$T14&amp;"'"&amp;VLOOKUP($T14,Config!$B$4:$L$11,2)),VLOOKUP($T14,Config!$B$4:$L$11,5),FALSE),"-"),"-")</f>
        <v>34</v>
      </c>
      <c r="V14" s="1">
        <f ca="1">IF($C14="Done",IFERROR(VLOOKUP($A14,INDIRECT("'"&amp;$T14&amp;"'"&amp;VLOOKUP($T14,Config!$B$4:$L$11,2)),VLOOKUP($T14,Config!$B$4:$L$11,7),FALSE),"-"),"-")</f>
        <v>25</v>
      </c>
      <c r="W14" s="1">
        <f ca="1">IF(AND($E14&lt;&gt;"",OR($C14="Ready to Develop",$C14="7 PI Started",$C14="6 Epic Backlog",$C14="Done")),IFERROR(VLOOKUP($A14,INDIRECT("'"&amp;$T14&amp;"'"&amp;VLOOKUP($T14,Config!$B$4:$L$11,2)),VLOOKUP($T14,Config!$B$4:$L$11,9),FALSE),"-"),"-")</f>
        <v>2</v>
      </c>
      <c r="X14" s="1">
        <f ca="1">IF($C14="Done",IFERROR(VLOOKUP($A14,INDIRECT("'"&amp;$T14&amp;"'"&amp;VLOOKUP($T14,Config!$B$4:$L$11,2)),VLOOKUP($T14,Config!$B$4:$L$11,11),FALSE),"-"),"-")</f>
        <v>2</v>
      </c>
      <c r="Y14" s="1" t="str">
        <f ca="1">IF(AND($E14&lt;&gt;"",OR($C14="Ready to Develop",$C14="7 PI Started",$C14="6 Epic Backlog",$C14="Done")),IFERROR(VLOOKUP($A14,INDIRECT("'"&amp;$T14&amp;"'"&amp;VLOOKUP($T14,Config!$B$4:$P$11,2)),VLOOKUP($T14,Config!$B$4:$P$11,13),FALSE),"-"),"-")</f>
        <v>-</v>
      </c>
      <c r="Z14" s="1" t="str">
        <f ca="1">IF(AND($E14&lt;&gt;"",OR($C14="Ready to Develop",$C14="7 PI Started",$C14="6 Epic Backlog",$C14="Done")),IFERROR(VLOOKUP($A14,INDIRECT("'"&amp;$T14&amp;"'"&amp;VLOOKUP($T14,Config!$B$4:$P$11,2)),VLOOKUP($T14,Config!$B$4:$P$11,15),FALSE),"-"),"-")</f>
        <v>-</v>
      </c>
    </row>
    <row r="15" spans="1:26" x14ac:dyDescent="0.2">
      <c r="A15" s="405" t="s">
        <v>150</v>
      </c>
      <c r="B15" t="s">
        <v>397</v>
      </c>
      <c r="C15" t="s">
        <v>144</v>
      </c>
      <c r="D15" t="s">
        <v>398</v>
      </c>
      <c r="E15" s="404" t="s">
        <v>361</v>
      </c>
      <c r="F15" s="19"/>
      <c r="G15" s="19"/>
      <c r="H15" s="19"/>
      <c r="I15" s="19">
        <v>45425</v>
      </c>
      <c r="J15" s="19"/>
      <c r="K15" s="19" t="str">
        <f t="shared" si="0"/>
        <v>-</v>
      </c>
      <c r="L15" s="1" t="str">
        <f t="shared" si="1"/>
        <v>-</v>
      </c>
      <c r="M15" s="19" t="str">
        <f t="shared" ca="1" si="2"/>
        <v>Delivered</v>
      </c>
      <c r="N15" s="1" t="str">
        <f t="shared" ca="1" si="3"/>
        <v>-</v>
      </c>
      <c r="O15" s="1" t="str">
        <f t="shared" ca="1" si="4"/>
        <v>Delivered</v>
      </c>
      <c r="P15" s="1" t="str">
        <f t="shared" ca="1" si="5"/>
        <v>-</v>
      </c>
      <c r="Q15" s="1" t="str">
        <f t="shared" ca="1" si="6"/>
        <v>-</v>
      </c>
      <c r="R15" s="1">
        <f t="shared" ca="1" si="7"/>
        <v>0</v>
      </c>
      <c r="S15" s="1" t="s">
        <v>361</v>
      </c>
      <c r="T15" s="7" t="str">
        <f t="shared" si="8"/>
        <v>Q2-C1</v>
      </c>
      <c r="U15" s="1">
        <f ca="1">IF(AND($E15&lt;&gt;"",OR($C15="Ready to Develop",$C15="7 PI Started",$C15="6 Epic Backlog",$C15="Done")),IFERROR(VLOOKUP($A15,INDIRECT("'"&amp;$T15&amp;"'"&amp;VLOOKUP($T15,Config!$B$4:$L$11,2)),VLOOKUP($T15,Config!$B$4:$L$11,5),FALSE),"-"),"-")</f>
        <v>29</v>
      </c>
      <c r="V15" s="1">
        <f ca="1">IF($C15="Done",IFERROR(VLOOKUP($A15,INDIRECT("'"&amp;$T15&amp;"'"&amp;VLOOKUP($T15,Config!$B$4:$L$11,2)),VLOOKUP($T15,Config!$B$4:$L$11,7),FALSE),"-"),"-")</f>
        <v>20</v>
      </c>
      <c r="W15" s="1">
        <f ca="1">IF(AND($E15&lt;&gt;"",OR($C15="Ready to Develop",$C15="7 PI Started",$C15="6 Epic Backlog",$C15="Done")),IFERROR(VLOOKUP($A15,INDIRECT("'"&amp;$T15&amp;"'"&amp;VLOOKUP($T15,Config!$B$4:$L$11,2)),VLOOKUP($T15,Config!$B$4:$L$11,9),FALSE),"-"),"-")</f>
        <v>2</v>
      </c>
      <c r="X15" s="1">
        <f ca="1">IF($C15="Done",IFERROR(VLOOKUP($A15,INDIRECT("'"&amp;$T15&amp;"'"&amp;VLOOKUP($T15,Config!$B$4:$L$11,2)),VLOOKUP($T15,Config!$B$4:$L$11,11),FALSE),"-"),"-")</f>
        <v>1</v>
      </c>
      <c r="Y15" s="1" t="str">
        <f ca="1">IF(AND($E15&lt;&gt;"",OR($C15="Ready to Develop",$C15="7 PI Started",$C15="6 Epic Backlog",$C15="Done")),IFERROR(VLOOKUP($A15,INDIRECT("'"&amp;$T15&amp;"'"&amp;VLOOKUP($T15,Config!$B$4:$P$11,2)),VLOOKUP($T15,Config!$B$4:$P$11,13),FALSE),"-"),"-")</f>
        <v>-</v>
      </c>
      <c r="Z15" s="1" t="str">
        <f ca="1">IF(AND($E15&lt;&gt;"",OR($C15="Ready to Develop",$C15="7 PI Started",$C15="6 Epic Backlog",$C15="Done")),IFERROR(VLOOKUP($A15,INDIRECT("'"&amp;$T15&amp;"'"&amp;VLOOKUP($T15,Config!$B$4:$P$11,2)),VLOOKUP($T15,Config!$B$4:$P$11,15),FALSE),"-"),"-")</f>
        <v>-</v>
      </c>
    </row>
    <row r="16" spans="1:26" x14ac:dyDescent="0.2">
      <c r="A16" s="405" t="s">
        <v>362</v>
      </c>
      <c r="B16" t="s">
        <v>363</v>
      </c>
      <c r="C16" t="s">
        <v>144</v>
      </c>
      <c r="D16" t="s">
        <v>389</v>
      </c>
      <c r="E16" s="404" t="s">
        <v>399</v>
      </c>
      <c r="F16" s="19"/>
      <c r="G16" s="19"/>
      <c r="H16" s="19"/>
      <c r="I16" s="19">
        <v>45415</v>
      </c>
      <c r="J16" s="19"/>
      <c r="K16" s="19" t="str">
        <f t="shared" si="0"/>
        <v>-</v>
      </c>
      <c r="L16" s="1" t="str">
        <f t="shared" si="1"/>
        <v>-</v>
      </c>
      <c r="M16" s="19" t="str">
        <f t="shared" ca="1" si="2"/>
        <v>Delivered</v>
      </c>
      <c r="N16" s="1" t="str">
        <f t="shared" ca="1" si="3"/>
        <v>-</v>
      </c>
      <c r="O16" s="1" t="str">
        <f t="shared" ca="1" si="4"/>
        <v>Delivered</v>
      </c>
      <c r="P16" s="1" t="str">
        <f t="shared" ca="1" si="5"/>
        <v>-</v>
      </c>
      <c r="Q16" s="1" t="str">
        <f t="shared" ca="1" si="6"/>
        <v>-</v>
      </c>
      <c r="R16" s="1">
        <f t="shared" ca="1" si="7"/>
        <v>0</v>
      </c>
      <c r="S16" s="1" t="s">
        <v>361</v>
      </c>
      <c r="T16" s="7" t="str">
        <f t="shared" si="8"/>
        <v>Q2-C1</v>
      </c>
      <c r="U16" s="1">
        <f ca="1">IF(AND($E16&lt;&gt;"",OR($C16="Ready to Develop",$C16="7 PI Started",$C16="6 Epic Backlog",$C16="Done")),IFERROR(VLOOKUP($A16,INDIRECT("'"&amp;$T16&amp;"'"&amp;VLOOKUP($T16,Config!$B$4:$L$11,2)),VLOOKUP($T16,Config!$B$4:$L$11,5),FALSE),"-"),"-")</f>
        <v>0</v>
      </c>
      <c r="V16" s="1">
        <f ca="1">IF($C16="Done",IFERROR(VLOOKUP($A16,INDIRECT("'"&amp;$T16&amp;"'"&amp;VLOOKUP($T16,Config!$B$4:$L$11,2)),VLOOKUP($T16,Config!$B$4:$L$11,7),FALSE),"-"),"-")</f>
        <v>9</v>
      </c>
      <c r="W16" s="1">
        <f ca="1">IF(AND($E16&lt;&gt;"",OR($C16="Ready to Develop",$C16="7 PI Started",$C16="6 Epic Backlog",$C16="Done")),IFERROR(VLOOKUP($A16,INDIRECT("'"&amp;$T16&amp;"'"&amp;VLOOKUP($T16,Config!$B$4:$L$11,2)),VLOOKUP($T16,Config!$B$4:$L$11,9),FALSE),"-"),"-")</f>
        <v>0</v>
      </c>
      <c r="X16" s="1">
        <f ca="1">IF($C16="Done",IFERROR(VLOOKUP($A16,INDIRECT("'"&amp;$T16&amp;"'"&amp;VLOOKUP($T16,Config!$B$4:$L$11,2)),VLOOKUP($T16,Config!$B$4:$L$11,11),FALSE),"-"),"-")</f>
        <v>1</v>
      </c>
      <c r="Y16" s="1" t="str">
        <f ca="1">IF(AND($E16&lt;&gt;"",OR($C16="Ready to Develop",$C16="7 PI Started",$C16="6 Epic Backlog",$C16="Done")),IFERROR(VLOOKUP($A16,INDIRECT("'"&amp;$T16&amp;"'"&amp;VLOOKUP($T16,Config!$B$4:$P$11,2)),VLOOKUP($T16,Config!$B$4:$P$11,13),FALSE),"-"),"-")</f>
        <v>-</v>
      </c>
      <c r="Z16" s="1" t="str">
        <f ca="1">IF(AND($E16&lt;&gt;"",OR($C16="Ready to Develop",$C16="7 PI Started",$C16="6 Epic Backlog",$C16="Done")),IFERROR(VLOOKUP($A16,INDIRECT("'"&amp;$T16&amp;"'"&amp;VLOOKUP($T16,Config!$B$4:$P$11,2)),VLOOKUP($T16,Config!$B$4:$P$11,15),FALSE),"-"),"-")</f>
        <v>-</v>
      </c>
    </row>
    <row r="17" spans="1:26" x14ac:dyDescent="0.2">
      <c r="A17" s="405" t="s">
        <v>154</v>
      </c>
      <c r="B17" t="s">
        <v>155</v>
      </c>
      <c r="C17" t="s">
        <v>144</v>
      </c>
      <c r="D17" t="s">
        <v>206</v>
      </c>
      <c r="E17" s="404" t="s">
        <v>361</v>
      </c>
      <c r="F17" s="19"/>
      <c r="G17" s="19"/>
      <c r="H17" s="19"/>
      <c r="I17" s="19">
        <v>45415</v>
      </c>
      <c r="J17" s="19"/>
      <c r="K17" s="19" t="str">
        <f t="shared" si="0"/>
        <v>-</v>
      </c>
      <c r="L17" s="1" t="str">
        <f t="shared" si="1"/>
        <v>-</v>
      </c>
      <c r="M17" s="19" t="str">
        <f t="shared" ca="1" si="2"/>
        <v>Delivered</v>
      </c>
      <c r="N17" s="1" t="str">
        <f t="shared" ca="1" si="3"/>
        <v>-</v>
      </c>
      <c r="O17" s="1" t="str">
        <f t="shared" ca="1" si="4"/>
        <v>Delivered</v>
      </c>
      <c r="P17" s="1" t="str">
        <f t="shared" ca="1" si="5"/>
        <v>-</v>
      </c>
      <c r="Q17" s="1" t="str">
        <f t="shared" ca="1" si="6"/>
        <v>-</v>
      </c>
      <c r="R17" s="1">
        <f t="shared" ca="1" si="7"/>
        <v>0</v>
      </c>
      <c r="S17" s="1" t="s">
        <v>361</v>
      </c>
      <c r="T17" s="7" t="str">
        <f t="shared" si="8"/>
        <v>Q2-C1</v>
      </c>
      <c r="U17" s="1">
        <f ca="1">IF(AND($E17&lt;&gt;"",OR($C17="Ready to Develop",$C17="7 PI Started",$C17="6 Epic Backlog",$C17="Done")),IFERROR(VLOOKUP($A17,INDIRECT("'"&amp;$T17&amp;"'"&amp;VLOOKUP($T17,Config!$B$4:$L$11,2)),VLOOKUP($T17,Config!$B$4:$L$11,5),FALSE),"-"),"-")</f>
        <v>16</v>
      </c>
      <c r="V17" s="1">
        <f ca="1">IF($C17="Done",IFERROR(VLOOKUP($A17,INDIRECT("'"&amp;$T17&amp;"'"&amp;VLOOKUP($T17,Config!$B$4:$L$11,2)),VLOOKUP($T17,Config!$B$4:$L$11,7),FALSE),"-"),"-")</f>
        <v>15</v>
      </c>
      <c r="W17" s="1">
        <f ca="1">IF(AND($E17&lt;&gt;"",OR($C17="Ready to Develop",$C17="7 PI Started",$C17="6 Epic Backlog",$C17="Done")),IFERROR(VLOOKUP($A17,INDIRECT("'"&amp;$T17&amp;"'"&amp;VLOOKUP($T17,Config!$B$4:$L$11,2)),VLOOKUP($T17,Config!$B$4:$L$11,9),FALSE),"-"),"-")</f>
        <v>1</v>
      </c>
      <c r="X17" s="1">
        <f ca="1">IF($C17="Done",IFERROR(VLOOKUP($A17,INDIRECT("'"&amp;$T17&amp;"'"&amp;VLOOKUP($T17,Config!$B$4:$L$11,2)),VLOOKUP($T17,Config!$B$4:$L$11,11),FALSE),"-"),"-")</f>
        <v>1</v>
      </c>
      <c r="Y17" s="1" t="str">
        <f ca="1">IF(AND($E17&lt;&gt;"",OR($C17="Ready to Develop",$C17="7 PI Started",$C17="6 Epic Backlog",$C17="Done")),IFERROR(VLOOKUP($A17,INDIRECT("'"&amp;$T17&amp;"'"&amp;VLOOKUP($T17,Config!$B$4:$P$11,2)),VLOOKUP($T17,Config!$B$4:$P$11,13),FALSE),"-"),"-")</f>
        <v>-</v>
      </c>
      <c r="Z17" s="1" t="str">
        <f ca="1">IF(AND($E17&lt;&gt;"",OR($C17="Ready to Develop",$C17="7 PI Started",$C17="6 Epic Backlog",$C17="Done")),IFERROR(VLOOKUP($A17,INDIRECT("'"&amp;$T17&amp;"'"&amp;VLOOKUP($T17,Config!$B$4:$P$11,2)),VLOOKUP($T17,Config!$B$4:$P$11,15),FALSE),"-"),"-")</f>
        <v>-</v>
      </c>
    </row>
    <row r="18" spans="1:26" x14ac:dyDescent="0.2">
      <c r="A18" s="405" t="s">
        <v>162</v>
      </c>
      <c r="B18" t="s">
        <v>163</v>
      </c>
      <c r="C18" t="s">
        <v>144</v>
      </c>
      <c r="D18" t="s">
        <v>400</v>
      </c>
      <c r="E18" s="404" t="s">
        <v>361</v>
      </c>
      <c r="F18" s="19"/>
      <c r="G18" s="19"/>
      <c r="H18" s="19">
        <v>45348</v>
      </c>
      <c r="I18" s="19">
        <v>45419</v>
      </c>
      <c r="J18" s="19"/>
      <c r="K18" s="19" t="str">
        <f t="shared" si="0"/>
        <v>-</v>
      </c>
      <c r="L18" s="1" t="str">
        <f t="shared" si="1"/>
        <v>-</v>
      </c>
      <c r="M18" s="19" t="str">
        <f t="shared" ca="1" si="2"/>
        <v>Delivered</v>
      </c>
      <c r="N18" s="1" t="str">
        <f t="shared" ca="1" si="3"/>
        <v>-</v>
      </c>
      <c r="O18" s="1" t="str">
        <f t="shared" ca="1" si="4"/>
        <v>Delivered</v>
      </c>
      <c r="P18" s="1" t="str">
        <f t="shared" ca="1" si="5"/>
        <v>-</v>
      </c>
      <c r="Q18" s="1">
        <f t="shared" ca="1" si="6"/>
        <v>71</v>
      </c>
      <c r="R18" s="1">
        <f t="shared" ca="1" si="7"/>
        <v>0</v>
      </c>
      <c r="S18" s="1" t="s">
        <v>361</v>
      </c>
      <c r="T18" s="7" t="str">
        <f t="shared" si="8"/>
        <v>Q2-C1</v>
      </c>
      <c r="U18" s="1">
        <f ca="1">IF(AND($E18&lt;&gt;"",OR($C18="Ready to Develop",$C18="7 PI Started",$C18="6 Epic Backlog",$C18="Done")),IFERROR(VLOOKUP($A18,INDIRECT("'"&amp;$T18&amp;"'"&amp;VLOOKUP($T18,Config!$B$4:$L$11,2)),VLOOKUP($T18,Config!$B$4:$L$11,5),FALSE),"-"),"-")</f>
        <v>20</v>
      </c>
      <c r="V18" s="1">
        <f ca="1">IF($C18="Done",IFERROR(VLOOKUP($A18,INDIRECT("'"&amp;$T18&amp;"'"&amp;VLOOKUP($T18,Config!$B$4:$L$11,2)),VLOOKUP($T18,Config!$B$4:$L$11,7),FALSE),"-"),"-")</f>
        <v>13</v>
      </c>
      <c r="W18" s="1">
        <f ca="1">IF(AND($E18&lt;&gt;"",OR($C18="Ready to Develop",$C18="7 PI Started",$C18="6 Epic Backlog",$C18="Done")),IFERROR(VLOOKUP($A18,INDIRECT("'"&amp;$T18&amp;"'"&amp;VLOOKUP($T18,Config!$B$4:$L$11,2)),VLOOKUP($T18,Config!$B$4:$L$11,9),FALSE),"-"),"-")</f>
        <v>1</v>
      </c>
      <c r="X18" s="1">
        <f ca="1">IF($C18="Done",IFERROR(VLOOKUP($A18,INDIRECT("'"&amp;$T18&amp;"'"&amp;VLOOKUP($T18,Config!$B$4:$L$11,2)),VLOOKUP($T18,Config!$B$4:$L$11,11),FALSE),"-"),"-")</f>
        <v>1</v>
      </c>
      <c r="Y18" s="1" t="str">
        <f ca="1">IF(AND($E18&lt;&gt;"",OR($C18="Ready to Develop",$C18="7 PI Started",$C18="6 Epic Backlog",$C18="Done")),IFERROR(VLOOKUP($A18,INDIRECT("'"&amp;$T18&amp;"'"&amp;VLOOKUP($T18,Config!$B$4:$P$11,2)),VLOOKUP($T18,Config!$B$4:$P$11,13),FALSE),"-"),"-")</f>
        <v>-</v>
      </c>
      <c r="Z18" s="1" t="str">
        <f ca="1">IF(AND($E18&lt;&gt;"",OR($C18="Ready to Develop",$C18="7 PI Started",$C18="6 Epic Backlog",$C18="Done")),IFERROR(VLOOKUP($A18,INDIRECT("'"&amp;$T18&amp;"'"&amp;VLOOKUP($T18,Config!$B$4:$P$11,2)),VLOOKUP($T18,Config!$B$4:$P$11,15),FALSE),"-"),"-")</f>
        <v>-</v>
      </c>
    </row>
    <row r="19" spans="1:26" x14ac:dyDescent="0.2">
      <c r="A19" s="405" t="s">
        <v>158</v>
      </c>
      <c r="B19" t="s">
        <v>401</v>
      </c>
      <c r="C19" t="s">
        <v>144</v>
      </c>
      <c r="D19" t="s">
        <v>400</v>
      </c>
      <c r="E19" s="404" t="s">
        <v>361</v>
      </c>
      <c r="F19" s="19"/>
      <c r="G19" s="19"/>
      <c r="H19" s="19">
        <v>45348</v>
      </c>
      <c r="I19" s="19">
        <v>45432</v>
      </c>
      <c r="J19" s="19"/>
      <c r="K19" s="19" t="str">
        <f t="shared" si="0"/>
        <v>-</v>
      </c>
      <c r="L19" s="1" t="str">
        <f t="shared" si="1"/>
        <v>-</v>
      </c>
      <c r="M19" s="19" t="str">
        <f t="shared" ca="1" si="2"/>
        <v>Delivered</v>
      </c>
      <c r="N19" s="1" t="str">
        <f t="shared" ca="1" si="3"/>
        <v>-</v>
      </c>
      <c r="O19" s="1" t="str">
        <f t="shared" ca="1" si="4"/>
        <v>Delivered</v>
      </c>
      <c r="P19" s="1" t="str">
        <f t="shared" ca="1" si="5"/>
        <v>-</v>
      </c>
      <c r="Q19" s="1">
        <f t="shared" ca="1" si="6"/>
        <v>84</v>
      </c>
      <c r="R19" s="1">
        <f t="shared" ca="1" si="7"/>
        <v>0</v>
      </c>
      <c r="S19" s="1" t="s">
        <v>361</v>
      </c>
      <c r="T19" s="7" t="str">
        <f t="shared" si="8"/>
        <v>Q2-C1</v>
      </c>
      <c r="U19" s="1">
        <f ca="1">IF(AND($E19&lt;&gt;"",OR($C19="Ready to Develop",$C19="7 PI Started",$C19="6 Epic Backlog",$C19="Done")),IFERROR(VLOOKUP($A19,INDIRECT("'"&amp;$T19&amp;"'"&amp;VLOOKUP($T19,Config!$B$4:$L$11,2)),VLOOKUP($T19,Config!$B$4:$L$11,5),FALSE),"-"),"-")</f>
        <v>20</v>
      </c>
      <c r="V19" s="1">
        <f ca="1">IF($C19="Done",IFERROR(VLOOKUP($A19,INDIRECT("'"&amp;$T19&amp;"'"&amp;VLOOKUP($T19,Config!$B$4:$L$11,2)),VLOOKUP($T19,Config!$B$4:$L$11,7),FALSE),"-"),"-")</f>
        <v>16</v>
      </c>
      <c r="W19" s="1">
        <f ca="1">IF(AND($E19&lt;&gt;"",OR($C19="Ready to Develop",$C19="7 PI Started",$C19="6 Epic Backlog",$C19="Done")),IFERROR(VLOOKUP($A19,INDIRECT("'"&amp;$T19&amp;"'"&amp;VLOOKUP($T19,Config!$B$4:$L$11,2)),VLOOKUP($T19,Config!$B$4:$L$11,9),FALSE),"-"),"-")</f>
        <v>2</v>
      </c>
      <c r="X19" s="1">
        <f ca="1">IF($C19="Done",IFERROR(VLOOKUP($A19,INDIRECT("'"&amp;$T19&amp;"'"&amp;VLOOKUP($T19,Config!$B$4:$L$11,2)),VLOOKUP($T19,Config!$B$4:$L$11,11),FALSE),"-"),"-")</f>
        <v>2</v>
      </c>
      <c r="Y19" s="1" t="str">
        <f ca="1">IF(AND($E19&lt;&gt;"",OR($C19="Ready to Develop",$C19="7 PI Started",$C19="6 Epic Backlog",$C19="Done")),IFERROR(VLOOKUP($A19,INDIRECT("'"&amp;$T19&amp;"'"&amp;VLOOKUP($T19,Config!$B$4:$P$11,2)),VLOOKUP($T19,Config!$B$4:$P$11,13),FALSE),"-"),"-")</f>
        <v>-</v>
      </c>
      <c r="Z19" s="1" t="str">
        <f ca="1">IF(AND($E19&lt;&gt;"",OR($C19="Ready to Develop",$C19="7 PI Started",$C19="6 Epic Backlog",$C19="Done")),IFERROR(VLOOKUP($A19,INDIRECT("'"&amp;$T19&amp;"'"&amp;VLOOKUP($T19,Config!$B$4:$P$11,2)),VLOOKUP($T19,Config!$B$4:$P$11,15),FALSE),"-"),"-")</f>
        <v>-</v>
      </c>
    </row>
    <row r="20" spans="1:26" x14ac:dyDescent="0.2">
      <c r="A20" s="405" t="s">
        <v>168</v>
      </c>
      <c r="B20" t="s">
        <v>402</v>
      </c>
      <c r="C20" t="s">
        <v>144</v>
      </c>
      <c r="D20" t="s">
        <v>388</v>
      </c>
      <c r="E20" s="404" t="s">
        <v>361</v>
      </c>
      <c r="F20" s="19"/>
      <c r="G20" s="19"/>
      <c r="H20" s="19"/>
      <c r="I20" s="19">
        <v>45398</v>
      </c>
      <c r="J20" s="19"/>
      <c r="K20" s="19" t="str">
        <f t="shared" si="0"/>
        <v>-</v>
      </c>
      <c r="L20" s="1" t="str">
        <f t="shared" si="1"/>
        <v>-</v>
      </c>
      <c r="M20" s="19" t="str">
        <f t="shared" ca="1" si="2"/>
        <v>Delivered</v>
      </c>
      <c r="N20" s="1" t="str">
        <f t="shared" ca="1" si="3"/>
        <v>-</v>
      </c>
      <c r="O20" s="1" t="str">
        <f t="shared" ca="1" si="4"/>
        <v>Delivered</v>
      </c>
      <c r="P20" s="1" t="str">
        <f t="shared" ca="1" si="5"/>
        <v>-</v>
      </c>
      <c r="Q20" s="1" t="str">
        <f t="shared" ca="1" si="6"/>
        <v>-</v>
      </c>
      <c r="R20" s="1">
        <f t="shared" ca="1" si="7"/>
        <v>0</v>
      </c>
      <c r="S20" s="1" t="s">
        <v>361</v>
      </c>
      <c r="T20" s="7" t="str">
        <f t="shared" si="8"/>
        <v>Q2-C1</v>
      </c>
      <c r="U20" s="1">
        <f ca="1">IF(AND($E20&lt;&gt;"",OR($C20="Ready to Develop",$C20="7 PI Started",$C20="6 Epic Backlog",$C20="Done")),IFERROR(VLOOKUP($A20,INDIRECT("'"&amp;$T20&amp;"'"&amp;VLOOKUP($T20,Config!$B$4:$L$11,2)),VLOOKUP($T20,Config!$B$4:$L$11,5),FALSE),"-"),"-")</f>
        <v>6</v>
      </c>
      <c r="V20" s="1">
        <f ca="1">IF($C20="Done",IFERROR(VLOOKUP($A20,INDIRECT("'"&amp;$T20&amp;"'"&amp;VLOOKUP($T20,Config!$B$4:$L$11,2)),VLOOKUP($T20,Config!$B$4:$L$11,7),FALSE),"-"),"-")</f>
        <v>10</v>
      </c>
      <c r="W20" s="1">
        <f ca="1">IF(AND($E20&lt;&gt;"",OR($C20="Ready to Develop",$C20="7 PI Started",$C20="6 Epic Backlog",$C20="Done")),IFERROR(VLOOKUP($A20,INDIRECT("'"&amp;$T20&amp;"'"&amp;VLOOKUP($T20,Config!$B$4:$L$11,2)),VLOOKUP($T20,Config!$B$4:$L$11,9),FALSE),"-"),"-")</f>
        <v>1</v>
      </c>
      <c r="X20" s="1">
        <f ca="1">IF($C20="Done",IFERROR(VLOOKUP($A20,INDIRECT("'"&amp;$T20&amp;"'"&amp;VLOOKUP($T20,Config!$B$4:$L$11,2)),VLOOKUP($T20,Config!$B$4:$L$11,11),FALSE),"-"),"-")</f>
        <v>1</v>
      </c>
      <c r="Y20" s="1" t="str">
        <f ca="1">IF(AND($E20&lt;&gt;"",OR($C20="Ready to Develop",$C20="7 PI Started",$C20="6 Epic Backlog",$C20="Done")),IFERROR(VLOOKUP($A20,INDIRECT("'"&amp;$T20&amp;"'"&amp;VLOOKUP($T20,Config!$B$4:$P$11,2)),VLOOKUP($T20,Config!$B$4:$P$11,13),FALSE),"-"),"-")</f>
        <v>-</v>
      </c>
      <c r="Z20" s="1" t="str">
        <f ca="1">IF(AND($E20&lt;&gt;"",OR($C20="Ready to Develop",$C20="7 PI Started",$C20="6 Epic Backlog",$C20="Done")),IFERROR(VLOOKUP($A20,INDIRECT("'"&amp;$T20&amp;"'"&amp;VLOOKUP($T20,Config!$B$4:$P$11,2)),VLOOKUP($T20,Config!$B$4:$P$11,15),FALSE),"-"),"-")</f>
        <v>-</v>
      </c>
    </row>
    <row r="21" spans="1:26" x14ac:dyDescent="0.2">
      <c r="A21" s="405" t="s">
        <v>142</v>
      </c>
      <c r="B21" t="s">
        <v>403</v>
      </c>
      <c r="C21" t="s">
        <v>144</v>
      </c>
      <c r="D21" t="s">
        <v>383</v>
      </c>
      <c r="E21" s="404" t="s">
        <v>361</v>
      </c>
      <c r="F21" s="19"/>
      <c r="G21" s="19"/>
      <c r="H21" s="19"/>
      <c r="I21" s="19">
        <v>45425</v>
      </c>
      <c r="J21" s="19"/>
      <c r="K21" s="19" t="str">
        <f t="shared" si="0"/>
        <v>-</v>
      </c>
      <c r="L21" s="1" t="str">
        <f t="shared" si="1"/>
        <v>-</v>
      </c>
      <c r="M21" s="19" t="str">
        <f t="shared" ca="1" si="2"/>
        <v>Delivered</v>
      </c>
      <c r="N21" s="1" t="str">
        <f t="shared" ca="1" si="3"/>
        <v>-</v>
      </c>
      <c r="O21" s="1" t="str">
        <f t="shared" ca="1" si="4"/>
        <v>Delivered</v>
      </c>
      <c r="P21" s="1" t="str">
        <f t="shared" ca="1" si="5"/>
        <v>-</v>
      </c>
      <c r="Q21" s="1" t="str">
        <f t="shared" ca="1" si="6"/>
        <v>-</v>
      </c>
      <c r="R21" s="1">
        <f t="shared" ca="1" si="7"/>
        <v>0</v>
      </c>
      <c r="S21" s="1" t="s">
        <v>361</v>
      </c>
      <c r="T21" s="7" t="str">
        <f t="shared" si="8"/>
        <v>Q2-C1</v>
      </c>
      <c r="U21" s="1">
        <f ca="1">IF(AND($E21&lt;&gt;"",OR($C21="Ready to Develop",$C21="7 PI Started",$C21="6 Epic Backlog",$C21="Done")),IFERROR(VLOOKUP($A21,INDIRECT("'"&amp;$T21&amp;"'"&amp;VLOOKUP($T21,Config!$B$4:$L$11,2)),VLOOKUP($T21,Config!$B$4:$L$11,5),FALSE),"-"),"-")</f>
        <v>17</v>
      </c>
      <c r="V21" s="1">
        <f ca="1">IF($C21="Done",IFERROR(VLOOKUP($A21,INDIRECT("'"&amp;$T21&amp;"'"&amp;VLOOKUP($T21,Config!$B$4:$L$11,2)),VLOOKUP($T21,Config!$B$4:$L$11,7),FALSE),"-"),"-")</f>
        <v>26</v>
      </c>
      <c r="W21" s="1">
        <f ca="1">IF(AND($E21&lt;&gt;"",OR($C21="Ready to Develop",$C21="7 PI Started",$C21="6 Epic Backlog",$C21="Done")),IFERROR(VLOOKUP($A21,INDIRECT("'"&amp;$T21&amp;"'"&amp;VLOOKUP($T21,Config!$B$4:$L$11,2)),VLOOKUP($T21,Config!$B$4:$L$11,9),FALSE),"-"),"-")</f>
        <v>1</v>
      </c>
      <c r="X21" s="1">
        <f ca="1">IF($C21="Done",IFERROR(VLOOKUP($A21,INDIRECT("'"&amp;$T21&amp;"'"&amp;VLOOKUP($T21,Config!$B$4:$L$11,2)),VLOOKUP($T21,Config!$B$4:$L$11,11),FALSE),"-"),"-")</f>
        <v>1</v>
      </c>
      <c r="Y21" s="1" t="str">
        <f ca="1">IF(AND($E21&lt;&gt;"",OR($C21="Ready to Develop",$C21="7 PI Started",$C21="6 Epic Backlog",$C21="Done")),IFERROR(VLOOKUP($A21,INDIRECT("'"&amp;$T21&amp;"'"&amp;VLOOKUP($T21,Config!$B$4:$P$11,2)),VLOOKUP($T21,Config!$B$4:$P$11,13),FALSE),"-"),"-")</f>
        <v>-</v>
      </c>
      <c r="Z21" s="1" t="str">
        <f ca="1">IF(AND($E21&lt;&gt;"",OR($C21="Ready to Develop",$C21="7 PI Started",$C21="6 Epic Backlog",$C21="Done")),IFERROR(VLOOKUP($A21,INDIRECT("'"&amp;$T21&amp;"'"&amp;VLOOKUP($T21,Config!$B$4:$P$11,2)),VLOOKUP($T21,Config!$B$4:$P$11,15),FALSE),"-"),"-")</f>
        <v>-</v>
      </c>
    </row>
    <row r="22" spans="1:26" x14ac:dyDescent="0.2">
      <c r="A22" s="405" t="s">
        <v>171</v>
      </c>
      <c r="B22" t="s">
        <v>172</v>
      </c>
      <c r="C22" t="s">
        <v>144</v>
      </c>
      <c r="D22" t="s">
        <v>206</v>
      </c>
      <c r="E22" s="404" t="s">
        <v>361</v>
      </c>
      <c r="F22" s="19"/>
      <c r="G22" s="19"/>
      <c r="H22" s="19"/>
      <c r="I22" s="19">
        <v>45426</v>
      </c>
      <c r="J22" s="19"/>
      <c r="K22" s="19" t="str">
        <f t="shared" si="0"/>
        <v>-</v>
      </c>
      <c r="L22" s="1" t="str">
        <f t="shared" si="1"/>
        <v>-</v>
      </c>
      <c r="M22" s="19" t="str">
        <f t="shared" ca="1" si="2"/>
        <v>Delivered</v>
      </c>
      <c r="N22" s="1" t="str">
        <f t="shared" ca="1" si="3"/>
        <v>-</v>
      </c>
      <c r="O22" s="1" t="str">
        <f t="shared" ca="1" si="4"/>
        <v>Delivered</v>
      </c>
      <c r="P22" s="1" t="str">
        <f t="shared" ca="1" si="5"/>
        <v>-</v>
      </c>
      <c r="Q22" s="1" t="str">
        <f t="shared" ca="1" si="6"/>
        <v>-</v>
      </c>
      <c r="R22" s="1">
        <f t="shared" ca="1" si="7"/>
        <v>0</v>
      </c>
      <c r="S22" s="1" t="s">
        <v>361</v>
      </c>
      <c r="T22" s="7" t="str">
        <f t="shared" si="8"/>
        <v>Q2-C1</v>
      </c>
      <c r="U22" s="1">
        <f ca="1">IF(AND($E22&lt;&gt;"",OR($C22="Ready to Develop",$C22="7 PI Started",$C22="6 Epic Backlog",$C22="Done")),IFERROR(VLOOKUP($A22,INDIRECT("'"&amp;$T22&amp;"'"&amp;VLOOKUP($T22,Config!$B$4:$L$11,2)),VLOOKUP($T22,Config!$B$4:$L$11,5),FALSE),"-"),"-")</f>
        <v>0</v>
      </c>
      <c r="V22" s="1">
        <f ca="1">IF($C22="Done",IFERROR(VLOOKUP($A22,INDIRECT("'"&amp;$T22&amp;"'"&amp;VLOOKUP($T22,Config!$B$4:$L$11,2)),VLOOKUP($T22,Config!$B$4:$L$11,7),FALSE),"-"),"-")</f>
        <v>6</v>
      </c>
      <c r="W22" s="1">
        <f ca="1">IF(AND($E22&lt;&gt;"",OR($C22="Ready to Develop",$C22="7 PI Started",$C22="6 Epic Backlog",$C22="Done")),IFERROR(VLOOKUP($A22,INDIRECT("'"&amp;$T22&amp;"'"&amp;VLOOKUP($T22,Config!$B$4:$L$11,2)),VLOOKUP($T22,Config!$B$4:$L$11,9),FALSE),"-"),"-")</f>
        <v>0</v>
      </c>
      <c r="X22" s="1">
        <f ca="1">IF($C22="Done",IFERROR(VLOOKUP($A22,INDIRECT("'"&amp;$T22&amp;"'"&amp;VLOOKUP($T22,Config!$B$4:$L$11,2)),VLOOKUP($T22,Config!$B$4:$L$11,11),FALSE),"-"),"-")</f>
        <v>1</v>
      </c>
      <c r="Y22" s="1" t="str">
        <f ca="1">IF(AND($E22&lt;&gt;"",OR($C22="Ready to Develop",$C22="7 PI Started",$C22="6 Epic Backlog",$C22="Done")),IFERROR(VLOOKUP($A22,INDIRECT("'"&amp;$T22&amp;"'"&amp;VLOOKUP($T22,Config!$B$4:$P$11,2)),VLOOKUP($T22,Config!$B$4:$P$11,13),FALSE),"-"),"-")</f>
        <v>-</v>
      </c>
      <c r="Z22" s="1" t="str">
        <f ca="1">IF(AND($E22&lt;&gt;"",OR($C22="Ready to Develop",$C22="7 PI Started",$C22="6 Epic Backlog",$C22="Done")),IFERROR(VLOOKUP($A22,INDIRECT("'"&amp;$T22&amp;"'"&amp;VLOOKUP($T22,Config!$B$4:$P$11,2)),VLOOKUP($T22,Config!$B$4:$P$11,15),FALSE),"-"),"-")</f>
        <v>-</v>
      </c>
    </row>
    <row r="23" spans="1:26" x14ac:dyDescent="0.2">
      <c r="A23" s="405" t="s">
        <v>509</v>
      </c>
      <c r="B23" t="s">
        <v>510</v>
      </c>
      <c r="C23" t="s">
        <v>144</v>
      </c>
      <c r="D23" t="s">
        <v>389</v>
      </c>
      <c r="E23" s="404" t="s">
        <v>511</v>
      </c>
      <c r="F23" s="19"/>
      <c r="G23" s="19"/>
      <c r="H23" s="19">
        <v>45194</v>
      </c>
      <c r="I23" s="19">
        <v>45282</v>
      </c>
      <c r="J23" s="19"/>
      <c r="K23" s="19" t="str">
        <f t="shared" si="0"/>
        <v>-</v>
      </c>
      <c r="L23" s="1" t="str">
        <f t="shared" si="1"/>
        <v>-</v>
      </c>
      <c r="M23" s="19" t="str">
        <f t="shared" ca="1" si="2"/>
        <v>Delivered</v>
      </c>
      <c r="N23" s="1" t="str">
        <f t="shared" ca="1" si="3"/>
        <v>-</v>
      </c>
      <c r="O23" s="1" t="str">
        <f t="shared" ca="1" si="4"/>
        <v>Delivered</v>
      </c>
      <c r="P23" s="1" t="str">
        <f t="shared" ca="1" si="5"/>
        <v>-</v>
      </c>
      <c r="Q23" s="1">
        <f t="shared" ca="1" si="6"/>
        <v>88</v>
      </c>
      <c r="R23" s="1">
        <f t="shared" ca="1" si="7"/>
        <v>0</v>
      </c>
      <c r="S23" s="1" t="s">
        <v>514</v>
      </c>
      <c r="T23" s="7" t="str">
        <f t="shared" si="8"/>
        <v>Q4-C1</v>
      </c>
      <c r="U23" s="1" t="str">
        <f ca="1">IF(AND($E23&lt;&gt;"",OR($C23="Ready to Develop",$C23="7 PI Started",$C23="6 Epic Backlog",$C23="Done")),IFERROR(VLOOKUP($A23,INDIRECT("'"&amp;$T23&amp;"'"&amp;VLOOKUP($T23,Config!$B$4:$L$11,2)),VLOOKUP($T23,Config!$B$4:$L$11,5),FALSE),"-"),"-")</f>
        <v>-</v>
      </c>
      <c r="V23" s="1" t="str">
        <f ca="1">IF($C23="Done",IFERROR(VLOOKUP($A23,INDIRECT("'"&amp;$T23&amp;"'"&amp;VLOOKUP($T23,Config!$B$4:$L$11,2)),VLOOKUP($T23,Config!$B$4:$L$11,7),FALSE),"-"),"-")</f>
        <v>-</v>
      </c>
      <c r="W23" s="1" t="str">
        <f ca="1">IF(AND($E23&lt;&gt;"",OR($C23="Ready to Develop",$C23="7 PI Started",$C23="6 Epic Backlog",$C23="Done")),IFERROR(VLOOKUP($A23,INDIRECT("'"&amp;$T23&amp;"'"&amp;VLOOKUP($T23,Config!$B$4:$L$11,2)),VLOOKUP($T23,Config!$B$4:$L$11,9),FALSE),"-"),"-")</f>
        <v>-</v>
      </c>
      <c r="X23" s="1" t="str">
        <f ca="1">IF($C23="Done",IFERROR(VLOOKUP($A23,INDIRECT("'"&amp;$T23&amp;"'"&amp;VLOOKUP($T23,Config!$B$4:$L$11,2)),VLOOKUP($T23,Config!$B$4:$L$11,11),FALSE),"-"),"-")</f>
        <v>-</v>
      </c>
      <c r="Y23" s="1" t="str">
        <f ca="1">IF(AND($E23&lt;&gt;"",OR($C23="Ready to Develop",$C23="7 PI Started",$C23="6 Epic Backlog",$C23="Done")),IFERROR(VLOOKUP($A23,INDIRECT("'"&amp;$T23&amp;"'"&amp;VLOOKUP($T23,Config!$B$4:$P$11,2)),VLOOKUP($T23,Config!$B$4:$P$11,13),FALSE),"-"),"-")</f>
        <v>-</v>
      </c>
      <c r="Z23" s="1" t="str">
        <f ca="1">IF(AND($E23&lt;&gt;"",OR($C23="Ready to Develop",$C23="7 PI Started",$C23="6 Epic Backlog",$C23="Done")),IFERROR(VLOOKUP($A23,INDIRECT("'"&amp;$T23&amp;"'"&amp;VLOOKUP($T23,Config!$B$4:$P$11,2)),VLOOKUP($T23,Config!$B$4:$P$11,15),FALSE),"-"),"-")</f>
        <v>-</v>
      </c>
    </row>
    <row r="24" spans="1:26" x14ac:dyDescent="0.2">
      <c r="A24" s="405" t="s">
        <v>512</v>
      </c>
      <c r="B24" t="s">
        <v>513</v>
      </c>
      <c r="C24" t="s">
        <v>144</v>
      </c>
      <c r="E24" s="404" t="s">
        <v>514</v>
      </c>
      <c r="F24" s="19"/>
      <c r="G24" s="19"/>
      <c r="H24" s="19"/>
      <c r="I24" s="19"/>
      <c r="J24" s="19"/>
      <c r="K24" s="19" t="str">
        <f t="shared" si="0"/>
        <v>-</v>
      </c>
      <c r="L24" s="1" t="str">
        <f t="shared" si="1"/>
        <v>-</v>
      </c>
      <c r="M24" s="19" t="str">
        <f t="shared" ca="1" si="2"/>
        <v>Delivered</v>
      </c>
      <c r="N24" s="1" t="str">
        <f t="shared" ca="1" si="3"/>
        <v>-</v>
      </c>
      <c r="O24" s="1" t="str">
        <f t="shared" ca="1" si="4"/>
        <v>Delivered</v>
      </c>
      <c r="P24" s="1" t="str">
        <f t="shared" ca="1" si="5"/>
        <v>-</v>
      </c>
      <c r="Q24" s="1" t="str">
        <f t="shared" ca="1" si="6"/>
        <v>-</v>
      </c>
      <c r="R24" s="1" t="str">
        <f t="shared" ca="1" si="7"/>
        <v>-</v>
      </c>
      <c r="S24" s="1" t="s">
        <v>514</v>
      </c>
      <c r="T24" s="7" t="str">
        <f t="shared" si="8"/>
        <v>Q4-C1</v>
      </c>
      <c r="U24" s="1" t="str">
        <f ca="1">IF(AND($E24&lt;&gt;"",OR($C24="Ready to Develop",$C24="7 PI Started",$C24="6 Epic Backlog",$C24="Done")),IFERROR(VLOOKUP($A24,INDIRECT("'"&amp;$T24&amp;"'"&amp;VLOOKUP($T24,Config!$B$4:$L$11,2)),VLOOKUP($T24,Config!$B$4:$L$11,5),FALSE),"-"),"-")</f>
        <v>-</v>
      </c>
      <c r="V24" s="1" t="str">
        <f ca="1">IF($C24="Done",IFERROR(VLOOKUP($A24,INDIRECT("'"&amp;$T24&amp;"'"&amp;VLOOKUP($T24,Config!$B$4:$L$11,2)),VLOOKUP($T24,Config!$B$4:$L$11,7),FALSE),"-"),"-")</f>
        <v>-</v>
      </c>
      <c r="W24" s="1" t="str">
        <f ca="1">IF(AND($E24&lt;&gt;"",OR($C24="Ready to Develop",$C24="7 PI Started",$C24="6 Epic Backlog",$C24="Done")),IFERROR(VLOOKUP($A24,INDIRECT("'"&amp;$T24&amp;"'"&amp;VLOOKUP($T24,Config!$B$4:$L$11,2)),VLOOKUP($T24,Config!$B$4:$L$11,9),FALSE),"-"),"-")</f>
        <v>-</v>
      </c>
      <c r="X24" s="1" t="str">
        <f ca="1">IF($C24="Done",IFERROR(VLOOKUP($A24,INDIRECT("'"&amp;$T24&amp;"'"&amp;VLOOKUP($T24,Config!$B$4:$L$11,2)),VLOOKUP($T24,Config!$B$4:$L$11,11),FALSE),"-"),"-")</f>
        <v>-</v>
      </c>
      <c r="Y24" s="1" t="str">
        <f ca="1">IF(AND($E24&lt;&gt;"",OR($C24="Ready to Develop",$C24="7 PI Started",$C24="6 Epic Backlog",$C24="Done")),IFERROR(VLOOKUP($A24,INDIRECT("'"&amp;$T24&amp;"'"&amp;VLOOKUP($T24,Config!$B$4:$P$11,2)),VLOOKUP($T24,Config!$B$4:$P$11,13),FALSE),"-"),"-")</f>
        <v>-</v>
      </c>
      <c r="Z24" s="1" t="str">
        <f ca="1">IF(AND($E24&lt;&gt;"",OR($C24="Ready to Develop",$C24="7 PI Started",$C24="6 Epic Backlog",$C24="Done")),IFERROR(VLOOKUP($A24,INDIRECT("'"&amp;$T24&amp;"'"&amp;VLOOKUP($T24,Config!$B$4:$P$11,2)),VLOOKUP($T24,Config!$B$4:$P$11,15),FALSE),"-"),"-")</f>
        <v>-</v>
      </c>
    </row>
    <row r="25" spans="1:26" x14ac:dyDescent="0.2">
      <c r="A25" s="405" t="s">
        <v>515</v>
      </c>
      <c r="B25" t="s">
        <v>516</v>
      </c>
      <c r="C25" t="s">
        <v>144</v>
      </c>
      <c r="E25" s="404" t="s">
        <v>514</v>
      </c>
      <c r="F25" s="19"/>
      <c r="G25" s="19"/>
      <c r="H25" s="19"/>
      <c r="I25" s="19"/>
      <c r="J25" s="19"/>
      <c r="K25" s="19" t="str">
        <f t="shared" si="0"/>
        <v>-</v>
      </c>
      <c r="L25" s="1" t="str">
        <f t="shared" si="1"/>
        <v>-</v>
      </c>
      <c r="M25" s="19" t="str">
        <f t="shared" ca="1" si="2"/>
        <v>Delivered</v>
      </c>
      <c r="N25" s="1" t="str">
        <f t="shared" ca="1" si="3"/>
        <v>-</v>
      </c>
      <c r="O25" s="1" t="str">
        <f t="shared" ca="1" si="4"/>
        <v>Delivered</v>
      </c>
      <c r="P25" s="1" t="str">
        <f t="shared" ca="1" si="5"/>
        <v>-</v>
      </c>
      <c r="Q25" s="1" t="str">
        <f t="shared" ca="1" si="6"/>
        <v>-</v>
      </c>
      <c r="R25" s="1" t="str">
        <f t="shared" ca="1" si="7"/>
        <v>-</v>
      </c>
      <c r="S25" s="1" t="s">
        <v>514</v>
      </c>
      <c r="T25" s="7" t="str">
        <f t="shared" si="8"/>
        <v>Q4-C1</v>
      </c>
      <c r="U25" s="1" t="str">
        <f ca="1">IF(AND($E25&lt;&gt;"",OR($C25="Ready to Develop",$C25="7 PI Started",$C25="6 Epic Backlog",$C25="Done")),IFERROR(VLOOKUP($A25,INDIRECT("'"&amp;$T25&amp;"'"&amp;VLOOKUP($T25,Config!$B$4:$L$11,2)),VLOOKUP($T25,Config!$B$4:$L$11,5),FALSE),"-"),"-")</f>
        <v>-</v>
      </c>
      <c r="V25" s="1" t="str">
        <f ca="1">IF($C25="Done",IFERROR(VLOOKUP($A25,INDIRECT("'"&amp;$T25&amp;"'"&amp;VLOOKUP($T25,Config!$B$4:$L$11,2)),VLOOKUP($T25,Config!$B$4:$L$11,7),FALSE),"-"),"-")</f>
        <v>-</v>
      </c>
      <c r="W25" s="1" t="str">
        <f ca="1">IF(AND($E25&lt;&gt;"",OR($C25="Ready to Develop",$C25="7 PI Started",$C25="6 Epic Backlog",$C25="Done")),IFERROR(VLOOKUP($A25,INDIRECT("'"&amp;$T25&amp;"'"&amp;VLOOKUP($T25,Config!$B$4:$L$11,2)),VLOOKUP($T25,Config!$B$4:$L$11,9),FALSE),"-"),"-")</f>
        <v>-</v>
      </c>
      <c r="X25" s="1" t="str">
        <f ca="1">IF($C25="Done",IFERROR(VLOOKUP($A25,INDIRECT("'"&amp;$T25&amp;"'"&amp;VLOOKUP($T25,Config!$B$4:$L$11,2)),VLOOKUP($T25,Config!$B$4:$L$11,11),FALSE),"-"),"-")</f>
        <v>-</v>
      </c>
      <c r="Y25" s="1" t="str">
        <f ca="1">IF(AND($E25&lt;&gt;"",OR($C25="Ready to Develop",$C25="7 PI Started",$C25="6 Epic Backlog",$C25="Done")),IFERROR(VLOOKUP($A25,INDIRECT("'"&amp;$T25&amp;"'"&amp;VLOOKUP($T25,Config!$B$4:$P$11,2)),VLOOKUP($T25,Config!$B$4:$P$11,13),FALSE),"-"),"-")</f>
        <v>-</v>
      </c>
      <c r="Z25" s="1" t="str">
        <f ca="1">IF(AND($E25&lt;&gt;"",OR($C25="Ready to Develop",$C25="7 PI Started",$C25="6 Epic Backlog",$C25="Done")),IFERROR(VLOOKUP($A25,INDIRECT("'"&amp;$T25&amp;"'"&amp;VLOOKUP($T25,Config!$B$4:$P$11,2)),VLOOKUP($T25,Config!$B$4:$P$11,15),FALSE),"-"),"-")</f>
        <v>-</v>
      </c>
    </row>
    <row r="26" spans="1:26" x14ac:dyDescent="0.2">
      <c r="A26" s="405" t="s">
        <v>517</v>
      </c>
      <c r="B26" t="s">
        <v>518</v>
      </c>
      <c r="C26" t="s">
        <v>144</v>
      </c>
      <c r="E26" s="404" t="s">
        <v>511</v>
      </c>
      <c r="F26" s="19"/>
      <c r="G26" s="19"/>
      <c r="H26" s="19">
        <v>45208</v>
      </c>
      <c r="I26" s="19">
        <v>45282</v>
      </c>
      <c r="J26" s="19"/>
      <c r="K26" s="19" t="str">
        <f t="shared" si="0"/>
        <v>-</v>
      </c>
      <c r="L26" s="1" t="str">
        <f t="shared" si="1"/>
        <v>-</v>
      </c>
      <c r="M26" s="19" t="str">
        <f t="shared" ca="1" si="2"/>
        <v>Delivered</v>
      </c>
      <c r="N26" s="1" t="str">
        <f t="shared" ca="1" si="3"/>
        <v>-</v>
      </c>
      <c r="O26" s="1" t="str">
        <f t="shared" ca="1" si="4"/>
        <v>Delivered</v>
      </c>
      <c r="P26" s="1" t="str">
        <f t="shared" ca="1" si="5"/>
        <v>-</v>
      </c>
      <c r="Q26" s="1">
        <f t="shared" ca="1" si="6"/>
        <v>74</v>
      </c>
      <c r="R26" s="1">
        <f t="shared" ca="1" si="7"/>
        <v>0</v>
      </c>
      <c r="S26" s="1" t="s">
        <v>514</v>
      </c>
      <c r="T26" s="7" t="str">
        <f t="shared" si="8"/>
        <v>Q4-C1</v>
      </c>
      <c r="U26" s="1" t="str">
        <f ca="1">IF(AND($E26&lt;&gt;"",OR($C26="Ready to Develop",$C26="7 PI Started",$C26="6 Epic Backlog",$C26="Done")),IFERROR(VLOOKUP($A26,INDIRECT("'"&amp;$T26&amp;"'"&amp;VLOOKUP($T26,Config!$B$4:$L$11,2)),VLOOKUP($T26,Config!$B$4:$L$11,5),FALSE),"-"),"-")</f>
        <v>-</v>
      </c>
      <c r="V26" s="1" t="str">
        <f ca="1">IF($C26="Done",IFERROR(VLOOKUP($A26,INDIRECT("'"&amp;$T26&amp;"'"&amp;VLOOKUP($T26,Config!$B$4:$L$11,2)),VLOOKUP($T26,Config!$B$4:$L$11,7),FALSE),"-"),"-")</f>
        <v>-</v>
      </c>
      <c r="W26" s="1" t="str">
        <f ca="1">IF(AND($E26&lt;&gt;"",OR($C26="Ready to Develop",$C26="7 PI Started",$C26="6 Epic Backlog",$C26="Done")),IFERROR(VLOOKUP($A26,INDIRECT("'"&amp;$T26&amp;"'"&amp;VLOOKUP($T26,Config!$B$4:$L$11,2)),VLOOKUP($T26,Config!$B$4:$L$11,9),FALSE),"-"),"-")</f>
        <v>-</v>
      </c>
      <c r="X26" s="1" t="str">
        <f ca="1">IF($C26="Done",IFERROR(VLOOKUP($A26,INDIRECT("'"&amp;$T26&amp;"'"&amp;VLOOKUP($T26,Config!$B$4:$L$11,2)),VLOOKUP($T26,Config!$B$4:$L$11,11),FALSE),"-"),"-")</f>
        <v>-</v>
      </c>
      <c r="Y26" s="1" t="str">
        <f ca="1">IF(AND($E26&lt;&gt;"",OR($C26="Ready to Develop",$C26="7 PI Started",$C26="6 Epic Backlog",$C26="Done")),IFERROR(VLOOKUP($A26,INDIRECT("'"&amp;$T26&amp;"'"&amp;VLOOKUP($T26,Config!$B$4:$P$11,2)),VLOOKUP($T26,Config!$B$4:$P$11,13),FALSE),"-"),"-")</f>
        <v>-</v>
      </c>
      <c r="Z26" s="1" t="str">
        <f ca="1">IF(AND($E26&lt;&gt;"",OR($C26="Ready to Develop",$C26="7 PI Started",$C26="6 Epic Backlog",$C26="Done")),IFERROR(VLOOKUP($A26,INDIRECT("'"&amp;$T26&amp;"'"&amp;VLOOKUP($T26,Config!$B$4:$P$11,2)),VLOOKUP($T26,Config!$B$4:$P$11,15),FALSE),"-"),"-")</f>
        <v>-</v>
      </c>
    </row>
    <row r="27" spans="1:26" x14ac:dyDescent="0.2">
      <c r="A27" s="405" t="s">
        <v>519</v>
      </c>
      <c r="B27" t="s">
        <v>520</v>
      </c>
      <c r="C27" t="s">
        <v>144</v>
      </c>
      <c r="D27" t="s">
        <v>389</v>
      </c>
      <c r="E27" s="404" t="s">
        <v>521</v>
      </c>
      <c r="F27" s="19"/>
      <c r="G27" s="19"/>
      <c r="H27" s="19">
        <v>45194</v>
      </c>
      <c r="I27" s="19">
        <v>45282</v>
      </c>
      <c r="J27" s="19"/>
      <c r="K27" s="19" t="str">
        <f t="shared" si="0"/>
        <v>-</v>
      </c>
      <c r="L27" s="1" t="str">
        <f t="shared" si="1"/>
        <v>-</v>
      </c>
      <c r="M27" s="19" t="str">
        <f t="shared" ca="1" si="2"/>
        <v>Delivered</v>
      </c>
      <c r="N27" s="1" t="str">
        <f t="shared" ca="1" si="3"/>
        <v>-</v>
      </c>
      <c r="O27" s="1" t="str">
        <f t="shared" ca="1" si="4"/>
        <v>Delivered</v>
      </c>
      <c r="P27" s="1" t="str">
        <f t="shared" ca="1" si="5"/>
        <v>-</v>
      </c>
      <c r="Q27" s="1">
        <f t="shared" ca="1" si="6"/>
        <v>88</v>
      </c>
      <c r="R27" s="1">
        <f t="shared" ca="1" si="7"/>
        <v>0</v>
      </c>
      <c r="S27" s="1" t="s">
        <v>521</v>
      </c>
      <c r="T27" s="7" t="str">
        <f t="shared" si="8"/>
        <v>Q4-C2</v>
      </c>
      <c r="U27" s="1" t="str">
        <f ca="1">IF(AND($E27&lt;&gt;"",OR($C27="Ready to Develop",$C27="7 PI Started",$C27="6 Epic Backlog",$C27="Done")),IFERROR(VLOOKUP($A27,INDIRECT("'"&amp;$T27&amp;"'"&amp;VLOOKUP($T27,Config!$B$4:$L$11,2)),VLOOKUP($T27,Config!$B$4:$L$11,5),FALSE),"-"),"-")</f>
        <v>-</v>
      </c>
      <c r="V27" s="1" t="str">
        <f ca="1">IF($C27="Done",IFERROR(VLOOKUP($A27,INDIRECT("'"&amp;$T27&amp;"'"&amp;VLOOKUP($T27,Config!$B$4:$L$11,2)),VLOOKUP($T27,Config!$B$4:$L$11,7),FALSE),"-"),"-")</f>
        <v>-</v>
      </c>
      <c r="W27" s="1" t="str">
        <f ca="1">IF(AND($E27&lt;&gt;"",OR($C27="Ready to Develop",$C27="7 PI Started",$C27="6 Epic Backlog",$C27="Done")),IFERROR(VLOOKUP($A27,INDIRECT("'"&amp;$T27&amp;"'"&amp;VLOOKUP($T27,Config!$B$4:$L$11,2)),VLOOKUP($T27,Config!$B$4:$L$11,9),FALSE),"-"),"-")</f>
        <v>-</v>
      </c>
      <c r="X27" s="1" t="str">
        <f ca="1">IF($C27="Done",IFERROR(VLOOKUP($A27,INDIRECT("'"&amp;$T27&amp;"'"&amp;VLOOKUP($T27,Config!$B$4:$L$11,2)),VLOOKUP($T27,Config!$B$4:$L$11,11),FALSE),"-"),"-")</f>
        <v>-</v>
      </c>
      <c r="Y27" s="1" t="str">
        <f ca="1">IF(AND($E27&lt;&gt;"",OR($C27="Ready to Develop",$C27="7 PI Started",$C27="6 Epic Backlog",$C27="Done")),IFERROR(VLOOKUP($A27,INDIRECT("'"&amp;$T27&amp;"'"&amp;VLOOKUP($T27,Config!$B$4:$P$11,2)),VLOOKUP($T27,Config!$B$4:$P$11,13),FALSE),"-"),"-")</f>
        <v>-</v>
      </c>
      <c r="Z27" s="1" t="str">
        <f ca="1">IF(AND($E27&lt;&gt;"",OR($C27="Ready to Develop",$C27="7 PI Started",$C27="6 Epic Backlog",$C27="Done")),IFERROR(VLOOKUP($A27,INDIRECT("'"&amp;$T27&amp;"'"&amp;VLOOKUP($T27,Config!$B$4:$P$11,2)),VLOOKUP($T27,Config!$B$4:$P$11,15),FALSE),"-"),"-")</f>
        <v>-</v>
      </c>
    </row>
    <row r="28" spans="1:26" x14ac:dyDescent="0.2">
      <c r="A28" s="405" t="s">
        <v>404</v>
      </c>
      <c r="B28" t="s">
        <v>405</v>
      </c>
      <c r="C28" t="s">
        <v>144</v>
      </c>
      <c r="D28" t="s">
        <v>387</v>
      </c>
      <c r="E28" s="404" t="s">
        <v>364</v>
      </c>
      <c r="F28" s="19"/>
      <c r="G28" s="19"/>
      <c r="H28" s="19"/>
      <c r="I28" s="19"/>
      <c r="J28" s="19"/>
      <c r="K28" s="19" t="str">
        <f t="shared" si="0"/>
        <v>-</v>
      </c>
      <c r="L28" s="1" t="str">
        <f t="shared" si="1"/>
        <v>-</v>
      </c>
      <c r="M28" s="19" t="str">
        <f t="shared" ca="1" si="2"/>
        <v>Delivered</v>
      </c>
      <c r="N28" s="1" t="str">
        <f t="shared" ca="1" si="3"/>
        <v>-</v>
      </c>
      <c r="O28" s="1" t="str">
        <f t="shared" ca="1" si="4"/>
        <v>Delivered</v>
      </c>
      <c r="P28" s="1" t="str">
        <f t="shared" ca="1" si="5"/>
        <v>-</v>
      </c>
      <c r="Q28" s="1" t="str">
        <f t="shared" ca="1" si="6"/>
        <v>-</v>
      </c>
      <c r="R28" s="1" t="str">
        <f t="shared" ca="1" si="7"/>
        <v>-</v>
      </c>
      <c r="S28" s="1" t="s">
        <v>364</v>
      </c>
      <c r="T28" s="7" t="str">
        <f t="shared" si="8"/>
        <v>Q1-C1</v>
      </c>
      <c r="U28" s="1" t="str">
        <f ca="1">IF(AND($E28&lt;&gt;"",OR($C28="Ready to Develop",$C28="7 PI Started",$C28="6 Epic Backlog",$C28="Done")),IFERROR(VLOOKUP($A28,INDIRECT("'"&amp;$T28&amp;"'"&amp;VLOOKUP($T28,Config!$B$4:$L$11,2)),VLOOKUP($T28,Config!$B$4:$L$11,5),FALSE),"-"),"-")</f>
        <v>-</v>
      </c>
      <c r="V28" s="1" t="str">
        <f ca="1">IF($C28="Done",IFERROR(VLOOKUP($A28,INDIRECT("'"&amp;$T28&amp;"'"&amp;VLOOKUP($T28,Config!$B$4:$L$11,2)),VLOOKUP($T28,Config!$B$4:$L$11,7),FALSE),"-"),"-")</f>
        <v>-</v>
      </c>
      <c r="W28" s="1" t="str">
        <f ca="1">IF(AND($E28&lt;&gt;"",OR($C28="Ready to Develop",$C28="7 PI Started",$C28="6 Epic Backlog",$C28="Done")),IFERROR(VLOOKUP($A28,INDIRECT("'"&amp;$T28&amp;"'"&amp;VLOOKUP($T28,Config!$B$4:$L$11,2)),VLOOKUP($T28,Config!$B$4:$L$11,9),FALSE),"-"),"-")</f>
        <v>-</v>
      </c>
      <c r="X28" s="1" t="str">
        <f ca="1">IF($C28="Done",IFERROR(VLOOKUP($A28,INDIRECT("'"&amp;$T28&amp;"'"&amp;VLOOKUP($T28,Config!$B$4:$L$11,2)),VLOOKUP($T28,Config!$B$4:$L$11,11),FALSE),"-"),"-")</f>
        <v>-</v>
      </c>
      <c r="Y28" s="1" t="str">
        <f ca="1">IF(AND($E28&lt;&gt;"",OR($C28="Ready to Develop",$C28="7 PI Started",$C28="6 Epic Backlog",$C28="Done")),IFERROR(VLOOKUP($A28,INDIRECT("'"&amp;$T28&amp;"'"&amp;VLOOKUP($T28,Config!$B$4:$P$11,2)),VLOOKUP($T28,Config!$B$4:$P$11,13),FALSE),"-"),"-")</f>
        <v>-</v>
      </c>
      <c r="Z28" s="1" t="str">
        <f ca="1">IF(AND($E28&lt;&gt;"",OR($C28="Ready to Develop",$C28="7 PI Started",$C28="6 Epic Backlog",$C28="Done")),IFERROR(VLOOKUP($A28,INDIRECT("'"&amp;$T28&amp;"'"&amp;VLOOKUP($T28,Config!$B$4:$P$11,2)),VLOOKUP($T28,Config!$B$4:$P$11,15),FALSE),"-"),"-")</f>
        <v>-</v>
      </c>
    </row>
    <row r="29" spans="1:26" x14ac:dyDescent="0.2">
      <c r="A29" s="405" t="s">
        <v>406</v>
      </c>
      <c r="B29" t="s">
        <v>407</v>
      </c>
      <c r="C29" t="s">
        <v>144</v>
      </c>
      <c r="D29" t="s">
        <v>387</v>
      </c>
      <c r="E29" s="404" t="s">
        <v>364</v>
      </c>
      <c r="F29" s="19"/>
      <c r="G29" s="19"/>
      <c r="H29" s="19"/>
      <c r="I29" s="19"/>
      <c r="J29" s="19"/>
      <c r="K29" s="19" t="str">
        <f t="shared" si="0"/>
        <v>-</v>
      </c>
      <c r="L29" s="1" t="str">
        <f t="shared" si="1"/>
        <v>-</v>
      </c>
      <c r="M29" s="19" t="str">
        <f t="shared" ca="1" si="2"/>
        <v>Delivered</v>
      </c>
      <c r="N29" s="1" t="str">
        <f t="shared" ca="1" si="3"/>
        <v>-</v>
      </c>
      <c r="O29" s="1" t="str">
        <f t="shared" ca="1" si="4"/>
        <v>Delivered</v>
      </c>
      <c r="P29" s="1" t="str">
        <f t="shared" ca="1" si="5"/>
        <v>-</v>
      </c>
      <c r="Q29" s="1" t="str">
        <f t="shared" ca="1" si="6"/>
        <v>-</v>
      </c>
      <c r="R29" s="1" t="str">
        <f t="shared" ca="1" si="7"/>
        <v>-</v>
      </c>
      <c r="S29" s="1" t="s">
        <v>364</v>
      </c>
      <c r="T29" s="7" t="str">
        <f t="shared" si="8"/>
        <v>Q1-C1</v>
      </c>
      <c r="U29" s="1" t="str">
        <f ca="1">IF(AND($E29&lt;&gt;"",OR($C29="Ready to Develop",$C29="7 PI Started",$C29="6 Epic Backlog",$C29="Done")),IFERROR(VLOOKUP($A29,INDIRECT("'"&amp;$T29&amp;"'"&amp;VLOOKUP($T29,Config!$B$4:$L$11,2)),VLOOKUP($T29,Config!$B$4:$L$11,5),FALSE),"-"),"-")</f>
        <v>-</v>
      </c>
      <c r="V29" s="1" t="str">
        <f ca="1">IF($C29="Done",IFERROR(VLOOKUP($A29,INDIRECT("'"&amp;$T29&amp;"'"&amp;VLOOKUP($T29,Config!$B$4:$L$11,2)),VLOOKUP($T29,Config!$B$4:$L$11,7),FALSE),"-"),"-")</f>
        <v>-</v>
      </c>
      <c r="W29" s="1" t="str">
        <f ca="1">IF(AND($E29&lt;&gt;"",OR($C29="Ready to Develop",$C29="7 PI Started",$C29="6 Epic Backlog",$C29="Done")),IFERROR(VLOOKUP($A29,INDIRECT("'"&amp;$T29&amp;"'"&amp;VLOOKUP($T29,Config!$B$4:$L$11,2)),VLOOKUP($T29,Config!$B$4:$L$11,9),FALSE),"-"),"-")</f>
        <v>-</v>
      </c>
      <c r="X29" s="1" t="str">
        <f ca="1">IF($C29="Done",IFERROR(VLOOKUP($A29,INDIRECT("'"&amp;$T29&amp;"'"&amp;VLOOKUP($T29,Config!$B$4:$L$11,2)),VLOOKUP($T29,Config!$B$4:$L$11,11),FALSE),"-"),"-")</f>
        <v>-</v>
      </c>
      <c r="Y29" s="1" t="str">
        <f ca="1">IF(AND($E29&lt;&gt;"",OR($C29="Ready to Develop",$C29="7 PI Started",$C29="6 Epic Backlog",$C29="Done")),IFERROR(VLOOKUP($A29,INDIRECT("'"&amp;$T29&amp;"'"&amp;VLOOKUP($T29,Config!$B$4:$P$11,2)),VLOOKUP($T29,Config!$B$4:$P$11,13),FALSE),"-"),"-")</f>
        <v>-</v>
      </c>
      <c r="Z29" s="1" t="str">
        <f ca="1">IF(AND($E29&lt;&gt;"",OR($C29="Ready to Develop",$C29="7 PI Started",$C29="6 Epic Backlog",$C29="Done")),IFERROR(VLOOKUP($A29,INDIRECT("'"&amp;$T29&amp;"'"&amp;VLOOKUP($T29,Config!$B$4:$P$11,2)),VLOOKUP($T29,Config!$B$4:$P$11,15),FALSE),"-"),"-")</f>
        <v>-</v>
      </c>
    </row>
    <row r="30" spans="1:26" x14ac:dyDescent="0.2">
      <c r="A30" s="405" t="s">
        <v>408</v>
      </c>
      <c r="B30" t="s">
        <v>409</v>
      </c>
      <c r="C30" t="s">
        <v>144</v>
      </c>
      <c r="D30" t="s">
        <v>387</v>
      </c>
      <c r="E30" s="404" t="s">
        <v>364</v>
      </c>
      <c r="F30" s="19"/>
      <c r="G30" s="19"/>
      <c r="H30" s="19"/>
      <c r="I30" s="19"/>
      <c r="J30" s="19"/>
      <c r="K30" s="19" t="str">
        <f t="shared" si="0"/>
        <v>-</v>
      </c>
      <c r="L30" s="1" t="str">
        <f t="shared" si="1"/>
        <v>-</v>
      </c>
      <c r="M30" s="19" t="str">
        <f t="shared" ca="1" si="2"/>
        <v>Delivered</v>
      </c>
      <c r="N30" s="1" t="str">
        <f t="shared" ca="1" si="3"/>
        <v>-</v>
      </c>
      <c r="O30" s="1" t="str">
        <f t="shared" ca="1" si="4"/>
        <v>Delivered</v>
      </c>
      <c r="P30" s="1" t="str">
        <f t="shared" ca="1" si="5"/>
        <v>-</v>
      </c>
      <c r="Q30" s="1" t="str">
        <f t="shared" ca="1" si="6"/>
        <v>-</v>
      </c>
      <c r="R30" s="1" t="str">
        <f t="shared" ca="1" si="7"/>
        <v>-</v>
      </c>
      <c r="S30" s="1" t="s">
        <v>364</v>
      </c>
      <c r="T30" s="7" t="str">
        <f t="shared" si="8"/>
        <v>Q1-C1</v>
      </c>
      <c r="U30" s="1" t="str">
        <f ca="1">IF(AND($E30&lt;&gt;"",OR($C30="Ready to Develop",$C30="7 PI Started",$C30="6 Epic Backlog",$C30="Done")),IFERROR(VLOOKUP($A30,INDIRECT("'"&amp;$T30&amp;"'"&amp;VLOOKUP($T30,Config!$B$4:$L$11,2)),VLOOKUP($T30,Config!$B$4:$L$11,5),FALSE),"-"),"-")</f>
        <v>-</v>
      </c>
      <c r="V30" s="1" t="str">
        <f ca="1">IF($C30="Done",IFERROR(VLOOKUP($A30,INDIRECT("'"&amp;$T30&amp;"'"&amp;VLOOKUP($T30,Config!$B$4:$L$11,2)),VLOOKUP($T30,Config!$B$4:$L$11,7),FALSE),"-"),"-")</f>
        <v>-</v>
      </c>
      <c r="W30" s="1" t="str">
        <f ca="1">IF(AND($E30&lt;&gt;"",OR($C30="Ready to Develop",$C30="7 PI Started",$C30="6 Epic Backlog",$C30="Done")),IFERROR(VLOOKUP($A30,INDIRECT("'"&amp;$T30&amp;"'"&amp;VLOOKUP($T30,Config!$B$4:$L$11,2)),VLOOKUP($T30,Config!$B$4:$L$11,9),FALSE),"-"),"-")</f>
        <v>-</v>
      </c>
      <c r="X30" s="1" t="str">
        <f ca="1">IF($C30="Done",IFERROR(VLOOKUP($A30,INDIRECT("'"&amp;$T30&amp;"'"&amp;VLOOKUP($T30,Config!$B$4:$L$11,2)),VLOOKUP($T30,Config!$B$4:$L$11,11),FALSE),"-"),"-")</f>
        <v>-</v>
      </c>
      <c r="Y30" s="1" t="str">
        <f ca="1">IF(AND($E30&lt;&gt;"",OR($C30="Ready to Develop",$C30="7 PI Started",$C30="6 Epic Backlog",$C30="Done")),IFERROR(VLOOKUP($A30,INDIRECT("'"&amp;$T30&amp;"'"&amp;VLOOKUP($T30,Config!$B$4:$P$11,2)),VLOOKUP($T30,Config!$B$4:$P$11,13),FALSE),"-"),"-")</f>
        <v>-</v>
      </c>
      <c r="Z30" s="1" t="str">
        <f ca="1">IF(AND($E30&lt;&gt;"",OR($C30="Ready to Develop",$C30="7 PI Started",$C30="6 Epic Backlog",$C30="Done")),IFERROR(VLOOKUP($A30,INDIRECT("'"&amp;$T30&amp;"'"&amp;VLOOKUP($T30,Config!$B$4:$P$11,2)),VLOOKUP($T30,Config!$B$4:$P$11,15),FALSE),"-"),"-")</f>
        <v>-</v>
      </c>
    </row>
    <row r="31" spans="1:26" x14ac:dyDescent="0.2">
      <c r="A31" s="405" t="s">
        <v>78</v>
      </c>
      <c r="B31" t="s">
        <v>79</v>
      </c>
      <c r="C31" t="s">
        <v>144</v>
      </c>
      <c r="D31" t="s">
        <v>387</v>
      </c>
      <c r="E31" s="404" t="s">
        <v>364</v>
      </c>
      <c r="F31" s="19"/>
      <c r="G31" s="19"/>
      <c r="H31" s="19"/>
      <c r="I31" s="19"/>
      <c r="J31" s="19"/>
      <c r="K31" s="19" t="str">
        <f t="shared" si="0"/>
        <v>-</v>
      </c>
      <c r="L31" s="1" t="str">
        <f t="shared" si="1"/>
        <v>-</v>
      </c>
      <c r="M31" s="19" t="str">
        <f t="shared" ca="1" si="2"/>
        <v>Delivered</v>
      </c>
      <c r="N31" s="1" t="str">
        <f t="shared" ca="1" si="3"/>
        <v>-</v>
      </c>
      <c r="O31" s="1" t="str">
        <f t="shared" ca="1" si="4"/>
        <v>Delivered</v>
      </c>
      <c r="P31" s="1" t="str">
        <f t="shared" ca="1" si="5"/>
        <v>-</v>
      </c>
      <c r="Q31" s="1" t="str">
        <f t="shared" ca="1" si="6"/>
        <v>-</v>
      </c>
      <c r="R31" s="1" t="str">
        <f t="shared" ca="1" si="7"/>
        <v>-</v>
      </c>
      <c r="S31" s="1" t="s">
        <v>364</v>
      </c>
      <c r="T31" s="7" t="str">
        <f t="shared" si="8"/>
        <v>Q1-C1</v>
      </c>
      <c r="U31" s="1">
        <f ca="1">IF(AND($E31&lt;&gt;"",OR($C31="Ready to Develop",$C31="7 PI Started",$C31="6 Epic Backlog",$C31="Done")),IFERROR(VLOOKUP($A31,INDIRECT("'"&amp;$T31&amp;"'"&amp;VLOOKUP($T31,Config!$B$4:$L$11,2)),VLOOKUP($T31,Config!$B$4:$L$11,5),FALSE),"-"),"-")</f>
        <v>19</v>
      </c>
      <c r="V31" s="1">
        <f ca="1">IF($C31="Done",IFERROR(VLOOKUP($A31,INDIRECT("'"&amp;$T31&amp;"'"&amp;VLOOKUP($T31,Config!$B$4:$L$11,2)),VLOOKUP($T31,Config!$B$4:$L$11,7),FALSE),"-"),"-")</f>
        <v>19</v>
      </c>
      <c r="W31" s="1">
        <f ca="1">IF(AND($E31&lt;&gt;"",OR($C31="Ready to Develop",$C31="7 PI Started",$C31="6 Epic Backlog",$C31="Done")),IFERROR(VLOOKUP($A31,INDIRECT("'"&amp;$T31&amp;"'"&amp;VLOOKUP($T31,Config!$B$4:$L$11,2)),VLOOKUP($T31,Config!$B$4:$L$11,9),FALSE),"-"),"-")</f>
        <v>2</v>
      </c>
      <c r="X31" s="1">
        <f ca="1">IF($C31="Done",IFERROR(VLOOKUP($A31,INDIRECT("'"&amp;$T31&amp;"'"&amp;VLOOKUP($T31,Config!$B$4:$L$11,2)),VLOOKUP($T31,Config!$B$4:$L$11,11),FALSE),"-"),"-")</f>
        <v>2</v>
      </c>
      <c r="Y31" s="1" t="str">
        <f ca="1">IF(AND($E31&lt;&gt;"",OR($C31="Ready to Develop",$C31="7 PI Started",$C31="6 Epic Backlog",$C31="Done")),IFERROR(VLOOKUP($A31,INDIRECT("'"&amp;$T31&amp;"'"&amp;VLOOKUP($T31,Config!$B$4:$P$11,2)),VLOOKUP($T31,Config!$B$4:$P$11,13),FALSE),"-"),"-")</f>
        <v>-</v>
      </c>
      <c r="Z31" s="1" t="str">
        <f ca="1">IF(AND($E31&lt;&gt;"",OR($C31="Ready to Develop",$C31="7 PI Started",$C31="6 Epic Backlog",$C31="Done")),IFERROR(VLOOKUP($A31,INDIRECT("'"&amp;$T31&amp;"'"&amp;VLOOKUP($T31,Config!$B$4:$P$11,2)),VLOOKUP($T31,Config!$B$4:$P$11,15),FALSE),"-"),"-")</f>
        <v>-</v>
      </c>
    </row>
    <row r="32" spans="1:26" x14ac:dyDescent="0.2">
      <c r="A32" s="405" t="s">
        <v>410</v>
      </c>
      <c r="B32" t="s">
        <v>411</v>
      </c>
      <c r="C32" t="s">
        <v>144</v>
      </c>
      <c r="D32" t="s">
        <v>387</v>
      </c>
      <c r="E32" s="404" t="s">
        <v>364</v>
      </c>
      <c r="F32" s="19"/>
      <c r="G32" s="19"/>
      <c r="H32" s="19">
        <v>45294</v>
      </c>
      <c r="I32" s="19">
        <v>45331</v>
      </c>
      <c r="J32" s="19"/>
      <c r="K32" s="19" t="str">
        <f t="shared" si="0"/>
        <v>-</v>
      </c>
      <c r="L32" s="1" t="str">
        <f t="shared" si="1"/>
        <v>-</v>
      </c>
      <c r="M32" s="19" t="str">
        <f t="shared" ca="1" si="2"/>
        <v>Delivered</v>
      </c>
      <c r="N32" s="1" t="str">
        <f t="shared" ca="1" si="3"/>
        <v>-</v>
      </c>
      <c r="O32" s="1" t="str">
        <f t="shared" ca="1" si="4"/>
        <v>Delivered</v>
      </c>
      <c r="P32" s="1" t="str">
        <f t="shared" ca="1" si="5"/>
        <v>-</v>
      </c>
      <c r="Q32" s="1">
        <f t="shared" ca="1" si="6"/>
        <v>37</v>
      </c>
      <c r="R32" s="1">
        <f t="shared" ca="1" si="7"/>
        <v>0</v>
      </c>
      <c r="S32" s="1" t="s">
        <v>364</v>
      </c>
      <c r="T32" s="7" t="str">
        <f t="shared" si="8"/>
        <v>Q1-C1</v>
      </c>
      <c r="U32" s="1" t="str">
        <f ca="1">IF(AND($E32&lt;&gt;"",OR($C32="Ready to Develop",$C32="7 PI Started",$C32="6 Epic Backlog",$C32="Done")),IFERROR(VLOOKUP($A32,INDIRECT("'"&amp;$T32&amp;"'"&amp;VLOOKUP($T32,Config!$B$4:$L$11,2)),VLOOKUP($T32,Config!$B$4:$L$11,5),FALSE),"-"),"-")</f>
        <v>-</v>
      </c>
      <c r="V32" s="1" t="str">
        <f ca="1">IF($C32="Done",IFERROR(VLOOKUP($A32,INDIRECT("'"&amp;$T32&amp;"'"&amp;VLOOKUP($T32,Config!$B$4:$L$11,2)),VLOOKUP($T32,Config!$B$4:$L$11,7),FALSE),"-"),"-")</f>
        <v>-</v>
      </c>
      <c r="W32" s="1" t="str">
        <f ca="1">IF(AND($E32&lt;&gt;"",OR($C32="Ready to Develop",$C32="7 PI Started",$C32="6 Epic Backlog",$C32="Done")),IFERROR(VLOOKUP($A32,INDIRECT("'"&amp;$T32&amp;"'"&amp;VLOOKUP($T32,Config!$B$4:$L$11,2)),VLOOKUP($T32,Config!$B$4:$L$11,9),FALSE),"-"),"-")</f>
        <v>-</v>
      </c>
      <c r="X32" s="1" t="str">
        <f ca="1">IF($C32="Done",IFERROR(VLOOKUP($A32,INDIRECT("'"&amp;$T32&amp;"'"&amp;VLOOKUP($T32,Config!$B$4:$L$11,2)),VLOOKUP($T32,Config!$B$4:$L$11,11),FALSE),"-"),"-")</f>
        <v>-</v>
      </c>
      <c r="Y32" s="1" t="str">
        <f ca="1">IF(AND($E32&lt;&gt;"",OR($C32="Ready to Develop",$C32="7 PI Started",$C32="6 Epic Backlog",$C32="Done")),IFERROR(VLOOKUP($A32,INDIRECT("'"&amp;$T32&amp;"'"&amp;VLOOKUP($T32,Config!$B$4:$P$11,2)),VLOOKUP($T32,Config!$B$4:$P$11,13),FALSE),"-"),"-")</f>
        <v>-</v>
      </c>
      <c r="Z32" s="1" t="str">
        <f ca="1">IF(AND($E32&lt;&gt;"",OR($C32="Ready to Develop",$C32="7 PI Started",$C32="6 Epic Backlog",$C32="Done")),IFERROR(VLOOKUP($A32,INDIRECT("'"&amp;$T32&amp;"'"&amp;VLOOKUP($T32,Config!$B$4:$P$11,2)),VLOOKUP($T32,Config!$B$4:$P$11,15),FALSE),"-"),"-")</f>
        <v>-</v>
      </c>
    </row>
    <row r="33" spans="1:26" x14ac:dyDescent="0.2">
      <c r="A33" s="405" t="s">
        <v>69</v>
      </c>
      <c r="B33" t="s">
        <v>70</v>
      </c>
      <c r="C33" t="s">
        <v>144</v>
      </c>
      <c r="D33" t="s">
        <v>387</v>
      </c>
      <c r="E33" s="404" t="s">
        <v>364</v>
      </c>
      <c r="F33" s="19"/>
      <c r="G33" s="19"/>
      <c r="H33" s="19"/>
      <c r="I33" s="19"/>
      <c r="J33" s="19"/>
      <c r="K33" s="19" t="str">
        <f t="shared" si="0"/>
        <v>-</v>
      </c>
      <c r="L33" s="1" t="str">
        <f t="shared" si="1"/>
        <v>-</v>
      </c>
      <c r="M33" s="19" t="str">
        <f t="shared" ca="1" si="2"/>
        <v>Delivered</v>
      </c>
      <c r="N33" s="1" t="str">
        <f t="shared" ca="1" si="3"/>
        <v>-</v>
      </c>
      <c r="O33" s="1" t="str">
        <f t="shared" ca="1" si="4"/>
        <v>Delivered</v>
      </c>
      <c r="P33" s="1" t="str">
        <f t="shared" ca="1" si="5"/>
        <v>-</v>
      </c>
      <c r="Q33" s="1" t="str">
        <f t="shared" ca="1" si="6"/>
        <v>-</v>
      </c>
      <c r="R33" s="1" t="str">
        <f t="shared" ca="1" si="7"/>
        <v>-</v>
      </c>
      <c r="S33" s="1" t="s">
        <v>364</v>
      </c>
      <c r="T33" s="7" t="str">
        <f t="shared" si="8"/>
        <v>Q1-C1</v>
      </c>
      <c r="U33" s="1">
        <f ca="1">IF(AND($E33&lt;&gt;"",OR($C33="Ready to Develop",$C33="7 PI Started",$C33="6 Epic Backlog",$C33="Done")),IFERROR(VLOOKUP($A33,INDIRECT("'"&amp;$T33&amp;"'"&amp;VLOOKUP($T33,Config!$B$4:$L$11,2)),VLOOKUP($T33,Config!$B$4:$L$11,5),FALSE),"-"),"-")</f>
        <v>9</v>
      </c>
      <c r="V33" s="1">
        <f ca="1">IF($C33="Done",IFERROR(VLOOKUP($A33,INDIRECT("'"&amp;$T33&amp;"'"&amp;VLOOKUP($T33,Config!$B$4:$L$11,2)),VLOOKUP($T33,Config!$B$4:$L$11,7),FALSE),"-"),"-")</f>
        <v>9</v>
      </c>
      <c r="W33" s="1">
        <f ca="1">IF(AND($E33&lt;&gt;"",OR($C33="Ready to Develop",$C33="7 PI Started",$C33="6 Epic Backlog",$C33="Done")),IFERROR(VLOOKUP($A33,INDIRECT("'"&amp;$T33&amp;"'"&amp;VLOOKUP($T33,Config!$B$4:$L$11,2)),VLOOKUP($T33,Config!$B$4:$L$11,9),FALSE),"-"),"-")</f>
        <v>1</v>
      </c>
      <c r="X33" s="1">
        <f ca="1">IF($C33="Done",IFERROR(VLOOKUP($A33,INDIRECT("'"&amp;$T33&amp;"'"&amp;VLOOKUP($T33,Config!$B$4:$L$11,2)),VLOOKUP($T33,Config!$B$4:$L$11,11),FALSE),"-"),"-")</f>
        <v>1</v>
      </c>
      <c r="Y33" s="1" t="str">
        <f ca="1">IF(AND($E33&lt;&gt;"",OR($C33="Ready to Develop",$C33="7 PI Started",$C33="6 Epic Backlog",$C33="Done")),IFERROR(VLOOKUP($A33,INDIRECT("'"&amp;$T33&amp;"'"&amp;VLOOKUP($T33,Config!$B$4:$P$11,2)),VLOOKUP($T33,Config!$B$4:$P$11,13),FALSE),"-"),"-")</f>
        <v>-</v>
      </c>
      <c r="Z33" s="1" t="str">
        <f ca="1">IF(AND($E33&lt;&gt;"",OR($C33="Ready to Develop",$C33="7 PI Started",$C33="6 Epic Backlog",$C33="Done")),IFERROR(VLOOKUP($A33,INDIRECT("'"&amp;$T33&amp;"'"&amp;VLOOKUP($T33,Config!$B$4:$P$11,2)),VLOOKUP($T33,Config!$B$4:$P$11,15),FALSE),"-"),"-")</f>
        <v>-</v>
      </c>
    </row>
    <row r="34" spans="1:26" x14ac:dyDescent="0.2">
      <c r="A34" s="405" t="s">
        <v>74</v>
      </c>
      <c r="B34" t="s">
        <v>75</v>
      </c>
      <c r="C34" t="s">
        <v>144</v>
      </c>
      <c r="E34" s="404" t="s">
        <v>364</v>
      </c>
      <c r="F34" s="19"/>
      <c r="G34" s="19"/>
      <c r="H34" s="19"/>
      <c r="I34" s="19"/>
      <c r="J34" s="19"/>
      <c r="K34" s="19" t="str">
        <f t="shared" si="0"/>
        <v>-</v>
      </c>
      <c r="L34" s="1" t="str">
        <f t="shared" si="1"/>
        <v>-</v>
      </c>
      <c r="M34" s="19" t="str">
        <f t="shared" ca="1" si="2"/>
        <v>Delivered</v>
      </c>
      <c r="N34" s="1" t="str">
        <f t="shared" ca="1" si="3"/>
        <v>-</v>
      </c>
      <c r="O34" s="1" t="str">
        <f t="shared" ca="1" si="4"/>
        <v>Delivered</v>
      </c>
      <c r="P34" s="1" t="str">
        <f t="shared" ca="1" si="5"/>
        <v>-</v>
      </c>
      <c r="Q34" s="1" t="str">
        <f t="shared" ca="1" si="6"/>
        <v>-</v>
      </c>
      <c r="R34" s="1" t="str">
        <f t="shared" ca="1" si="7"/>
        <v>-</v>
      </c>
      <c r="S34" s="1" t="s">
        <v>364</v>
      </c>
      <c r="T34" s="7" t="str">
        <f t="shared" si="8"/>
        <v>Q1-C1</v>
      </c>
      <c r="U34" s="1">
        <f ca="1">IF(AND($E34&lt;&gt;"",OR($C34="Ready to Develop",$C34="7 PI Started",$C34="6 Epic Backlog",$C34="Done")),IFERROR(VLOOKUP($A34,INDIRECT("'"&amp;$T34&amp;"'"&amp;VLOOKUP($T34,Config!$B$4:$L$11,2)),VLOOKUP($T34,Config!$B$4:$L$11,5),FALSE),"-"),"-")</f>
        <v>15</v>
      </c>
      <c r="V34" s="1">
        <f ca="1">IF($C34="Done",IFERROR(VLOOKUP($A34,INDIRECT("'"&amp;$T34&amp;"'"&amp;VLOOKUP($T34,Config!$B$4:$L$11,2)),VLOOKUP($T34,Config!$B$4:$L$11,7),FALSE),"-"),"-")</f>
        <v>15</v>
      </c>
      <c r="W34" s="1">
        <f ca="1">IF(AND($E34&lt;&gt;"",OR($C34="Ready to Develop",$C34="7 PI Started",$C34="6 Epic Backlog",$C34="Done")),IFERROR(VLOOKUP($A34,INDIRECT("'"&amp;$T34&amp;"'"&amp;VLOOKUP($T34,Config!$B$4:$L$11,2)),VLOOKUP($T34,Config!$B$4:$L$11,9),FALSE),"-"),"-")</f>
        <v>1</v>
      </c>
      <c r="X34" s="1">
        <f ca="1">IF($C34="Done",IFERROR(VLOOKUP($A34,INDIRECT("'"&amp;$T34&amp;"'"&amp;VLOOKUP($T34,Config!$B$4:$L$11,2)),VLOOKUP($T34,Config!$B$4:$L$11,11),FALSE),"-"),"-")</f>
        <v>1</v>
      </c>
      <c r="Y34" s="1" t="str">
        <f ca="1">IF(AND($E34&lt;&gt;"",OR($C34="Ready to Develop",$C34="7 PI Started",$C34="6 Epic Backlog",$C34="Done")),IFERROR(VLOOKUP($A34,INDIRECT("'"&amp;$T34&amp;"'"&amp;VLOOKUP($T34,Config!$B$4:$P$11,2)),VLOOKUP($T34,Config!$B$4:$P$11,13),FALSE),"-"),"-")</f>
        <v>-</v>
      </c>
      <c r="Z34" s="1" t="str">
        <f ca="1">IF(AND($E34&lt;&gt;"",OR($C34="Ready to Develop",$C34="7 PI Started",$C34="6 Epic Backlog",$C34="Done")),IFERROR(VLOOKUP($A34,INDIRECT("'"&amp;$T34&amp;"'"&amp;VLOOKUP($T34,Config!$B$4:$P$11,2)),VLOOKUP($T34,Config!$B$4:$P$11,15),FALSE),"-"),"-")</f>
        <v>-</v>
      </c>
    </row>
    <row r="35" spans="1:26" x14ac:dyDescent="0.2">
      <c r="A35" s="405" t="s">
        <v>60</v>
      </c>
      <c r="B35" t="s">
        <v>412</v>
      </c>
      <c r="C35" t="s">
        <v>144</v>
      </c>
      <c r="E35" s="404" t="s">
        <v>364</v>
      </c>
      <c r="F35" s="19"/>
      <c r="G35" s="19"/>
      <c r="H35" s="19"/>
      <c r="I35" s="19">
        <v>45282</v>
      </c>
      <c r="J35" s="19"/>
      <c r="K35" s="19" t="str">
        <f t="shared" si="0"/>
        <v>-</v>
      </c>
      <c r="L35" s="1" t="str">
        <f t="shared" si="1"/>
        <v>-</v>
      </c>
      <c r="M35" s="19" t="str">
        <f t="shared" ca="1" si="2"/>
        <v>Delivered</v>
      </c>
      <c r="N35" s="1" t="str">
        <f t="shared" ca="1" si="3"/>
        <v>-</v>
      </c>
      <c r="O35" s="1" t="str">
        <f t="shared" ca="1" si="4"/>
        <v>Delivered</v>
      </c>
      <c r="P35" s="1" t="str">
        <f t="shared" ca="1" si="5"/>
        <v>-</v>
      </c>
      <c r="Q35" s="1" t="str">
        <f t="shared" ca="1" si="6"/>
        <v>-</v>
      </c>
      <c r="R35" s="1">
        <f t="shared" ca="1" si="7"/>
        <v>0</v>
      </c>
      <c r="S35" s="1" t="s">
        <v>364</v>
      </c>
      <c r="T35" s="7" t="str">
        <f t="shared" si="8"/>
        <v>Q1-C1</v>
      </c>
      <c r="U35" s="1">
        <f ca="1">IF(AND($E35&lt;&gt;"",OR($C35="Ready to Develop",$C35="7 PI Started",$C35="6 Epic Backlog",$C35="Done")),IFERROR(VLOOKUP($A35,INDIRECT("'"&amp;$T35&amp;"'"&amp;VLOOKUP($T35,Config!$B$4:$L$11,2)),VLOOKUP($T35,Config!$B$4:$L$11,5),FALSE),"-"),"-")</f>
        <v>10</v>
      </c>
      <c r="V35" s="1">
        <f ca="1">IF($C35="Done",IFERROR(VLOOKUP($A35,INDIRECT("'"&amp;$T35&amp;"'"&amp;VLOOKUP($T35,Config!$B$4:$L$11,2)),VLOOKUP($T35,Config!$B$4:$L$11,7),FALSE),"-"),"-")</f>
        <v>10</v>
      </c>
      <c r="W35" s="1">
        <f ca="1">IF(AND($E35&lt;&gt;"",OR($C35="Ready to Develop",$C35="7 PI Started",$C35="6 Epic Backlog",$C35="Done")),IFERROR(VLOOKUP($A35,INDIRECT("'"&amp;$T35&amp;"'"&amp;VLOOKUP($T35,Config!$B$4:$L$11,2)),VLOOKUP($T35,Config!$B$4:$L$11,9),FALSE),"-"),"-")</f>
        <v>2</v>
      </c>
      <c r="X35" s="1">
        <f ca="1">IF($C35="Done",IFERROR(VLOOKUP($A35,INDIRECT("'"&amp;$T35&amp;"'"&amp;VLOOKUP($T35,Config!$B$4:$L$11,2)),VLOOKUP($T35,Config!$B$4:$L$11,11),FALSE),"-"),"-")</f>
        <v>2</v>
      </c>
      <c r="Y35" s="1" t="str">
        <f ca="1">IF(AND($E35&lt;&gt;"",OR($C35="Ready to Develop",$C35="7 PI Started",$C35="6 Epic Backlog",$C35="Done")),IFERROR(VLOOKUP($A35,INDIRECT("'"&amp;$T35&amp;"'"&amp;VLOOKUP($T35,Config!$B$4:$P$11,2)),VLOOKUP($T35,Config!$B$4:$P$11,13),FALSE),"-"),"-")</f>
        <v>-</v>
      </c>
      <c r="Z35" s="1" t="str">
        <f ca="1">IF(AND($E35&lt;&gt;"",OR($C35="Ready to Develop",$C35="7 PI Started",$C35="6 Epic Backlog",$C35="Done")),IFERROR(VLOOKUP($A35,INDIRECT("'"&amp;$T35&amp;"'"&amp;VLOOKUP($T35,Config!$B$4:$P$11,2)),VLOOKUP($T35,Config!$B$4:$P$11,15),FALSE),"-"),"-")</f>
        <v>-</v>
      </c>
    </row>
    <row r="36" spans="1:26" x14ac:dyDescent="0.2">
      <c r="A36" s="405" t="s">
        <v>413</v>
      </c>
      <c r="B36" t="s">
        <v>414</v>
      </c>
      <c r="C36" t="s">
        <v>144</v>
      </c>
      <c r="D36" t="s">
        <v>387</v>
      </c>
      <c r="E36" s="404" t="s">
        <v>364</v>
      </c>
      <c r="F36" s="19"/>
      <c r="G36" s="19"/>
      <c r="H36" s="19"/>
      <c r="I36" s="19"/>
      <c r="J36" s="19"/>
      <c r="K36" s="19" t="str">
        <f t="shared" si="0"/>
        <v>-</v>
      </c>
      <c r="L36" s="1" t="str">
        <f t="shared" si="1"/>
        <v>-</v>
      </c>
      <c r="M36" s="19" t="str">
        <f t="shared" ca="1" si="2"/>
        <v>Delivered</v>
      </c>
      <c r="N36" s="1" t="str">
        <f t="shared" ca="1" si="3"/>
        <v>-</v>
      </c>
      <c r="O36" s="1" t="str">
        <f t="shared" ca="1" si="4"/>
        <v>Delivered</v>
      </c>
      <c r="P36" s="1" t="str">
        <f t="shared" ca="1" si="5"/>
        <v>-</v>
      </c>
      <c r="Q36" s="1" t="str">
        <f t="shared" ca="1" si="6"/>
        <v>-</v>
      </c>
      <c r="R36" s="1" t="str">
        <f t="shared" ca="1" si="7"/>
        <v>-</v>
      </c>
      <c r="S36" s="1" t="s">
        <v>364</v>
      </c>
      <c r="T36" s="7" t="str">
        <f t="shared" si="8"/>
        <v>Q1-C1</v>
      </c>
      <c r="U36" s="1" t="str">
        <f ca="1">IF(AND($E36&lt;&gt;"",OR($C36="Ready to Develop",$C36="7 PI Started",$C36="6 Epic Backlog",$C36="Done")),IFERROR(VLOOKUP($A36,INDIRECT("'"&amp;$T36&amp;"'"&amp;VLOOKUP($T36,Config!$B$4:$L$11,2)),VLOOKUP($T36,Config!$B$4:$L$11,5),FALSE),"-"),"-")</f>
        <v>-</v>
      </c>
      <c r="V36" s="1" t="str">
        <f ca="1">IF($C36="Done",IFERROR(VLOOKUP($A36,INDIRECT("'"&amp;$T36&amp;"'"&amp;VLOOKUP($T36,Config!$B$4:$L$11,2)),VLOOKUP($T36,Config!$B$4:$L$11,7),FALSE),"-"),"-")</f>
        <v>-</v>
      </c>
      <c r="W36" s="1" t="str">
        <f ca="1">IF(AND($E36&lt;&gt;"",OR($C36="Ready to Develop",$C36="7 PI Started",$C36="6 Epic Backlog",$C36="Done")),IFERROR(VLOOKUP($A36,INDIRECT("'"&amp;$T36&amp;"'"&amp;VLOOKUP($T36,Config!$B$4:$L$11,2)),VLOOKUP($T36,Config!$B$4:$L$11,9),FALSE),"-"),"-")</f>
        <v>-</v>
      </c>
      <c r="X36" s="1" t="str">
        <f ca="1">IF($C36="Done",IFERROR(VLOOKUP($A36,INDIRECT("'"&amp;$T36&amp;"'"&amp;VLOOKUP($T36,Config!$B$4:$L$11,2)),VLOOKUP($T36,Config!$B$4:$L$11,11),FALSE),"-"),"-")</f>
        <v>-</v>
      </c>
      <c r="Y36" s="1" t="str">
        <f ca="1">IF(AND($E36&lt;&gt;"",OR($C36="Ready to Develop",$C36="7 PI Started",$C36="6 Epic Backlog",$C36="Done")),IFERROR(VLOOKUP($A36,INDIRECT("'"&amp;$T36&amp;"'"&amp;VLOOKUP($T36,Config!$B$4:$P$11,2)),VLOOKUP($T36,Config!$B$4:$P$11,13),FALSE),"-"),"-")</f>
        <v>-</v>
      </c>
      <c r="Z36" s="1" t="str">
        <f ca="1">IF(AND($E36&lt;&gt;"",OR($C36="Ready to Develop",$C36="7 PI Started",$C36="6 Epic Backlog",$C36="Done")),IFERROR(VLOOKUP($A36,INDIRECT("'"&amp;$T36&amp;"'"&amp;VLOOKUP($T36,Config!$B$4:$P$11,2)),VLOOKUP($T36,Config!$B$4:$P$11,15),FALSE),"-"),"-")</f>
        <v>-</v>
      </c>
    </row>
    <row r="37" spans="1:26" x14ac:dyDescent="0.2">
      <c r="A37" s="405" t="s">
        <v>415</v>
      </c>
      <c r="B37" t="s">
        <v>416</v>
      </c>
      <c r="C37" t="s">
        <v>393</v>
      </c>
      <c r="D37" t="s">
        <v>387</v>
      </c>
      <c r="E37" s="404" t="s">
        <v>365</v>
      </c>
      <c r="F37" s="19"/>
      <c r="G37" s="19"/>
      <c r="H37" s="19">
        <v>45348</v>
      </c>
      <c r="I37" s="19">
        <v>45471</v>
      </c>
      <c r="J37" s="19"/>
      <c r="K37" s="19" t="str">
        <f t="shared" si="0"/>
        <v>-</v>
      </c>
      <c r="L37" s="1" t="str">
        <f t="shared" si="1"/>
        <v>-</v>
      </c>
      <c r="M37" s="19" t="str">
        <f t="shared" ca="1" si="2"/>
        <v>Archived</v>
      </c>
      <c r="N37" s="1" t="str">
        <f t="shared" ca="1" si="3"/>
        <v>-</v>
      </c>
      <c r="O37" s="1" t="str">
        <f t="shared" ca="1" si="4"/>
        <v>Archived</v>
      </c>
      <c r="P37" s="1" t="str">
        <f t="shared" ca="1" si="5"/>
        <v>-</v>
      </c>
      <c r="Q37" s="1" t="str">
        <f t="shared" ca="1" si="6"/>
        <v>-</v>
      </c>
      <c r="R37" s="1">
        <f t="shared" ca="1" si="7"/>
        <v>0</v>
      </c>
      <c r="S37" s="1" t="s">
        <v>365</v>
      </c>
      <c r="T37" s="7" t="str">
        <f t="shared" si="8"/>
        <v>Q1-C2</v>
      </c>
      <c r="U37" s="1" t="str">
        <f ca="1">IF(AND($E37&lt;&gt;"",OR($C37="Ready to Develop",$C37="7 PI Started",$C37="6 Epic Backlog",$C37="Done")),IFERROR(VLOOKUP($A37,INDIRECT("'"&amp;$T37&amp;"'"&amp;VLOOKUP($T37,Config!$B$4:$L$11,2)),VLOOKUP($T37,Config!$B$4:$L$11,5),FALSE),"-"),"-")</f>
        <v>-</v>
      </c>
      <c r="V37" s="1" t="str">
        <f ca="1">IF($C37="Done",IFERROR(VLOOKUP($A37,INDIRECT("'"&amp;$T37&amp;"'"&amp;VLOOKUP($T37,Config!$B$4:$L$11,2)),VLOOKUP($T37,Config!$B$4:$L$11,7),FALSE),"-"),"-")</f>
        <v>-</v>
      </c>
      <c r="W37" s="1" t="str">
        <f ca="1">IF(AND($E37&lt;&gt;"",OR($C37="Ready to Develop",$C37="7 PI Started",$C37="6 Epic Backlog",$C37="Done")),IFERROR(VLOOKUP($A37,INDIRECT("'"&amp;$T37&amp;"'"&amp;VLOOKUP($T37,Config!$B$4:$L$11,2)),VLOOKUP($T37,Config!$B$4:$L$11,9),FALSE),"-"),"-")</f>
        <v>-</v>
      </c>
      <c r="X37" s="1" t="str">
        <f ca="1">IF($C37="Done",IFERROR(VLOOKUP($A37,INDIRECT("'"&amp;$T37&amp;"'"&amp;VLOOKUP($T37,Config!$B$4:$L$11,2)),VLOOKUP($T37,Config!$B$4:$L$11,11),FALSE),"-"),"-")</f>
        <v>-</v>
      </c>
      <c r="Y37" s="1" t="str">
        <f ca="1">IF(AND($E37&lt;&gt;"",OR($C37="Ready to Develop",$C37="7 PI Started",$C37="6 Epic Backlog",$C37="Done")),IFERROR(VLOOKUP($A37,INDIRECT("'"&amp;$T37&amp;"'"&amp;VLOOKUP($T37,Config!$B$4:$P$11,2)),VLOOKUP($T37,Config!$B$4:$P$11,13),FALSE),"-"),"-")</f>
        <v>-</v>
      </c>
      <c r="Z37" s="1" t="str">
        <f ca="1">IF(AND($E37&lt;&gt;"",OR($C37="Ready to Develop",$C37="7 PI Started",$C37="6 Epic Backlog",$C37="Done")),IFERROR(VLOOKUP($A37,INDIRECT("'"&amp;$T37&amp;"'"&amp;VLOOKUP($T37,Config!$B$4:$P$11,2)),VLOOKUP($T37,Config!$B$4:$P$11,15),FALSE),"-"),"-")</f>
        <v>-</v>
      </c>
    </row>
    <row r="38" spans="1:26" x14ac:dyDescent="0.2">
      <c r="A38" s="405" t="s">
        <v>417</v>
      </c>
      <c r="B38" t="s">
        <v>418</v>
      </c>
      <c r="C38" t="s">
        <v>144</v>
      </c>
      <c r="D38" t="s">
        <v>387</v>
      </c>
      <c r="E38" s="404" t="s">
        <v>365</v>
      </c>
      <c r="F38" s="19"/>
      <c r="G38" s="19"/>
      <c r="H38" s="19"/>
      <c r="I38" s="19">
        <v>45379</v>
      </c>
      <c r="J38" s="19"/>
      <c r="K38" s="19" t="str">
        <f t="shared" si="0"/>
        <v>-</v>
      </c>
      <c r="L38" s="1" t="str">
        <f t="shared" si="1"/>
        <v>-</v>
      </c>
      <c r="M38" s="19" t="str">
        <f t="shared" ca="1" si="2"/>
        <v>Delivered</v>
      </c>
      <c r="N38" s="1" t="str">
        <f t="shared" ca="1" si="3"/>
        <v>-</v>
      </c>
      <c r="O38" s="1" t="str">
        <f t="shared" ca="1" si="4"/>
        <v>Delivered</v>
      </c>
      <c r="P38" s="1" t="str">
        <f t="shared" ca="1" si="5"/>
        <v>-</v>
      </c>
      <c r="Q38" s="1" t="str">
        <f t="shared" ca="1" si="6"/>
        <v>-</v>
      </c>
      <c r="R38" s="1">
        <f t="shared" ca="1" si="7"/>
        <v>0</v>
      </c>
      <c r="S38" s="1" t="s">
        <v>365</v>
      </c>
      <c r="T38" s="7" t="str">
        <f t="shared" si="8"/>
        <v>Q1-C2</v>
      </c>
      <c r="U38" s="1" t="str">
        <f ca="1">IF(AND($E38&lt;&gt;"",OR($C38="Ready to Develop",$C38="7 PI Started",$C38="6 Epic Backlog",$C38="Done")),IFERROR(VLOOKUP($A38,INDIRECT("'"&amp;$T38&amp;"'"&amp;VLOOKUP($T38,Config!$B$4:$L$11,2)),VLOOKUP($T38,Config!$B$4:$L$11,5),FALSE),"-"),"-")</f>
        <v>-</v>
      </c>
      <c r="V38" s="1" t="str">
        <f ca="1">IF($C38="Done",IFERROR(VLOOKUP($A38,INDIRECT("'"&amp;$T38&amp;"'"&amp;VLOOKUP($T38,Config!$B$4:$L$11,2)),VLOOKUP($T38,Config!$B$4:$L$11,7),FALSE),"-"),"-")</f>
        <v>-</v>
      </c>
      <c r="W38" s="1" t="str">
        <f ca="1">IF(AND($E38&lt;&gt;"",OR($C38="Ready to Develop",$C38="7 PI Started",$C38="6 Epic Backlog",$C38="Done")),IFERROR(VLOOKUP($A38,INDIRECT("'"&amp;$T38&amp;"'"&amp;VLOOKUP($T38,Config!$B$4:$L$11,2)),VLOOKUP($T38,Config!$B$4:$L$11,9),FALSE),"-"),"-")</f>
        <v>-</v>
      </c>
      <c r="X38" s="1" t="str">
        <f ca="1">IF($C38="Done",IFERROR(VLOOKUP($A38,INDIRECT("'"&amp;$T38&amp;"'"&amp;VLOOKUP($T38,Config!$B$4:$L$11,2)),VLOOKUP($T38,Config!$B$4:$L$11,11),FALSE),"-"),"-")</f>
        <v>-</v>
      </c>
      <c r="Y38" s="1" t="str">
        <f ca="1">IF(AND($E38&lt;&gt;"",OR($C38="Ready to Develop",$C38="7 PI Started",$C38="6 Epic Backlog",$C38="Done")),IFERROR(VLOOKUP($A38,INDIRECT("'"&amp;$T38&amp;"'"&amp;VLOOKUP($T38,Config!$B$4:$P$11,2)),VLOOKUP($T38,Config!$B$4:$P$11,13),FALSE),"-"),"-")</f>
        <v>-</v>
      </c>
      <c r="Z38" s="1" t="str">
        <f ca="1">IF(AND($E38&lt;&gt;"",OR($C38="Ready to Develop",$C38="7 PI Started",$C38="6 Epic Backlog",$C38="Done")),IFERROR(VLOOKUP($A38,INDIRECT("'"&amp;$T38&amp;"'"&amp;VLOOKUP($T38,Config!$B$4:$P$11,2)),VLOOKUP($T38,Config!$B$4:$P$11,15),FALSE),"-"),"-")</f>
        <v>-</v>
      </c>
    </row>
    <row r="39" spans="1:26" x14ac:dyDescent="0.2">
      <c r="A39" s="405" t="s">
        <v>419</v>
      </c>
      <c r="B39" t="s">
        <v>420</v>
      </c>
      <c r="C39" t="s">
        <v>144</v>
      </c>
      <c r="D39" t="s">
        <v>387</v>
      </c>
      <c r="E39" s="404" t="s">
        <v>365</v>
      </c>
      <c r="F39" s="19"/>
      <c r="G39" s="19"/>
      <c r="H39" s="19">
        <v>45348</v>
      </c>
      <c r="I39" s="19">
        <v>45379</v>
      </c>
      <c r="J39" s="19"/>
      <c r="K39" s="19" t="str">
        <f t="shared" si="0"/>
        <v>-</v>
      </c>
      <c r="L39" s="1" t="str">
        <f t="shared" si="1"/>
        <v>-</v>
      </c>
      <c r="M39" s="19" t="str">
        <f t="shared" ca="1" si="2"/>
        <v>Delivered</v>
      </c>
      <c r="N39" s="1" t="str">
        <f t="shared" ca="1" si="3"/>
        <v>-</v>
      </c>
      <c r="O39" s="1" t="str">
        <f t="shared" ca="1" si="4"/>
        <v>Delivered</v>
      </c>
      <c r="P39" s="1" t="str">
        <f t="shared" ca="1" si="5"/>
        <v>-</v>
      </c>
      <c r="Q39" s="1">
        <f t="shared" ca="1" si="6"/>
        <v>31</v>
      </c>
      <c r="R39" s="1">
        <f t="shared" ca="1" si="7"/>
        <v>0</v>
      </c>
      <c r="S39" s="1" t="s">
        <v>365</v>
      </c>
      <c r="T39" s="7" t="str">
        <f t="shared" si="8"/>
        <v>Q1-C2</v>
      </c>
      <c r="U39" s="1" t="str">
        <f ca="1">IF(AND($E39&lt;&gt;"",OR($C39="Ready to Develop",$C39="7 PI Started",$C39="6 Epic Backlog",$C39="Done")),IFERROR(VLOOKUP($A39,INDIRECT("'"&amp;$T39&amp;"'"&amp;VLOOKUP($T39,Config!$B$4:$L$11,2)),VLOOKUP($T39,Config!$B$4:$L$11,5),FALSE),"-"),"-")</f>
        <v>-</v>
      </c>
      <c r="V39" s="1" t="str">
        <f ca="1">IF($C39="Done",IFERROR(VLOOKUP($A39,INDIRECT("'"&amp;$T39&amp;"'"&amp;VLOOKUP($T39,Config!$B$4:$L$11,2)),VLOOKUP($T39,Config!$B$4:$L$11,7),FALSE),"-"),"-")</f>
        <v>-</v>
      </c>
      <c r="W39" s="1" t="str">
        <f ca="1">IF(AND($E39&lt;&gt;"",OR($C39="Ready to Develop",$C39="7 PI Started",$C39="6 Epic Backlog",$C39="Done")),IFERROR(VLOOKUP($A39,INDIRECT("'"&amp;$T39&amp;"'"&amp;VLOOKUP($T39,Config!$B$4:$L$11,2)),VLOOKUP($T39,Config!$B$4:$L$11,9),FALSE),"-"),"-")</f>
        <v>-</v>
      </c>
      <c r="X39" s="1" t="str">
        <f ca="1">IF($C39="Done",IFERROR(VLOOKUP($A39,INDIRECT("'"&amp;$T39&amp;"'"&amp;VLOOKUP($T39,Config!$B$4:$L$11,2)),VLOOKUP($T39,Config!$B$4:$L$11,11),FALSE),"-"),"-")</f>
        <v>-</v>
      </c>
      <c r="Y39" s="1" t="str">
        <f ca="1">IF(AND($E39&lt;&gt;"",OR($C39="Ready to Develop",$C39="7 PI Started",$C39="6 Epic Backlog",$C39="Done")),IFERROR(VLOOKUP($A39,INDIRECT("'"&amp;$T39&amp;"'"&amp;VLOOKUP($T39,Config!$B$4:$P$11,2)),VLOOKUP($T39,Config!$B$4:$P$11,13),FALSE),"-"),"-")</f>
        <v>-</v>
      </c>
      <c r="Z39" s="1" t="str">
        <f ca="1">IF(AND($E39&lt;&gt;"",OR($C39="Ready to Develop",$C39="7 PI Started",$C39="6 Epic Backlog",$C39="Done")),IFERROR(VLOOKUP($A39,INDIRECT("'"&amp;$T39&amp;"'"&amp;VLOOKUP($T39,Config!$B$4:$P$11,2)),VLOOKUP($T39,Config!$B$4:$P$11,15),FALSE),"-"),"-")</f>
        <v>-</v>
      </c>
    </row>
    <row r="40" spans="1:26" x14ac:dyDescent="0.2">
      <c r="A40" s="405" t="s">
        <v>113</v>
      </c>
      <c r="B40" t="s">
        <v>421</v>
      </c>
      <c r="C40" t="s">
        <v>144</v>
      </c>
      <c r="D40" t="s">
        <v>387</v>
      </c>
      <c r="E40" s="404" t="s">
        <v>365</v>
      </c>
      <c r="F40" s="19"/>
      <c r="G40" s="19"/>
      <c r="H40" s="19">
        <v>45370</v>
      </c>
      <c r="I40" s="19">
        <v>45379</v>
      </c>
      <c r="J40" s="19"/>
      <c r="K40" s="19" t="str">
        <f t="shared" si="0"/>
        <v>-</v>
      </c>
      <c r="L40" s="1" t="str">
        <f t="shared" si="1"/>
        <v>-</v>
      </c>
      <c r="M40" s="19" t="str">
        <f t="shared" ca="1" si="2"/>
        <v>Delivered</v>
      </c>
      <c r="N40" s="1" t="str">
        <f t="shared" ca="1" si="3"/>
        <v>-</v>
      </c>
      <c r="O40" s="1" t="str">
        <f t="shared" ca="1" si="4"/>
        <v>Delivered</v>
      </c>
      <c r="P40" s="1" t="str">
        <f t="shared" ca="1" si="5"/>
        <v>-</v>
      </c>
      <c r="Q40" s="1">
        <f t="shared" ca="1" si="6"/>
        <v>9</v>
      </c>
      <c r="R40" s="1">
        <f t="shared" ca="1" si="7"/>
        <v>0</v>
      </c>
      <c r="S40" s="1" t="s">
        <v>365</v>
      </c>
      <c r="T40" s="7" t="str">
        <f t="shared" si="8"/>
        <v>Q1-C2</v>
      </c>
      <c r="U40" s="1">
        <f ca="1">IF(AND($E40&lt;&gt;"",OR($C40="Ready to Develop",$C40="7 PI Started",$C40="6 Epic Backlog",$C40="Done")),IFERROR(VLOOKUP($A40,INDIRECT("'"&amp;$T40&amp;"'"&amp;VLOOKUP($T40,Config!$B$4:$L$11,2)),VLOOKUP($T40,Config!$B$4:$L$11,5),FALSE),"-"),"-")</f>
        <v>6</v>
      </c>
      <c r="V40" s="1">
        <f ca="1">IF($C40="Done",IFERROR(VLOOKUP($A40,INDIRECT("'"&amp;$T40&amp;"'"&amp;VLOOKUP($T40,Config!$B$4:$L$11,2)),VLOOKUP($T40,Config!$B$4:$L$11,7),FALSE),"-"),"-")</f>
        <v>4</v>
      </c>
      <c r="W40" s="1">
        <f ca="1">IF(AND($E40&lt;&gt;"",OR($C40="Ready to Develop",$C40="7 PI Started",$C40="6 Epic Backlog",$C40="Done")),IFERROR(VLOOKUP($A40,INDIRECT("'"&amp;$T40&amp;"'"&amp;VLOOKUP($T40,Config!$B$4:$L$11,2)),VLOOKUP($T40,Config!$B$4:$L$11,9),FALSE),"-"),"-")</f>
        <v>1</v>
      </c>
      <c r="X40" s="1">
        <f ca="1">IF($C40="Done",IFERROR(VLOOKUP($A40,INDIRECT("'"&amp;$T40&amp;"'"&amp;VLOOKUP($T40,Config!$B$4:$L$11,2)),VLOOKUP($T40,Config!$B$4:$L$11,11),FALSE),"-"),"-")</f>
        <v>1</v>
      </c>
      <c r="Y40" s="1" t="str">
        <f ca="1">IF(AND($E40&lt;&gt;"",OR($C40="Ready to Develop",$C40="7 PI Started",$C40="6 Epic Backlog",$C40="Done")),IFERROR(VLOOKUP($A40,INDIRECT("'"&amp;$T40&amp;"'"&amp;VLOOKUP($T40,Config!$B$4:$P$11,2)),VLOOKUP($T40,Config!$B$4:$P$11,13),FALSE),"-"),"-")</f>
        <v>-</v>
      </c>
      <c r="Z40" s="1" t="str">
        <f ca="1">IF(AND($E40&lt;&gt;"",OR($C40="Ready to Develop",$C40="7 PI Started",$C40="6 Epic Backlog",$C40="Done")),IFERROR(VLOOKUP($A40,INDIRECT("'"&amp;$T40&amp;"'"&amp;VLOOKUP($T40,Config!$B$4:$P$11,2)),VLOOKUP($T40,Config!$B$4:$P$11,15),FALSE),"-"),"-")</f>
        <v>-</v>
      </c>
    </row>
    <row r="41" spans="1:26" x14ac:dyDescent="0.2">
      <c r="A41" s="405" t="s">
        <v>117</v>
      </c>
      <c r="B41" t="s">
        <v>118</v>
      </c>
      <c r="C41" t="s">
        <v>144</v>
      </c>
      <c r="D41" t="s">
        <v>387</v>
      </c>
      <c r="E41" s="404" t="s">
        <v>365</v>
      </c>
      <c r="F41" s="19"/>
      <c r="G41" s="19"/>
      <c r="H41" s="19">
        <v>45348</v>
      </c>
      <c r="I41" s="19">
        <v>45373</v>
      </c>
      <c r="J41" s="19"/>
      <c r="K41" s="19" t="str">
        <f t="shared" si="0"/>
        <v>-</v>
      </c>
      <c r="L41" s="1" t="str">
        <f t="shared" si="1"/>
        <v>-</v>
      </c>
      <c r="M41" s="19" t="str">
        <f t="shared" ca="1" si="2"/>
        <v>Delivered</v>
      </c>
      <c r="N41" s="1" t="str">
        <f t="shared" ca="1" si="3"/>
        <v>-</v>
      </c>
      <c r="O41" s="1" t="str">
        <f t="shared" ca="1" si="4"/>
        <v>Delivered</v>
      </c>
      <c r="P41" s="1" t="str">
        <f t="shared" ca="1" si="5"/>
        <v>-</v>
      </c>
      <c r="Q41" s="1">
        <f t="shared" ca="1" si="6"/>
        <v>25</v>
      </c>
      <c r="R41" s="1">
        <f t="shared" ca="1" si="7"/>
        <v>0</v>
      </c>
      <c r="S41" s="1" t="s">
        <v>365</v>
      </c>
      <c r="T41" s="7" t="str">
        <f t="shared" si="8"/>
        <v>Q1-C2</v>
      </c>
      <c r="U41" s="1">
        <f ca="1">IF(AND($E41&lt;&gt;"",OR($C41="Ready to Develop",$C41="7 PI Started",$C41="6 Epic Backlog",$C41="Done")),IFERROR(VLOOKUP($A41,INDIRECT("'"&amp;$T41&amp;"'"&amp;VLOOKUP($T41,Config!$B$4:$L$11,2)),VLOOKUP($T41,Config!$B$4:$L$11,5),FALSE),"-"),"-")</f>
        <v>14</v>
      </c>
      <c r="V41" s="1">
        <f ca="1">IF($C41="Done",IFERROR(VLOOKUP($A41,INDIRECT("'"&amp;$T41&amp;"'"&amp;VLOOKUP($T41,Config!$B$4:$L$11,2)),VLOOKUP($T41,Config!$B$4:$L$11,7),FALSE),"-"),"-")</f>
        <v>14</v>
      </c>
      <c r="W41" s="1">
        <f ca="1">IF(AND($E41&lt;&gt;"",OR($C41="Ready to Develop",$C41="7 PI Started",$C41="6 Epic Backlog",$C41="Done")),IFERROR(VLOOKUP($A41,INDIRECT("'"&amp;$T41&amp;"'"&amp;VLOOKUP($T41,Config!$B$4:$L$11,2)),VLOOKUP($T41,Config!$B$4:$L$11,9),FALSE),"-"),"-")</f>
        <v>1</v>
      </c>
      <c r="X41" s="1">
        <f ca="1">IF($C41="Done",IFERROR(VLOOKUP($A41,INDIRECT("'"&amp;$T41&amp;"'"&amp;VLOOKUP($T41,Config!$B$4:$L$11,2)),VLOOKUP($T41,Config!$B$4:$L$11,11),FALSE),"-"),"-")</f>
        <v>1</v>
      </c>
      <c r="Y41" s="1" t="str">
        <f ca="1">IF(AND($E41&lt;&gt;"",OR($C41="Ready to Develop",$C41="7 PI Started",$C41="6 Epic Backlog",$C41="Done")),IFERROR(VLOOKUP($A41,INDIRECT("'"&amp;$T41&amp;"'"&amp;VLOOKUP($T41,Config!$B$4:$P$11,2)),VLOOKUP($T41,Config!$B$4:$P$11,13),FALSE),"-"),"-")</f>
        <v>-</v>
      </c>
      <c r="Z41" s="1" t="str">
        <f ca="1">IF(AND($E41&lt;&gt;"",OR($C41="Ready to Develop",$C41="7 PI Started",$C41="6 Epic Backlog",$C41="Done")),IFERROR(VLOOKUP($A41,INDIRECT("'"&amp;$T41&amp;"'"&amp;VLOOKUP($T41,Config!$B$4:$P$11,2)),VLOOKUP($T41,Config!$B$4:$P$11,15),FALSE),"-"),"-")</f>
        <v>-</v>
      </c>
    </row>
    <row r="42" spans="1:26" x14ac:dyDescent="0.2">
      <c r="A42" s="405" t="s">
        <v>104</v>
      </c>
      <c r="B42" t="s">
        <v>105</v>
      </c>
      <c r="C42" t="s">
        <v>144</v>
      </c>
      <c r="E42" s="404" t="s">
        <v>365</v>
      </c>
      <c r="F42" s="19"/>
      <c r="G42" s="19"/>
      <c r="H42" s="19">
        <v>45348</v>
      </c>
      <c r="I42" s="19">
        <v>45356</v>
      </c>
      <c r="J42" s="19"/>
      <c r="K42" s="19" t="str">
        <f t="shared" si="0"/>
        <v>-</v>
      </c>
      <c r="L42" s="1" t="str">
        <f t="shared" si="1"/>
        <v>-</v>
      </c>
      <c r="M42" s="19" t="str">
        <f t="shared" ca="1" si="2"/>
        <v>Delivered</v>
      </c>
      <c r="N42" s="1" t="str">
        <f t="shared" ca="1" si="3"/>
        <v>-</v>
      </c>
      <c r="O42" s="1" t="str">
        <f t="shared" ca="1" si="4"/>
        <v>Delivered</v>
      </c>
      <c r="P42" s="1" t="str">
        <f t="shared" ca="1" si="5"/>
        <v>-</v>
      </c>
      <c r="Q42" s="1">
        <f t="shared" ca="1" si="6"/>
        <v>8</v>
      </c>
      <c r="R42" s="1">
        <f t="shared" ca="1" si="7"/>
        <v>0</v>
      </c>
      <c r="S42" s="1" t="s">
        <v>365</v>
      </c>
      <c r="T42" s="7" t="str">
        <f t="shared" si="8"/>
        <v>Q1-C2</v>
      </c>
      <c r="U42" s="1">
        <f ca="1">IF(AND($E42&lt;&gt;"",OR($C42="Ready to Develop",$C42="7 PI Started",$C42="6 Epic Backlog",$C42="Done")),IFERROR(VLOOKUP($A42,INDIRECT("'"&amp;$T42&amp;"'"&amp;VLOOKUP($T42,Config!$B$4:$L$11,2)),VLOOKUP($T42,Config!$B$4:$L$11,5),FALSE),"-"),"-")</f>
        <v>0</v>
      </c>
      <c r="V42" s="1">
        <f ca="1">IF($C42="Done",IFERROR(VLOOKUP($A42,INDIRECT("'"&amp;$T42&amp;"'"&amp;VLOOKUP($T42,Config!$B$4:$L$11,2)),VLOOKUP($T42,Config!$B$4:$L$11,7),FALSE),"-"),"-")</f>
        <v>6</v>
      </c>
      <c r="W42" s="1">
        <f ca="1">IF(AND($E42&lt;&gt;"",OR($C42="Ready to Develop",$C42="7 PI Started",$C42="6 Epic Backlog",$C42="Done")),IFERROR(VLOOKUP($A42,INDIRECT("'"&amp;$T42&amp;"'"&amp;VLOOKUP($T42,Config!$B$4:$L$11,2)),VLOOKUP($T42,Config!$B$4:$L$11,9),FALSE),"-"),"-")</f>
        <v>1</v>
      </c>
      <c r="X42" s="1">
        <f ca="1">IF($C42="Done",IFERROR(VLOOKUP($A42,INDIRECT("'"&amp;$T42&amp;"'"&amp;VLOOKUP($T42,Config!$B$4:$L$11,2)),VLOOKUP($T42,Config!$B$4:$L$11,11),FALSE),"-"),"-")</f>
        <v>1</v>
      </c>
      <c r="Y42" s="1" t="str">
        <f ca="1">IF(AND($E42&lt;&gt;"",OR($C42="Ready to Develop",$C42="7 PI Started",$C42="6 Epic Backlog",$C42="Done")),IFERROR(VLOOKUP($A42,INDIRECT("'"&amp;$T42&amp;"'"&amp;VLOOKUP($T42,Config!$B$4:$P$11,2)),VLOOKUP($T42,Config!$B$4:$P$11,13),FALSE),"-"),"-")</f>
        <v>-</v>
      </c>
      <c r="Z42" s="1" t="str">
        <f ca="1">IF(AND($E42&lt;&gt;"",OR($C42="Ready to Develop",$C42="7 PI Started",$C42="6 Epic Backlog",$C42="Done")),IFERROR(VLOOKUP($A42,INDIRECT("'"&amp;$T42&amp;"'"&amp;VLOOKUP($T42,Config!$B$4:$P$11,2)),VLOOKUP($T42,Config!$B$4:$P$11,15),FALSE),"-"),"-")</f>
        <v>-</v>
      </c>
    </row>
    <row r="43" spans="1:26" x14ac:dyDescent="0.2">
      <c r="A43" s="405" t="s">
        <v>110</v>
      </c>
      <c r="B43" t="s">
        <v>111</v>
      </c>
      <c r="C43" t="s">
        <v>144</v>
      </c>
      <c r="D43" t="s">
        <v>387</v>
      </c>
      <c r="E43" s="404" t="s">
        <v>365</v>
      </c>
      <c r="F43" s="19"/>
      <c r="G43" s="19"/>
      <c r="H43" s="19">
        <v>45362</v>
      </c>
      <c r="I43" s="19">
        <v>45379</v>
      </c>
      <c r="J43" s="19"/>
      <c r="K43" s="19" t="str">
        <f t="shared" si="0"/>
        <v>-</v>
      </c>
      <c r="L43" s="1" t="str">
        <f t="shared" si="1"/>
        <v>-</v>
      </c>
      <c r="M43" s="19" t="str">
        <f t="shared" ca="1" si="2"/>
        <v>Delivered</v>
      </c>
      <c r="N43" s="1" t="str">
        <f t="shared" ca="1" si="3"/>
        <v>-</v>
      </c>
      <c r="O43" s="1" t="str">
        <f t="shared" ca="1" si="4"/>
        <v>Delivered</v>
      </c>
      <c r="P43" s="1" t="str">
        <f t="shared" ca="1" si="5"/>
        <v>-</v>
      </c>
      <c r="Q43" s="1">
        <f t="shared" ca="1" si="6"/>
        <v>17</v>
      </c>
      <c r="R43" s="1">
        <f t="shared" ca="1" si="7"/>
        <v>0</v>
      </c>
      <c r="S43" s="1" t="s">
        <v>365</v>
      </c>
      <c r="T43" s="7" t="str">
        <f t="shared" si="8"/>
        <v>Q1-C2</v>
      </c>
      <c r="U43" s="1">
        <f ca="1">IF(AND($E43&lt;&gt;"",OR($C43="Ready to Develop",$C43="7 PI Started",$C43="6 Epic Backlog",$C43="Done")),IFERROR(VLOOKUP($A43,INDIRECT("'"&amp;$T43&amp;"'"&amp;VLOOKUP($T43,Config!$B$4:$L$11,2)),VLOOKUP($T43,Config!$B$4:$L$11,5),FALSE),"-"),"-")</f>
        <v>32</v>
      </c>
      <c r="V43" s="1">
        <f ca="1">IF($C43="Done",IFERROR(VLOOKUP($A43,INDIRECT("'"&amp;$T43&amp;"'"&amp;VLOOKUP($T43,Config!$B$4:$L$11,2)),VLOOKUP($T43,Config!$B$4:$L$11,7),FALSE),"-"),"-")</f>
        <v>32</v>
      </c>
      <c r="W43" s="1">
        <f ca="1">IF(AND($E43&lt;&gt;"",OR($C43="Ready to Develop",$C43="7 PI Started",$C43="6 Epic Backlog",$C43="Done")),IFERROR(VLOOKUP($A43,INDIRECT("'"&amp;$T43&amp;"'"&amp;VLOOKUP($T43,Config!$B$4:$L$11,2)),VLOOKUP($T43,Config!$B$4:$L$11,9),FALSE),"-"),"-")</f>
        <v>2</v>
      </c>
      <c r="X43" s="1">
        <f ca="1">IF($C43="Done",IFERROR(VLOOKUP($A43,INDIRECT("'"&amp;$T43&amp;"'"&amp;VLOOKUP($T43,Config!$B$4:$L$11,2)),VLOOKUP($T43,Config!$B$4:$L$11,11),FALSE),"-"),"-")</f>
        <v>3</v>
      </c>
      <c r="Y43" s="1" t="str">
        <f ca="1">IF(AND($E43&lt;&gt;"",OR($C43="Ready to Develop",$C43="7 PI Started",$C43="6 Epic Backlog",$C43="Done")),IFERROR(VLOOKUP($A43,INDIRECT("'"&amp;$T43&amp;"'"&amp;VLOOKUP($T43,Config!$B$4:$P$11,2)),VLOOKUP($T43,Config!$B$4:$P$11,13),FALSE),"-"),"-")</f>
        <v>-</v>
      </c>
      <c r="Z43" s="1" t="str">
        <f ca="1">IF(AND($E43&lt;&gt;"",OR($C43="Ready to Develop",$C43="7 PI Started",$C43="6 Epic Backlog",$C43="Done")),IFERROR(VLOOKUP($A43,INDIRECT("'"&amp;$T43&amp;"'"&amp;VLOOKUP($T43,Config!$B$4:$P$11,2)),VLOOKUP($T43,Config!$B$4:$P$11,15),FALSE),"-"),"-")</f>
        <v>-</v>
      </c>
    </row>
    <row r="44" spans="1:26" x14ac:dyDescent="0.2">
      <c r="A44" s="405" t="s">
        <v>107</v>
      </c>
      <c r="B44" t="s">
        <v>422</v>
      </c>
      <c r="C44" t="s">
        <v>144</v>
      </c>
      <c r="D44" t="s">
        <v>387</v>
      </c>
      <c r="E44" s="404" t="s">
        <v>365</v>
      </c>
      <c r="F44" s="19"/>
      <c r="G44" s="19"/>
      <c r="H44" s="19">
        <v>45348</v>
      </c>
      <c r="I44" s="19">
        <v>45379</v>
      </c>
      <c r="J44" s="19"/>
      <c r="K44" s="19" t="str">
        <f t="shared" si="0"/>
        <v>-</v>
      </c>
      <c r="L44" s="1" t="str">
        <f t="shared" si="1"/>
        <v>-</v>
      </c>
      <c r="M44" s="19" t="str">
        <f t="shared" ca="1" si="2"/>
        <v>Delivered</v>
      </c>
      <c r="N44" s="1" t="str">
        <f t="shared" ca="1" si="3"/>
        <v>-</v>
      </c>
      <c r="O44" s="1" t="str">
        <f t="shared" ca="1" si="4"/>
        <v>Delivered</v>
      </c>
      <c r="P44" s="1" t="str">
        <f t="shared" ca="1" si="5"/>
        <v>-</v>
      </c>
      <c r="Q44" s="1">
        <f t="shared" ca="1" si="6"/>
        <v>31</v>
      </c>
      <c r="R44" s="1">
        <f t="shared" ca="1" si="7"/>
        <v>0</v>
      </c>
      <c r="S44" s="1" t="s">
        <v>365</v>
      </c>
      <c r="T44" s="7" t="str">
        <f t="shared" si="8"/>
        <v>Q1-C2</v>
      </c>
      <c r="U44" s="1">
        <f ca="1">IF(AND($E44&lt;&gt;"",OR($C44="Ready to Develop",$C44="7 PI Started",$C44="6 Epic Backlog",$C44="Done")),IFERROR(VLOOKUP($A44,INDIRECT("'"&amp;$T44&amp;"'"&amp;VLOOKUP($T44,Config!$B$4:$L$11,2)),VLOOKUP($T44,Config!$B$4:$L$11,5),FALSE),"-"),"-")</f>
        <v>21</v>
      </c>
      <c r="V44" s="1">
        <f ca="1">IF($C44="Done",IFERROR(VLOOKUP($A44,INDIRECT("'"&amp;$T44&amp;"'"&amp;VLOOKUP($T44,Config!$B$4:$L$11,2)),VLOOKUP($T44,Config!$B$4:$L$11,7),FALSE),"-"),"-")</f>
        <v>29</v>
      </c>
      <c r="W44" s="1">
        <f ca="1">IF(AND($E44&lt;&gt;"",OR($C44="Ready to Develop",$C44="7 PI Started",$C44="6 Epic Backlog",$C44="Done")),IFERROR(VLOOKUP($A44,INDIRECT("'"&amp;$T44&amp;"'"&amp;VLOOKUP($T44,Config!$B$4:$L$11,2)),VLOOKUP($T44,Config!$B$4:$L$11,9),FALSE),"-"),"-")</f>
        <v>2</v>
      </c>
      <c r="X44" s="1">
        <f ca="1">IF($C44="Done",IFERROR(VLOOKUP($A44,INDIRECT("'"&amp;$T44&amp;"'"&amp;VLOOKUP($T44,Config!$B$4:$L$11,2)),VLOOKUP($T44,Config!$B$4:$L$11,11),FALSE),"-"),"-")</f>
        <v>2</v>
      </c>
      <c r="Y44" s="1" t="str">
        <f ca="1">IF(AND($E44&lt;&gt;"",OR($C44="Ready to Develop",$C44="7 PI Started",$C44="6 Epic Backlog",$C44="Done")),IFERROR(VLOOKUP($A44,INDIRECT("'"&amp;$T44&amp;"'"&amp;VLOOKUP($T44,Config!$B$4:$P$11,2)),VLOOKUP($T44,Config!$B$4:$P$11,13),FALSE),"-"),"-")</f>
        <v>-</v>
      </c>
      <c r="Z44" s="1" t="str">
        <f ca="1">IF(AND($E44&lt;&gt;"",OR($C44="Ready to Develop",$C44="7 PI Started",$C44="6 Epic Backlog",$C44="Done")),IFERROR(VLOOKUP($A44,INDIRECT("'"&amp;$T44&amp;"'"&amp;VLOOKUP($T44,Config!$B$4:$P$11,2)),VLOOKUP($T44,Config!$B$4:$P$11,15),FALSE),"-"),"-")</f>
        <v>-</v>
      </c>
    </row>
    <row r="45" spans="1:26" x14ac:dyDescent="0.2">
      <c r="A45" s="405" t="s">
        <v>199</v>
      </c>
      <c r="B45" t="s">
        <v>423</v>
      </c>
      <c r="C45" t="s">
        <v>144</v>
      </c>
      <c r="D45" t="s">
        <v>424</v>
      </c>
      <c r="E45" s="404" t="s">
        <v>366</v>
      </c>
      <c r="F45" s="19"/>
      <c r="G45" s="19"/>
      <c r="H45" s="19"/>
      <c r="I45" s="19">
        <v>45462</v>
      </c>
      <c r="J45" s="19"/>
      <c r="K45" s="19" t="str">
        <f t="shared" si="0"/>
        <v>-</v>
      </c>
      <c r="L45" s="1" t="str">
        <f t="shared" si="1"/>
        <v>-</v>
      </c>
      <c r="M45" s="19" t="str">
        <f t="shared" ca="1" si="2"/>
        <v>Delivered</v>
      </c>
      <c r="N45" s="1" t="str">
        <f t="shared" ca="1" si="3"/>
        <v>-</v>
      </c>
      <c r="O45" s="1" t="str">
        <f t="shared" ca="1" si="4"/>
        <v>Delivered</v>
      </c>
      <c r="P45" s="1" t="str">
        <f t="shared" ca="1" si="5"/>
        <v>-</v>
      </c>
      <c r="Q45" s="1" t="str">
        <f t="shared" ca="1" si="6"/>
        <v>-</v>
      </c>
      <c r="R45" s="1">
        <f t="shared" ca="1" si="7"/>
        <v>0</v>
      </c>
      <c r="S45" s="1" t="s">
        <v>366</v>
      </c>
      <c r="T45" s="7" t="str">
        <f t="shared" si="8"/>
        <v>Q2-C2</v>
      </c>
      <c r="U45" s="1">
        <f ca="1">IF(AND($E45&lt;&gt;"",OR($C45="Ready to Develop",$C45="7 PI Started",$C45="6 Epic Backlog",$C45="Done")),IFERROR(VLOOKUP($A45,INDIRECT("'"&amp;$T45&amp;"'"&amp;VLOOKUP($T45,Config!$B$4:$L$11,2)),VLOOKUP($T45,Config!$B$4:$L$11,5),FALSE),"-"),"-")</f>
        <v>0</v>
      </c>
      <c r="V45" s="1">
        <f ca="1">IF($C45="Done",IFERROR(VLOOKUP($A45,INDIRECT("'"&amp;$T45&amp;"'"&amp;VLOOKUP($T45,Config!$B$4:$L$11,2)),VLOOKUP($T45,Config!$B$4:$L$11,7),FALSE),"-"),"-")</f>
        <v>8</v>
      </c>
      <c r="W45" s="1">
        <f ca="1">IF(AND($E45&lt;&gt;"",OR($C45="Ready to Develop",$C45="7 PI Started",$C45="6 Epic Backlog",$C45="Done")),IFERROR(VLOOKUP($A45,INDIRECT("'"&amp;$T45&amp;"'"&amp;VLOOKUP($T45,Config!$B$4:$L$11,2)),VLOOKUP($T45,Config!$B$4:$L$11,9),FALSE),"-"),"-")</f>
        <v>0</v>
      </c>
      <c r="X45" s="1">
        <f ca="1">IF($C45="Done",IFERROR(VLOOKUP($A45,INDIRECT("'"&amp;$T45&amp;"'"&amp;VLOOKUP($T45,Config!$B$4:$L$11,2)),VLOOKUP($T45,Config!$B$4:$L$11,11),FALSE),"-"),"-")</f>
        <v>1</v>
      </c>
      <c r="Y45" s="1" t="str">
        <f ca="1">IF(AND($E45&lt;&gt;"",OR($C45="Ready to Develop",$C45="7 PI Started",$C45="6 Epic Backlog",$C45="Done")),IFERROR(VLOOKUP($A45,INDIRECT("'"&amp;$T45&amp;"'"&amp;VLOOKUP($T45,Config!$B$4:$P$11,2)),VLOOKUP($T45,Config!$B$4:$P$11,13),FALSE),"-"),"-")</f>
        <v>-</v>
      </c>
      <c r="Z45" s="1" t="str">
        <f ca="1">IF(AND($E45&lt;&gt;"",OR($C45="Ready to Develop",$C45="7 PI Started",$C45="6 Epic Backlog",$C45="Done")),IFERROR(VLOOKUP($A45,INDIRECT("'"&amp;$T45&amp;"'"&amp;VLOOKUP($T45,Config!$B$4:$P$11,2)),VLOOKUP($T45,Config!$B$4:$P$11,15),FALSE),"-"),"-")</f>
        <v>-</v>
      </c>
    </row>
    <row r="46" spans="1:26" x14ac:dyDescent="0.2">
      <c r="A46" s="405" t="s">
        <v>203</v>
      </c>
      <c r="B46" t="s">
        <v>204</v>
      </c>
      <c r="C46" t="s">
        <v>144</v>
      </c>
      <c r="D46" t="s">
        <v>206</v>
      </c>
      <c r="E46" s="404" t="s">
        <v>366</v>
      </c>
      <c r="F46" s="19"/>
      <c r="G46" s="19"/>
      <c r="H46" s="19"/>
      <c r="I46" s="19"/>
      <c r="J46" s="19"/>
      <c r="K46" s="19" t="str">
        <f t="shared" si="0"/>
        <v>-</v>
      </c>
      <c r="L46" s="1" t="str">
        <f t="shared" si="1"/>
        <v>-</v>
      </c>
      <c r="M46" s="19" t="str">
        <f t="shared" ca="1" si="2"/>
        <v>Delivered</v>
      </c>
      <c r="N46" s="1" t="str">
        <f t="shared" ca="1" si="3"/>
        <v>-</v>
      </c>
      <c r="O46" s="1" t="str">
        <f t="shared" ca="1" si="4"/>
        <v>Delivered</v>
      </c>
      <c r="P46" s="1" t="str">
        <f t="shared" ca="1" si="5"/>
        <v>-</v>
      </c>
      <c r="Q46" s="1" t="str">
        <f t="shared" ca="1" si="6"/>
        <v>-</v>
      </c>
      <c r="R46" s="1" t="str">
        <f t="shared" ca="1" si="7"/>
        <v>-</v>
      </c>
      <c r="S46" s="1" t="s">
        <v>366</v>
      </c>
      <c r="T46" s="7" t="str">
        <f t="shared" si="8"/>
        <v>Q2-C2</v>
      </c>
      <c r="U46" s="1">
        <f ca="1">IF(AND($E46&lt;&gt;"",OR($C46="Ready to Develop",$C46="7 PI Started",$C46="6 Epic Backlog",$C46="Done")),IFERROR(VLOOKUP($A46,INDIRECT("'"&amp;$T46&amp;"'"&amp;VLOOKUP($T46,Config!$B$4:$L$11,2)),VLOOKUP($T46,Config!$B$4:$L$11,5),FALSE),"-"),"-")</f>
        <v>0</v>
      </c>
      <c r="V46" s="1">
        <f ca="1">IF($C46="Done",IFERROR(VLOOKUP($A46,INDIRECT("'"&amp;$T46&amp;"'"&amp;VLOOKUP($T46,Config!$B$4:$L$11,2)),VLOOKUP($T46,Config!$B$4:$L$11,7),FALSE),"-"),"-")</f>
        <v>2</v>
      </c>
      <c r="W46" s="1">
        <f ca="1">IF(AND($E46&lt;&gt;"",OR($C46="Ready to Develop",$C46="7 PI Started",$C46="6 Epic Backlog",$C46="Done")),IFERROR(VLOOKUP($A46,INDIRECT("'"&amp;$T46&amp;"'"&amp;VLOOKUP($T46,Config!$B$4:$L$11,2)),VLOOKUP($T46,Config!$B$4:$L$11,9),FALSE),"-"),"-")</f>
        <v>0</v>
      </c>
      <c r="X46" s="1">
        <f ca="1">IF($C46="Done",IFERROR(VLOOKUP($A46,INDIRECT("'"&amp;$T46&amp;"'"&amp;VLOOKUP($T46,Config!$B$4:$L$11,2)),VLOOKUP($T46,Config!$B$4:$L$11,11),FALSE),"-"),"-")</f>
        <v>1</v>
      </c>
      <c r="Y46" s="1" t="str">
        <f ca="1">IF(AND($E46&lt;&gt;"",OR($C46="Ready to Develop",$C46="7 PI Started",$C46="6 Epic Backlog",$C46="Done")),IFERROR(VLOOKUP($A46,INDIRECT("'"&amp;$T46&amp;"'"&amp;VLOOKUP($T46,Config!$B$4:$P$11,2)),VLOOKUP($T46,Config!$B$4:$P$11,13),FALSE),"-"),"-")</f>
        <v>-</v>
      </c>
      <c r="Z46" s="1" t="str">
        <f ca="1">IF(AND($E46&lt;&gt;"",OR($C46="Ready to Develop",$C46="7 PI Started",$C46="6 Epic Backlog",$C46="Done")),IFERROR(VLOOKUP($A46,INDIRECT("'"&amp;$T46&amp;"'"&amp;VLOOKUP($T46,Config!$B$4:$P$11,2)),VLOOKUP($T46,Config!$B$4:$P$11,15),FALSE),"-"),"-")</f>
        <v>-</v>
      </c>
    </row>
    <row r="47" spans="1:26" x14ac:dyDescent="0.2">
      <c r="A47" s="405" t="s">
        <v>425</v>
      </c>
      <c r="B47" t="s">
        <v>426</v>
      </c>
      <c r="C47" t="s">
        <v>144</v>
      </c>
      <c r="D47" t="s">
        <v>400</v>
      </c>
      <c r="E47" s="404" t="s">
        <v>366</v>
      </c>
      <c r="F47" s="19"/>
      <c r="G47" s="19"/>
      <c r="H47" s="19"/>
      <c r="I47" s="19"/>
      <c r="J47" s="19"/>
      <c r="K47" s="19" t="str">
        <f t="shared" si="0"/>
        <v>-</v>
      </c>
      <c r="L47" s="1" t="str">
        <f t="shared" si="1"/>
        <v>-</v>
      </c>
      <c r="M47" s="19" t="str">
        <f t="shared" ca="1" si="2"/>
        <v>Delivered</v>
      </c>
      <c r="N47" s="1" t="str">
        <f t="shared" ca="1" si="3"/>
        <v>-</v>
      </c>
      <c r="O47" s="1" t="str">
        <f t="shared" ca="1" si="4"/>
        <v>Delivered</v>
      </c>
      <c r="P47" s="1" t="str">
        <f t="shared" ca="1" si="5"/>
        <v>-</v>
      </c>
      <c r="Q47" s="1" t="str">
        <f t="shared" ca="1" si="6"/>
        <v>-</v>
      </c>
      <c r="R47" s="1" t="str">
        <f t="shared" ca="1" si="7"/>
        <v>-</v>
      </c>
      <c r="S47" s="1" t="s">
        <v>366</v>
      </c>
      <c r="T47" s="7" t="str">
        <f t="shared" si="8"/>
        <v>Q2-C2</v>
      </c>
      <c r="U47" s="1" t="str">
        <f ca="1">IF(AND($E47&lt;&gt;"",OR($C47="Ready to Develop",$C47="7 PI Started",$C47="6 Epic Backlog",$C47="Done")),IFERROR(VLOOKUP($A47,INDIRECT("'"&amp;$T47&amp;"'"&amp;VLOOKUP($T47,Config!$B$4:$L$11,2)),VLOOKUP($T47,Config!$B$4:$L$11,5),FALSE),"-"),"-")</f>
        <v>-</v>
      </c>
      <c r="V47" s="1" t="str">
        <f ca="1">IF($C47="Done",IFERROR(VLOOKUP($A47,INDIRECT("'"&amp;$T47&amp;"'"&amp;VLOOKUP($T47,Config!$B$4:$L$11,2)),VLOOKUP($T47,Config!$B$4:$L$11,7),FALSE),"-"),"-")</f>
        <v>-</v>
      </c>
      <c r="W47" s="1" t="str">
        <f ca="1">IF(AND($E47&lt;&gt;"",OR($C47="Ready to Develop",$C47="7 PI Started",$C47="6 Epic Backlog",$C47="Done")),IFERROR(VLOOKUP($A47,INDIRECT("'"&amp;$T47&amp;"'"&amp;VLOOKUP($T47,Config!$B$4:$L$11,2)),VLOOKUP($T47,Config!$B$4:$L$11,9),FALSE),"-"),"-")</f>
        <v>-</v>
      </c>
      <c r="X47" s="1" t="str">
        <f ca="1">IF($C47="Done",IFERROR(VLOOKUP($A47,INDIRECT("'"&amp;$T47&amp;"'"&amp;VLOOKUP($T47,Config!$B$4:$L$11,2)),VLOOKUP($T47,Config!$B$4:$L$11,11),FALSE),"-"),"-")</f>
        <v>-</v>
      </c>
      <c r="Y47" s="1" t="str">
        <f ca="1">IF(AND($E47&lt;&gt;"",OR($C47="Ready to Develop",$C47="7 PI Started",$C47="6 Epic Backlog",$C47="Done")),IFERROR(VLOOKUP($A47,INDIRECT("'"&amp;$T47&amp;"'"&amp;VLOOKUP($T47,Config!$B$4:$P$11,2)),VLOOKUP($T47,Config!$B$4:$P$11,13),FALSE),"-"),"-")</f>
        <v>-</v>
      </c>
      <c r="Z47" s="1" t="str">
        <f ca="1">IF(AND($E47&lt;&gt;"",OR($C47="Ready to Develop",$C47="7 PI Started",$C47="6 Epic Backlog",$C47="Done")),IFERROR(VLOOKUP($A47,INDIRECT("'"&amp;$T47&amp;"'"&amp;VLOOKUP($T47,Config!$B$4:$P$11,2)),VLOOKUP($T47,Config!$B$4:$P$11,15),FALSE),"-"),"-")</f>
        <v>-</v>
      </c>
    </row>
    <row r="48" spans="1:26" x14ac:dyDescent="0.2">
      <c r="A48" s="405" t="s">
        <v>196</v>
      </c>
      <c r="B48" t="s">
        <v>427</v>
      </c>
      <c r="C48" t="s">
        <v>144</v>
      </c>
      <c r="D48" t="s">
        <v>387</v>
      </c>
      <c r="E48" s="404" t="s">
        <v>366</v>
      </c>
      <c r="F48" s="19"/>
      <c r="G48" s="19"/>
      <c r="H48" s="19">
        <v>45425</v>
      </c>
      <c r="I48" s="19">
        <v>45471</v>
      </c>
      <c r="J48" s="19"/>
      <c r="K48" s="19" t="str">
        <f t="shared" si="0"/>
        <v>-</v>
      </c>
      <c r="L48" s="1" t="str">
        <f t="shared" si="1"/>
        <v>-</v>
      </c>
      <c r="M48" s="19" t="str">
        <f t="shared" ca="1" si="2"/>
        <v>Delivered</v>
      </c>
      <c r="N48" s="1" t="str">
        <f t="shared" ca="1" si="3"/>
        <v>-</v>
      </c>
      <c r="O48" s="1" t="str">
        <f t="shared" ca="1" si="4"/>
        <v>Delivered</v>
      </c>
      <c r="P48" s="1" t="str">
        <f t="shared" ca="1" si="5"/>
        <v>-</v>
      </c>
      <c r="Q48" s="1">
        <f t="shared" ca="1" si="6"/>
        <v>46</v>
      </c>
      <c r="R48" s="1">
        <f t="shared" ca="1" si="7"/>
        <v>0</v>
      </c>
      <c r="S48" s="1" t="s">
        <v>366</v>
      </c>
      <c r="T48" s="7" t="str">
        <f t="shared" si="8"/>
        <v>Q2-C2</v>
      </c>
      <c r="U48" s="1">
        <f ca="1">IF(AND($E48&lt;&gt;"",OR($C48="Ready to Develop",$C48="7 PI Started",$C48="6 Epic Backlog",$C48="Done")),IFERROR(VLOOKUP($A48,INDIRECT("'"&amp;$T48&amp;"'"&amp;VLOOKUP($T48,Config!$B$4:$L$11,2)),VLOOKUP($T48,Config!$B$4:$L$11,5),FALSE),"-"),"-")</f>
        <v>24</v>
      </c>
      <c r="V48" s="1">
        <f ca="1">IF($C48="Done",IFERROR(VLOOKUP($A48,INDIRECT("'"&amp;$T48&amp;"'"&amp;VLOOKUP($T48,Config!$B$4:$L$11,2)),VLOOKUP($T48,Config!$B$4:$L$11,7),FALSE),"-"),"-")</f>
        <v>24</v>
      </c>
      <c r="W48" s="1">
        <f ca="1">IF(AND($E48&lt;&gt;"",OR($C48="Ready to Develop",$C48="7 PI Started",$C48="6 Epic Backlog",$C48="Done")),IFERROR(VLOOKUP($A48,INDIRECT("'"&amp;$T48&amp;"'"&amp;VLOOKUP($T48,Config!$B$4:$L$11,2)),VLOOKUP($T48,Config!$B$4:$L$11,9),FALSE),"-"),"-")</f>
        <v>1</v>
      </c>
      <c r="X48" s="1">
        <f ca="1">IF($C48="Done",IFERROR(VLOOKUP($A48,INDIRECT("'"&amp;$T48&amp;"'"&amp;VLOOKUP($T48,Config!$B$4:$L$11,2)),VLOOKUP($T48,Config!$B$4:$L$11,11),FALSE),"-"),"-")</f>
        <v>1</v>
      </c>
      <c r="Y48" s="1" t="str">
        <f ca="1">IF(AND($E48&lt;&gt;"",OR($C48="Ready to Develop",$C48="7 PI Started",$C48="6 Epic Backlog",$C48="Done")),IFERROR(VLOOKUP($A48,INDIRECT("'"&amp;$T48&amp;"'"&amp;VLOOKUP($T48,Config!$B$4:$P$11,2)),VLOOKUP($T48,Config!$B$4:$P$11,13),FALSE),"-"),"-")</f>
        <v>-</v>
      </c>
      <c r="Z48" s="1" t="str">
        <f ca="1">IF(AND($E48&lt;&gt;"",OR($C48="Ready to Develop",$C48="7 PI Started",$C48="6 Epic Backlog",$C48="Done")),IFERROR(VLOOKUP($A48,INDIRECT("'"&amp;$T48&amp;"'"&amp;VLOOKUP($T48,Config!$B$4:$P$11,2)),VLOOKUP($T48,Config!$B$4:$P$11,15),FALSE),"-"),"-")</f>
        <v>-</v>
      </c>
    </row>
    <row r="49" spans="1:26" x14ac:dyDescent="0.2">
      <c r="A49" s="405" t="s">
        <v>193</v>
      </c>
      <c r="B49" t="s">
        <v>428</v>
      </c>
      <c r="C49" t="s">
        <v>144</v>
      </c>
      <c r="D49" t="s">
        <v>387</v>
      </c>
      <c r="E49" s="404" t="s">
        <v>366</v>
      </c>
      <c r="F49" s="19"/>
      <c r="G49" s="19"/>
      <c r="H49" s="19">
        <v>45428</v>
      </c>
      <c r="I49" s="19">
        <v>45471</v>
      </c>
      <c r="J49" s="19"/>
      <c r="K49" s="19" t="str">
        <f t="shared" si="0"/>
        <v>-</v>
      </c>
      <c r="L49" s="1" t="str">
        <f t="shared" si="1"/>
        <v>-</v>
      </c>
      <c r="M49" s="19" t="str">
        <f t="shared" ca="1" si="2"/>
        <v>Delivered</v>
      </c>
      <c r="N49" s="1" t="str">
        <f t="shared" ca="1" si="3"/>
        <v>-</v>
      </c>
      <c r="O49" s="1" t="str">
        <f t="shared" ca="1" si="4"/>
        <v>Delivered</v>
      </c>
      <c r="P49" s="1" t="str">
        <f t="shared" ca="1" si="5"/>
        <v>-</v>
      </c>
      <c r="Q49" s="1">
        <f t="shared" ca="1" si="6"/>
        <v>43</v>
      </c>
      <c r="R49" s="1">
        <f t="shared" ca="1" si="7"/>
        <v>0</v>
      </c>
      <c r="S49" s="1" t="s">
        <v>366</v>
      </c>
      <c r="T49" s="7" t="str">
        <f t="shared" si="8"/>
        <v>Q2-C2</v>
      </c>
      <c r="U49" s="1">
        <f ca="1">IF(AND($E49&lt;&gt;"",OR($C49="Ready to Develop",$C49="7 PI Started",$C49="6 Epic Backlog",$C49="Done")),IFERROR(VLOOKUP($A49,INDIRECT("'"&amp;$T49&amp;"'"&amp;VLOOKUP($T49,Config!$B$4:$L$11,2)),VLOOKUP($T49,Config!$B$4:$L$11,5),FALSE),"-"),"-")</f>
        <v>21</v>
      </c>
      <c r="V49" s="1">
        <f ca="1">IF($C49="Done",IFERROR(VLOOKUP($A49,INDIRECT("'"&amp;$T49&amp;"'"&amp;VLOOKUP($T49,Config!$B$4:$L$11,2)),VLOOKUP($T49,Config!$B$4:$L$11,7),FALSE),"-"),"-")</f>
        <v>21</v>
      </c>
      <c r="W49" s="1">
        <f ca="1">IF(AND($E49&lt;&gt;"",OR($C49="Ready to Develop",$C49="7 PI Started",$C49="6 Epic Backlog",$C49="Done")),IFERROR(VLOOKUP($A49,INDIRECT("'"&amp;$T49&amp;"'"&amp;VLOOKUP($T49,Config!$B$4:$L$11,2)),VLOOKUP($T49,Config!$B$4:$L$11,9),FALSE),"-"),"-")</f>
        <v>1</v>
      </c>
      <c r="X49" s="1">
        <f ca="1">IF($C49="Done",IFERROR(VLOOKUP($A49,INDIRECT("'"&amp;$T49&amp;"'"&amp;VLOOKUP($T49,Config!$B$4:$L$11,2)),VLOOKUP($T49,Config!$B$4:$L$11,11),FALSE),"-"),"-")</f>
        <v>1</v>
      </c>
      <c r="Y49" s="1" t="str">
        <f ca="1">IF(AND($E49&lt;&gt;"",OR($C49="Ready to Develop",$C49="7 PI Started",$C49="6 Epic Backlog",$C49="Done")),IFERROR(VLOOKUP($A49,INDIRECT("'"&amp;$T49&amp;"'"&amp;VLOOKUP($T49,Config!$B$4:$P$11,2)),VLOOKUP($T49,Config!$B$4:$P$11,13),FALSE),"-"),"-")</f>
        <v>-</v>
      </c>
      <c r="Z49" s="1" t="str">
        <f ca="1">IF(AND($E49&lt;&gt;"",OR($C49="Ready to Develop",$C49="7 PI Started",$C49="6 Epic Backlog",$C49="Done")),IFERROR(VLOOKUP($A49,INDIRECT("'"&amp;$T49&amp;"'"&amp;VLOOKUP($T49,Config!$B$4:$P$11,2)),VLOOKUP($T49,Config!$B$4:$P$11,15),FALSE),"-"),"-")</f>
        <v>-</v>
      </c>
    </row>
    <row r="50" spans="1:26" x14ac:dyDescent="0.2">
      <c r="A50" s="405" t="s">
        <v>184</v>
      </c>
      <c r="B50" t="s">
        <v>244</v>
      </c>
      <c r="C50" t="s">
        <v>144</v>
      </c>
      <c r="E50" s="404" t="s">
        <v>366</v>
      </c>
      <c r="F50" s="19"/>
      <c r="G50" s="19"/>
      <c r="H50" s="19">
        <v>45426</v>
      </c>
      <c r="I50" s="19">
        <v>45490</v>
      </c>
      <c r="J50" s="19"/>
      <c r="K50" s="19" t="str">
        <f t="shared" si="0"/>
        <v>-</v>
      </c>
      <c r="L50" s="1" t="str">
        <f t="shared" si="1"/>
        <v>-</v>
      </c>
      <c r="M50" s="19" t="str">
        <f t="shared" ca="1" si="2"/>
        <v>Delivered</v>
      </c>
      <c r="N50" s="1" t="str">
        <f t="shared" ca="1" si="3"/>
        <v>-</v>
      </c>
      <c r="O50" s="1" t="str">
        <f t="shared" ca="1" si="4"/>
        <v>Delivered</v>
      </c>
      <c r="P50" s="1" t="str">
        <f t="shared" ca="1" si="5"/>
        <v>-</v>
      </c>
      <c r="Q50" s="1">
        <f t="shared" ca="1" si="6"/>
        <v>64</v>
      </c>
      <c r="R50" s="1">
        <f t="shared" ca="1" si="7"/>
        <v>0</v>
      </c>
      <c r="S50" s="1" t="s">
        <v>366</v>
      </c>
      <c r="T50" s="7" t="str">
        <f t="shared" si="8"/>
        <v>Q2-C2</v>
      </c>
      <c r="U50" s="1">
        <f ca="1">IF(AND($E50&lt;&gt;"",OR($C50="Ready to Develop",$C50="7 PI Started",$C50="6 Epic Backlog",$C50="Done")),IFERROR(VLOOKUP($A50,INDIRECT("'"&amp;$T50&amp;"'"&amp;VLOOKUP($T50,Config!$B$4:$L$11,2)),VLOOKUP($T50,Config!$B$4:$L$11,5),FALSE),"-"),"-")</f>
        <v>13</v>
      </c>
      <c r="V50" s="1">
        <f ca="1">IF($C50="Done",IFERROR(VLOOKUP($A50,INDIRECT("'"&amp;$T50&amp;"'"&amp;VLOOKUP($T50,Config!$B$4:$L$11,2)),VLOOKUP($T50,Config!$B$4:$L$11,7),FALSE),"-"),"-")</f>
        <v>7</v>
      </c>
      <c r="W50" s="1">
        <f ca="1">IF(AND($E50&lt;&gt;"",OR($C50="Ready to Develop",$C50="7 PI Started",$C50="6 Epic Backlog",$C50="Done")),IFERROR(VLOOKUP($A50,INDIRECT("'"&amp;$T50&amp;"'"&amp;VLOOKUP($T50,Config!$B$4:$L$11,2)),VLOOKUP($T50,Config!$B$4:$L$11,9),FALSE),"-"),"-")</f>
        <v>1</v>
      </c>
      <c r="X50" s="1">
        <f ca="1">IF($C50="Done",IFERROR(VLOOKUP($A50,INDIRECT("'"&amp;$T50&amp;"'"&amp;VLOOKUP($T50,Config!$B$4:$L$11,2)),VLOOKUP($T50,Config!$B$4:$L$11,11),FALSE),"-"),"-")</f>
        <v>1</v>
      </c>
      <c r="Y50" s="1" t="str">
        <f ca="1">IF(AND($E50&lt;&gt;"",OR($C50="Ready to Develop",$C50="7 PI Started",$C50="6 Epic Backlog",$C50="Done")),IFERROR(VLOOKUP($A50,INDIRECT("'"&amp;$T50&amp;"'"&amp;VLOOKUP($T50,Config!$B$4:$P$11,2)),VLOOKUP($T50,Config!$B$4:$P$11,13),FALSE),"-"),"-")</f>
        <v>-</v>
      </c>
      <c r="Z50" s="1" t="str">
        <f ca="1">IF(AND($E50&lt;&gt;"",OR($C50="Ready to Develop",$C50="7 PI Started",$C50="6 Epic Backlog",$C50="Done")),IFERROR(VLOOKUP($A50,INDIRECT("'"&amp;$T50&amp;"'"&amp;VLOOKUP($T50,Config!$B$4:$P$11,2)),VLOOKUP($T50,Config!$B$4:$P$11,15),FALSE),"-"),"-")</f>
        <v>-</v>
      </c>
    </row>
    <row r="51" spans="1:26" x14ac:dyDescent="0.2">
      <c r="A51" s="405" t="s">
        <v>187</v>
      </c>
      <c r="B51" t="s">
        <v>429</v>
      </c>
      <c r="C51" t="s">
        <v>144</v>
      </c>
      <c r="E51" s="404" t="s">
        <v>366</v>
      </c>
      <c r="F51" s="19"/>
      <c r="G51" s="19"/>
      <c r="H51" s="19">
        <v>45425</v>
      </c>
      <c r="I51" s="19">
        <v>45471</v>
      </c>
      <c r="J51" s="19"/>
      <c r="K51" s="19" t="str">
        <f t="shared" si="0"/>
        <v>-</v>
      </c>
      <c r="L51" s="1" t="str">
        <f t="shared" si="1"/>
        <v>-</v>
      </c>
      <c r="M51" s="19" t="str">
        <f t="shared" ca="1" si="2"/>
        <v>Delivered</v>
      </c>
      <c r="N51" s="1" t="str">
        <f t="shared" ca="1" si="3"/>
        <v>-</v>
      </c>
      <c r="O51" s="1" t="str">
        <f t="shared" ca="1" si="4"/>
        <v>Delivered</v>
      </c>
      <c r="P51" s="1" t="str">
        <f t="shared" ca="1" si="5"/>
        <v>-</v>
      </c>
      <c r="Q51" s="1">
        <f t="shared" ca="1" si="6"/>
        <v>46</v>
      </c>
      <c r="R51" s="1">
        <f t="shared" ca="1" si="7"/>
        <v>0</v>
      </c>
      <c r="S51" s="1" t="s">
        <v>366</v>
      </c>
      <c r="T51" s="7" t="str">
        <f t="shared" si="8"/>
        <v>Q2-C2</v>
      </c>
      <c r="U51" s="1">
        <f ca="1">IF(AND($E51&lt;&gt;"",OR($C51="Ready to Develop",$C51="7 PI Started",$C51="6 Epic Backlog",$C51="Done")),IFERROR(VLOOKUP($A51,INDIRECT("'"&amp;$T51&amp;"'"&amp;VLOOKUP($T51,Config!$B$4:$L$11,2)),VLOOKUP($T51,Config!$B$4:$L$11,5),FALSE),"-"),"-")</f>
        <v>25</v>
      </c>
      <c r="V51" s="1">
        <f ca="1">IF($C51="Done",IFERROR(VLOOKUP($A51,INDIRECT("'"&amp;$T51&amp;"'"&amp;VLOOKUP($T51,Config!$B$4:$L$11,2)),VLOOKUP($T51,Config!$B$4:$L$11,7),FALSE),"-"),"-")</f>
        <v>24</v>
      </c>
      <c r="W51" s="1">
        <f ca="1">IF(AND($E51&lt;&gt;"",OR($C51="Ready to Develop",$C51="7 PI Started",$C51="6 Epic Backlog",$C51="Done")),IFERROR(VLOOKUP($A51,INDIRECT("'"&amp;$T51&amp;"'"&amp;VLOOKUP($T51,Config!$B$4:$L$11,2)),VLOOKUP($T51,Config!$B$4:$L$11,9),FALSE),"-"),"-")</f>
        <v>2</v>
      </c>
      <c r="X51" s="1">
        <f ca="1">IF($C51="Done",IFERROR(VLOOKUP($A51,INDIRECT("'"&amp;$T51&amp;"'"&amp;VLOOKUP($T51,Config!$B$4:$L$11,2)),VLOOKUP($T51,Config!$B$4:$L$11,11),FALSE),"-"),"-")</f>
        <v>1</v>
      </c>
      <c r="Y51" s="1" t="str">
        <f ca="1">IF(AND($E51&lt;&gt;"",OR($C51="Ready to Develop",$C51="7 PI Started",$C51="6 Epic Backlog",$C51="Done")),IFERROR(VLOOKUP($A51,INDIRECT("'"&amp;$T51&amp;"'"&amp;VLOOKUP($T51,Config!$B$4:$P$11,2)),VLOOKUP($T51,Config!$B$4:$P$11,13),FALSE),"-"),"-")</f>
        <v>-</v>
      </c>
      <c r="Z51" s="1" t="str">
        <f ca="1">IF(AND($E51&lt;&gt;"",OR($C51="Ready to Develop",$C51="7 PI Started",$C51="6 Epic Backlog",$C51="Done")),IFERROR(VLOOKUP($A51,INDIRECT("'"&amp;$T51&amp;"'"&amp;VLOOKUP($T51,Config!$B$4:$P$11,2)),VLOOKUP($T51,Config!$B$4:$P$11,15),FALSE),"-"),"-")</f>
        <v>-</v>
      </c>
    </row>
    <row r="52" spans="1:26" x14ac:dyDescent="0.2">
      <c r="A52" s="405" t="s">
        <v>179</v>
      </c>
      <c r="B52" t="s">
        <v>430</v>
      </c>
      <c r="C52" t="s">
        <v>144</v>
      </c>
      <c r="D52" t="s">
        <v>389</v>
      </c>
      <c r="E52" s="404" t="s">
        <v>366</v>
      </c>
      <c r="F52" s="19"/>
      <c r="G52" s="19"/>
      <c r="H52" s="19">
        <v>45443</v>
      </c>
      <c r="I52" s="19">
        <v>45471</v>
      </c>
      <c r="J52" s="19"/>
      <c r="K52" s="19" t="str">
        <f t="shared" si="0"/>
        <v>-</v>
      </c>
      <c r="L52" s="1" t="str">
        <f t="shared" si="1"/>
        <v>-</v>
      </c>
      <c r="M52" s="19" t="str">
        <f t="shared" ca="1" si="2"/>
        <v>Delivered</v>
      </c>
      <c r="N52" s="1" t="str">
        <f t="shared" ca="1" si="3"/>
        <v>-</v>
      </c>
      <c r="O52" s="1" t="str">
        <f t="shared" ca="1" si="4"/>
        <v>Delivered</v>
      </c>
      <c r="P52" s="1" t="str">
        <f t="shared" ca="1" si="5"/>
        <v>-</v>
      </c>
      <c r="Q52" s="1">
        <f t="shared" ca="1" si="6"/>
        <v>28</v>
      </c>
      <c r="R52" s="1">
        <f t="shared" ca="1" si="7"/>
        <v>0</v>
      </c>
      <c r="S52" s="1" t="s">
        <v>366</v>
      </c>
      <c r="T52" s="7" t="str">
        <f t="shared" si="8"/>
        <v>Q2-C2</v>
      </c>
      <c r="U52" s="1">
        <f ca="1">IF(AND($E52&lt;&gt;"",OR($C52="Ready to Develop",$C52="7 PI Started",$C52="6 Epic Backlog",$C52="Done")),IFERROR(VLOOKUP($A52,INDIRECT("'"&amp;$T52&amp;"'"&amp;VLOOKUP($T52,Config!$B$4:$L$11,2)),VLOOKUP($T52,Config!$B$4:$L$11,5),FALSE),"-"),"-")</f>
        <v>13</v>
      </c>
      <c r="V52" s="1">
        <f ca="1">IF($C52="Done",IFERROR(VLOOKUP($A52,INDIRECT("'"&amp;$T52&amp;"'"&amp;VLOOKUP($T52,Config!$B$4:$L$11,2)),VLOOKUP($T52,Config!$B$4:$L$11,7),FALSE),"-"),"-")</f>
        <v>11</v>
      </c>
      <c r="W52" s="1">
        <f ca="1">IF(AND($E52&lt;&gt;"",OR($C52="Ready to Develop",$C52="7 PI Started",$C52="6 Epic Backlog",$C52="Done")),IFERROR(VLOOKUP($A52,INDIRECT("'"&amp;$T52&amp;"'"&amp;VLOOKUP($T52,Config!$B$4:$L$11,2)),VLOOKUP($T52,Config!$B$4:$L$11,9),FALSE),"-"),"-")</f>
        <v>1</v>
      </c>
      <c r="X52" s="1">
        <f ca="1">IF($C52="Done",IFERROR(VLOOKUP($A52,INDIRECT("'"&amp;$T52&amp;"'"&amp;VLOOKUP($T52,Config!$B$4:$L$11,2)),VLOOKUP($T52,Config!$B$4:$L$11,11),FALSE),"-"),"-")</f>
        <v>1</v>
      </c>
      <c r="Y52" s="1" t="str">
        <f ca="1">IF(AND($E52&lt;&gt;"",OR($C52="Ready to Develop",$C52="7 PI Started",$C52="6 Epic Backlog",$C52="Done")),IFERROR(VLOOKUP($A52,INDIRECT("'"&amp;$T52&amp;"'"&amp;VLOOKUP($T52,Config!$B$4:$P$11,2)),VLOOKUP($T52,Config!$B$4:$P$11,13),FALSE),"-"),"-")</f>
        <v>-</v>
      </c>
      <c r="Z52" s="1" t="str">
        <f ca="1">IF(AND($E52&lt;&gt;"",OR($C52="Ready to Develop",$C52="7 PI Started",$C52="6 Epic Backlog",$C52="Done")),IFERROR(VLOOKUP($A52,INDIRECT("'"&amp;$T52&amp;"'"&amp;VLOOKUP($T52,Config!$B$4:$P$11,2)),VLOOKUP($T52,Config!$B$4:$P$11,15),FALSE),"-"),"-")</f>
        <v>-</v>
      </c>
    </row>
    <row r="53" spans="1:26" x14ac:dyDescent="0.2">
      <c r="A53" s="405" t="s">
        <v>431</v>
      </c>
      <c r="B53" t="s">
        <v>432</v>
      </c>
      <c r="C53" t="s">
        <v>144</v>
      </c>
      <c r="D53" t="s">
        <v>387</v>
      </c>
      <c r="E53" s="404" t="s">
        <v>366</v>
      </c>
      <c r="F53" s="19"/>
      <c r="G53" s="19"/>
      <c r="H53" s="19">
        <v>45425</v>
      </c>
      <c r="I53" s="19">
        <v>45457</v>
      </c>
      <c r="J53" s="19"/>
      <c r="K53" s="19" t="str">
        <f t="shared" si="0"/>
        <v>-</v>
      </c>
      <c r="L53" s="1" t="str">
        <f t="shared" si="1"/>
        <v>-</v>
      </c>
      <c r="M53" s="19" t="str">
        <f t="shared" ca="1" si="2"/>
        <v>Delivered</v>
      </c>
      <c r="N53" s="1" t="str">
        <f t="shared" ca="1" si="3"/>
        <v>-</v>
      </c>
      <c r="O53" s="1" t="str">
        <f t="shared" ca="1" si="4"/>
        <v>Delivered</v>
      </c>
      <c r="P53" s="1" t="str">
        <f t="shared" ca="1" si="5"/>
        <v>-</v>
      </c>
      <c r="Q53" s="1">
        <f t="shared" ca="1" si="6"/>
        <v>32</v>
      </c>
      <c r="R53" s="1">
        <f t="shared" ca="1" si="7"/>
        <v>0</v>
      </c>
      <c r="S53" s="1" t="s">
        <v>366</v>
      </c>
      <c r="T53" s="7" t="str">
        <f t="shared" si="8"/>
        <v>Q2-C2</v>
      </c>
      <c r="U53" s="1" t="str">
        <f ca="1">IF(AND($E53&lt;&gt;"",OR($C53="Ready to Develop",$C53="7 PI Started",$C53="6 Epic Backlog",$C53="Done")),IFERROR(VLOOKUP($A53,INDIRECT("'"&amp;$T53&amp;"'"&amp;VLOOKUP($T53,Config!$B$4:$L$11,2)),VLOOKUP($T53,Config!$B$4:$L$11,5),FALSE),"-"),"-")</f>
        <v>-</v>
      </c>
      <c r="V53" s="1" t="str">
        <f ca="1">IF($C53="Done",IFERROR(VLOOKUP($A53,INDIRECT("'"&amp;$T53&amp;"'"&amp;VLOOKUP($T53,Config!$B$4:$L$11,2)),VLOOKUP($T53,Config!$B$4:$L$11,7),FALSE),"-"),"-")</f>
        <v>-</v>
      </c>
      <c r="W53" s="1" t="str">
        <f ca="1">IF(AND($E53&lt;&gt;"",OR($C53="Ready to Develop",$C53="7 PI Started",$C53="6 Epic Backlog",$C53="Done")),IFERROR(VLOOKUP($A53,INDIRECT("'"&amp;$T53&amp;"'"&amp;VLOOKUP($T53,Config!$B$4:$L$11,2)),VLOOKUP($T53,Config!$B$4:$L$11,9),FALSE),"-"),"-")</f>
        <v>-</v>
      </c>
      <c r="X53" s="1" t="str">
        <f ca="1">IF($C53="Done",IFERROR(VLOOKUP($A53,INDIRECT("'"&amp;$T53&amp;"'"&amp;VLOOKUP($T53,Config!$B$4:$L$11,2)),VLOOKUP($T53,Config!$B$4:$L$11,11),FALSE),"-"),"-")</f>
        <v>-</v>
      </c>
      <c r="Y53" s="1" t="str">
        <f ca="1">IF(AND($E53&lt;&gt;"",OR($C53="Ready to Develop",$C53="7 PI Started",$C53="6 Epic Backlog",$C53="Done")),IFERROR(VLOOKUP($A53,INDIRECT("'"&amp;$T53&amp;"'"&amp;VLOOKUP($T53,Config!$B$4:$P$11,2)),VLOOKUP($T53,Config!$B$4:$P$11,13),FALSE),"-"),"-")</f>
        <v>-</v>
      </c>
      <c r="Z53" s="1" t="str">
        <f ca="1">IF(AND($E53&lt;&gt;"",OR($C53="Ready to Develop",$C53="7 PI Started",$C53="6 Epic Backlog",$C53="Done")),IFERROR(VLOOKUP($A53,INDIRECT("'"&amp;$T53&amp;"'"&amp;VLOOKUP($T53,Config!$B$4:$P$11,2)),VLOOKUP($T53,Config!$B$4:$P$11,15),FALSE),"-"),"-")</f>
        <v>-</v>
      </c>
    </row>
    <row r="54" spans="1:26" x14ac:dyDescent="0.2">
      <c r="A54" s="405" t="s">
        <v>182</v>
      </c>
      <c r="B54" t="s">
        <v>433</v>
      </c>
      <c r="C54" t="s">
        <v>144</v>
      </c>
      <c r="E54" s="404" t="s">
        <v>366</v>
      </c>
      <c r="F54" s="19"/>
      <c r="G54" s="19"/>
      <c r="H54" s="19">
        <v>45425</v>
      </c>
      <c r="I54" s="19">
        <v>45441</v>
      </c>
      <c r="J54" s="19"/>
      <c r="K54" s="19" t="str">
        <f t="shared" si="0"/>
        <v>-</v>
      </c>
      <c r="L54" s="1" t="str">
        <f t="shared" si="1"/>
        <v>-</v>
      </c>
      <c r="M54" s="19" t="str">
        <f t="shared" ca="1" si="2"/>
        <v>Delivered</v>
      </c>
      <c r="N54" s="1" t="str">
        <f t="shared" ca="1" si="3"/>
        <v>-</v>
      </c>
      <c r="O54" s="1" t="str">
        <f t="shared" ca="1" si="4"/>
        <v>Delivered</v>
      </c>
      <c r="P54" s="1" t="str">
        <f t="shared" ca="1" si="5"/>
        <v>-</v>
      </c>
      <c r="Q54" s="1">
        <f t="shared" ca="1" si="6"/>
        <v>16</v>
      </c>
      <c r="R54" s="1">
        <f t="shared" ca="1" si="7"/>
        <v>0</v>
      </c>
      <c r="S54" s="1" t="s">
        <v>366</v>
      </c>
      <c r="T54" s="7" t="str">
        <f t="shared" si="8"/>
        <v>Q2-C2</v>
      </c>
      <c r="U54" s="1">
        <f ca="1">IF(AND($E54&lt;&gt;"",OR($C54="Ready to Develop",$C54="7 PI Started",$C54="6 Epic Backlog",$C54="Done")),IFERROR(VLOOKUP($A54,INDIRECT("'"&amp;$T54&amp;"'"&amp;VLOOKUP($T54,Config!$B$4:$L$11,2)),VLOOKUP($T54,Config!$B$4:$L$11,5),FALSE),"-"),"-")</f>
        <v>23</v>
      </c>
      <c r="V54" s="1">
        <f ca="1">IF($C54="Done",IFERROR(VLOOKUP($A54,INDIRECT("'"&amp;$T54&amp;"'"&amp;VLOOKUP($T54,Config!$B$4:$L$11,2)),VLOOKUP($T54,Config!$B$4:$L$11,7),FALSE),"-"),"-")</f>
        <v>24</v>
      </c>
      <c r="W54" s="1">
        <f ca="1">IF(AND($E54&lt;&gt;"",OR($C54="Ready to Develop",$C54="7 PI Started",$C54="6 Epic Backlog",$C54="Done")),IFERROR(VLOOKUP($A54,INDIRECT("'"&amp;$T54&amp;"'"&amp;VLOOKUP($T54,Config!$B$4:$L$11,2)),VLOOKUP($T54,Config!$B$4:$L$11,9),FALSE),"-"),"-")</f>
        <v>2</v>
      </c>
      <c r="X54" s="1">
        <f ca="1">IF($C54="Done",IFERROR(VLOOKUP($A54,INDIRECT("'"&amp;$T54&amp;"'"&amp;VLOOKUP($T54,Config!$B$4:$L$11,2)),VLOOKUP($T54,Config!$B$4:$L$11,11),FALSE),"-"),"-")</f>
        <v>2</v>
      </c>
      <c r="Y54" s="1" t="str">
        <f ca="1">IF(AND($E54&lt;&gt;"",OR($C54="Ready to Develop",$C54="7 PI Started",$C54="6 Epic Backlog",$C54="Done")),IFERROR(VLOOKUP($A54,INDIRECT("'"&amp;$T54&amp;"'"&amp;VLOOKUP($T54,Config!$B$4:$P$11,2)),VLOOKUP($T54,Config!$B$4:$P$11,13),FALSE),"-"),"-")</f>
        <v>-</v>
      </c>
      <c r="Z54" s="1" t="str">
        <f ca="1">IF(AND($E54&lt;&gt;"",OR($C54="Ready to Develop",$C54="7 PI Started",$C54="6 Epic Backlog",$C54="Done")),IFERROR(VLOOKUP($A54,INDIRECT("'"&amp;$T54&amp;"'"&amp;VLOOKUP($T54,Config!$B$4:$P$11,2)),VLOOKUP($T54,Config!$B$4:$P$11,15),FALSE),"-"),"-")</f>
        <v>-</v>
      </c>
    </row>
    <row r="55" spans="1:26" x14ac:dyDescent="0.2">
      <c r="A55" s="405" t="s">
        <v>434</v>
      </c>
      <c r="B55" t="s">
        <v>435</v>
      </c>
      <c r="C55" t="s">
        <v>144</v>
      </c>
      <c r="D55" t="s">
        <v>400</v>
      </c>
      <c r="E55" s="404" t="s">
        <v>367</v>
      </c>
      <c r="F55" s="19">
        <v>45476</v>
      </c>
      <c r="G55" s="19">
        <v>45484</v>
      </c>
      <c r="H55" s="19">
        <v>45502</v>
      </c>
      <c r="I55" s="19">
        <v>45562</v>
      </c>
      <c r="J55" s="19">
        <v>45565</v>
      </c>
      <c r="K55" s="19" t="str">
        <f t="shared" si="0"/>
        <v>Delayed</v>
      </c>
      <c r="L55" s="1">
        <f t="shared" si="1"/>
        <v>26</v>
      </c>
      <c r="M55" s="19" t="str">
        <f t="shared" ca="1" si="2"/>
        <v>Delivered</v>
      </c>
      <c r="N55" s="1">
        <f t="shared" ca="1" si="3"/>
        <v>58</v>
      </c>
      <c r="O55" s="1" t="str">
        <f t="shared" ca="1" si="4"/>
        <v>Delivered</v>
      </c>
      <c r="P55" s="1">
        <f t="shared" ca="1" si="5"/>
        <v>2</v>
      </c>
      <c r="Q55" s="1">
        <f t="shared" ca="1" si="6"/>
        <v>60</v>
      </c>
      <c r="R55" s="1">
        <f t="shared" ca="1" si="7"/>
        <v>0</v>
      </c>
      <c r="S55" s="1" t="s">
        <v>367</v>
      </c>
      <c r="T55" s="7" t="str">
        <f t="shared" si="8"/>
        <v>Q3-C2</v>
      </c>
      <c r="U55" s="1" t="str">
        <f ca="1">IF(AND($E55&lt;&gt;"",OR($C55="Ready to Develop",$C55="7 PI Started",$C55="6 Epic Backlog",$C55="Done")),IFERROR(VLOOKUP($A55,INDIRECT("'"&amp;$T55&amp;"'"&amp;VLOOKUP($T55,Config!$B$4:$L$11,2)),VLOOKUP($T55,Config!$B$4:$L$11,5),FALSE),"-"),"-")</f>
        <v>-</v>
      </c>
      <c r="V55" s="1" t="str">
        <f ca="1">IF($C55="Done",IFERROR(VLOOKUP($A55,INDIRECT("'"&amp;$T55&amp;"'"&amp;VLOOKUP($T55,Config!$B$4:$L$11,2)),VLOOKUP($T55,Config!$B$4:$L$11,7),FALSE),"-"),"-")</f>
        <v>-</v>
      </c>
      <c r="W55" s="1" t="str">
        <f ca="1">IF(AND($E55&lt;&gt;"",OR($C55="Ready to Develop",$C55="7 PI Started",$C55="6 Epic Backlog",$C55="Done")),IFERROR(VLOOKUP($A55,INDIRECT("'"&amp;$T55&amp;"'"&amp;VLOOKUP($T55,Config!$B$4:$L$11,2)),VLOOKUP($T55,Config!$B$4:$L$11,9),FALSE),"-"),"-")</f>
        <v>-</v>
      </c>
      <c r="X55" s="1" t="str">
        <f ca="1">IF($C55="Done",IFERROR(VLOOKUP($A55,INDIRECT("'"&amp;$T55&amp;"'"&amp;VLOOKUP($T55,Config!$B$4:$L$11,2)),VLOOKUP($T55,Config!$B$4:$L$11,11),FALSE),"-"),"-")</f>
        <v>-</v>
      </c>
      <c r="Y55" s="1" t="str">
        <f ca="1">IF(AND($E55&lt;&gt;"",OR($C55="Ready to Develop",$C55="7 PI Started",$C55="6 Epic Backlog",$C55="Done")),IFERROR(VLOOKUP($A55,INDIRECT("'"&amp;$T55&amp;"'"&amp;VLOOKUP($T55,Config!$B$4:$P$11,2)),VLOOKUP($T55,Config!$B$4:$P$11,13),FALSE),"-"),"-")</f>
        <v>-</v>
      </c>
      <c r="Z55" s="1" t="str">
        <f ca="1">IF(AND($E55&lt;&gt;"",OR($C55="Ready to Develop",$C55="7 PI Started",$C55="6 Epic Backlog",$C55="Done")),IFERROR(VLOOKUP($A55,INDIRECT("'"&amp;$T55&amp;"'"&amp;VLOOKUP($T55,Config!$B$4:$P$11,2)),VLOOKUP($T55,Config!$B$4:$P$11,15),FALSE),"-"),"-")</f>
        <v>-</v>
      </c>
    </row>
    <row r="56" spans="1:26" x14ac:dyDescent="0.2">
      <c r="A56" s="405" t="s">
        <v>268</v>
      </c>
      <c r="B56" t="s">
        <v>437</v>
      </c>
      <c r="C56" t="s">
        <v>144</v>
      </c>
      <c r="D56" t="s">
        <v>389</v>
      </c>
      <c r="E56" s="404" t="s">
        <v>367</v>
      </c>
      <c r="F56" s="19">
        <v>45516</v>
      </c>
      <c r="G56" s="19">
        <v>45537</v>
      </c>
      <c r="H56" s="19">
        <v>45517</v>
      </c>
      <c r="I56" s="19">
        <v>45562</v>
      </c>
      <c r="J56" s="19">
        <v>45562</v>
      </c>
      <c r="K56" s="19" t="str">
        <f t="shared" si="0"/>
        <v>Delayed</v>
      </c>
      <c r="L56" s="1">
        <f t="shared" si="1"/>
        <v>1</v>
      </c>
      <c r="M56" s="19" t="str">
        <f t="shared" ca="1" si="2"/>
        <v>Delivered</v>
      </c>
      <c r="N56" s="1">
        <f t="shared" ca="1" si="3"/>
        <v>20</v>
      </c>
      <c r="O56" s="1" t="str">
        <f t="shared" ca="1" si="4"/>
        <v>Delivered</v>
      </c>
      <c r="P56" s="1">
        <f t="shared" ca="1" si="5"/>
        <v>0</v>
      </c>
      <c r="Q56" s="1">
        <f t="shared" ca="1" si="6"/>
        <v>45</v>
      </c>
      <c r="R56" s="1">
        <f t="shared" ca="1" si="7"/>
        <v>0</v>
      </c>
      <c r="S56" s="1" t="s">
        <v>367</v>
      </c>
      <c r="T56" s="7" t="str">
        <f t="shared" si="8"/>
        <v>Q3-C2</v>
      </c>
      <c r="U56" s="1">
        <f ca="1">IF(AND($E56&lt;&gt;"",OR($C56="Ready to Develop",$C56="7 PI Started",$C56="6 Epic Backlog",$C56="Done")),IFERROR(VLOOKUP($A56,INDIRECT("'"&amp;$T56&amp;"'"&amp;VLOOKUP($T56,Config!$B$4:$L$11,2)),VLOOKUP($T56,Config!$B$4:$L$11,5),FALSE),"-"),"-")</f>
        <v>15</v>
      </c>
      <c r="V56" s="1">
        <f ca="1">IF($C56="Done",IFERROR(VLOOKUP($A56,INDIRECT("'"&amp;$T56&amp;"'"&amp;VLOOKUP($T56,Config!$B$4:$L$11,2)),VLOOKUP($T56,Config!$B$4:$L$11,7),FALSE),"-"),"-")</f>
        <v>21</v>
      </c>
      <c r="W56" s="1">
        <f ca="1">IF(AND($E56&lt;&gt;"",OR($C56="Ready to Develop",$C56="7 PI Started",$C56="6 Epic Backlog",$C56="Done")),IFERROR(VLOOKUP($A56,INDIRECT("'"&amp;$T56&amp;"'"&amp;VLOOKUP($T56,Config!$B$4:$L$11,2)),VLOOKUP($T56,Config!$B$4:$L$11,9),FALSE),"-"),"-")</f>
        <v>1</v>
      </c>
      <c r="X56" s="1">
        <f ca="1">IF($C56="Done",IFERROR(VLOOKUP($A56,INDIRECT("'"&amp;$T56&amp;"'"&amp;VLOOKUP($T56,Config!$B$4:$L$11,2)),VLOOKUP($T56,Config!$B$4:$L$11,11),FALSE),"-"),"-")</f>
        <v>1</v>
      </c>
      <c r="Y56" s="1" t="str">
        <f ca="1">IF(AND($E56&lt;&gt;"",OR($C56="Ready to Develop",$C56="7 PI Started",$C56="6 Epic Backlog",$C56="Done")),IFERROR(VLOOKUP($A56,INDIRECT("'"&amp;$T56&amp;"'"&amp;VLOOKUP($T56,Config!$B$4:$P$11,2)),VLOOKUP($T56,Config!$B$4:$P$11,13),FALSE),"-"),"-")</f>
        <v>-</v>
      </c>
      <c r="Z56" s="1" t="str">
        <f ca="1">IF(AND($E56&lt;&gt;"",OR($C56="Ready to Develop",$C56="7 PI Started",$C56="6 Epic Backlog",$C56="Done")),IFERROR(VLOOKUP($A56,INDIRECT("'"&amp;$T56&amp;"'"&amp;VLOOKUP($T56,Config!$B$4:$P$11,2)),VLOOKUP($T56,Config!$B$4:$P$11,15),FALSE),"-"),"-")</f>
        <v>-</v>
      </c>
    </row>
    <row r="57" spans="1:26" x14ac:dyDescent="0.2">
      <c r="A57" s="405" t="s">
        <v>288</v>
      </c>
      <c r="B57" t="s">
        <v>289</v>
      </c>
      <c r="C57" t="s">
        <v>144</v>
      </c>
      <c r="D57" t="s">
        <v>387</v>
      </c>
      <c r="E57" s="404" t="s">
        <v>367</v>
      </c>
      <c r="F57" s="19">
        <v>45516</v>
      </c>
      <c r="G57" s="19">
        <v>45527</v>
      </c>
      <c r="H57" s="19">
        <v>45516</v>
      </c>
      <c r="I57" s="19">
        <v>45530</v>
      </c>
      <c r="J57" s="19">
        <v>45530</v>
      </c>
      <c r="K57" s="19" t="str">
        <f t="shared" si="0"/>
        <v>On Time</v>
      </c>
      <c r="L57" s="1">
        <f t="shared" si="1"/>
        <v>0</v>
      </c>
      <c r="M57" s="19" t="str">
        <f t="shared" ca="1" si="2"/>
        <v>Delivered</v>
      </c>
      <c r="N57" s="1">
        <f t="shared" ca="1" si="3"/>
        <v>2</v>
      </c>
      <c r="O57" s="1" t="str">
        <f t="shared" ca="1" si="4"/>
        <v>Delivered</v>
      </c>
      <c r="P57" s="1">
        <f t="shared" ca="1" si="5"/>
        <v>0</v>
      </c>
      <c r="Q57" s="1">
        <f t="shared" ca="1" si="6"/>
        <v>14</v>
      </c>
      <c r="R57" s="1">
        <f t="shared" ca="1" si="7"/>
        <v>0</v>
      </c>
      <c r="S57" s="1" t="s">
        <v>367</v>
      </c>
      <c r="T57" s="7" t="str">
        <f t="shared" si="8"/>
        <v>Q3-C2</v>
      </c>
      <c r="U57" s="1">
        <f ca="1">IF(AND($E57&lt;&gt;"",OR($C57="Ready to Develop",$C57="7 PI Started",$C57="6 Epic Backlog",$C57="Done")),IFERROR(VLOOKUP($A57,INDIRECT("'"&amp;$T57&amp;"'"&amp;VLOOKUP($T57,Config!$B$4:$L$11,2)),VLOOKUP($T57,Config!$B$4:$L$11,5),FALSE),"-"),"-")</f>
        <v>7</v>
      </c>
      <c r="V57" s="1">
        <f ca="1">IF($C57="Done",IFERROR(VLOOKUP($A57,INDIRECT("'"&amp;$T57&amp;"'"&amp;VLOOKUP($T57,Config!$B$4:$L$11,2)),VLOOKUP($T57,Config!$B$4:$L$11,7),FALSE),"-"),"-")</f>
        <v>8</v>
      </c>
      <c r="W57" s="1">
        <f ca="1">IF(AND($E57&lt;&gt;"",OR($C57="Ready to Develop",$C57="7 PI Started",$C57="6 Epic Backlog",$C57="Done")),IFERROR(VLOOKUP($A57,INDIRECT("'"&amp;$T57&amp;"'"&amp;VLOOKUP($T57,Config!$B$4:$L$11,2)),VLOOKUP($T57,Config!$B$4:$L$11,9),FALSE),"-"),"-")</f>
        <v>1</v>
      </c>
      <c r="X57" s="1">
        <f ca="1">IF($C57="Done",IFERROR(VLOOKUP($A57,INDIRECT("'"&amp;$T57&amp;"'"&amp;VLOOKUP($T57,Config!$B$4:$L$11,2)),VLOOKUP($T57,Config!$B$4:$L$11,11),FALSE),"-"),"-")</f>
        <v>1</v>
      </c>
      <c r="Y57" s="1" t="str">
        <f ca="1">IF(AND($E57&lt;&gt;"",OR($C57="Ready to Develop",$C57="7 PI Started",$C57="6 Epic Backlog",$C57="Done")),IFERROR(VLOOKUP($A57,INDIRECT("'"&amp;$T57&amp;"'"&amp;VLOOKUP($T57,Config!$B$4:$P$11,2)),VLOOKUP($T57,Config!$B$4:$P$11,13),FALSE),"-"),"-")</f>
        <v>-</v>
      </c>
      <c r="Z57" s="1" t="str">
        <f ca="1">IF(AND($E57&lt;&gt;"",OR($C57="Ready to Develop",$C57="7 PI Started",$C57="6 Epic Backlog",$C57="Done")),IFERROR(VLOOKUP($A57,INDIRECT("'"&amp;$T57&amp;"'"&amp;VLOOKUP($T57,Config!$B$4:$P$11,2)),VLOOKUP($T57,Config!$B$4:$P$11,15),FALSE),"-"),"-")</f>
        <v>-</v>
      </c>
    </row>
    <row r="58" spans="1:26" x14ac:dyDescent="0.2">
      <c r="A58" s="405" t="s">
        <v>277</v>
      </c>
      <c r="B58" t="s">
        <v>438</v>
      </c>
      <c r="C58" t="s">
        <v>144</v>
      </c>
      <c r="D58" t="s">
        <v>387</v>
      </c>
      <c r="E58" s="404" t="s">
        <v>367</v>
      </c>
      <c r="F58" s="19">
        <v>45516</v>
      </c>
      <c r="G58" s="19">
        <v>45546</v>
      </c>
      <c r="H58" s="19">
        <v>45516</v>
      </c>
      <c r="I58" s="19">
        <v>45562</v>
      </c>
      <c r="J58" s="19">
        <v>45558</v>
      </c>
      <c r="K58" s="19" t="str">
        <f t="shared" si="0"/>
        <v>On Time</v>
      </c>
      <c r="L58" s="1">
        <f t="shared" si="1"/>
        <v>0</v>
      </c>
      <c r="M58" s="19" t="str">
        <f t="shared" ca="1" si="2"/>
        <v>Delivered</v>
      </c>
      <c r="N58" s="1">
        <f t="shared" ca="1" si="3"/>
        <v>9</v>
      </c>
      <c r="O58" s="1" t="str">
        <f t="shared" ca="1" si="4"/>
        <v>Delivered</v>
      </c>
      <c r="P58" s="1">
        <f t="shared" ca="1" si="5"/>
        <v>0</v>
      </c>
      <c r="Q58" s="1">
        <f t="shared" ca="1" si="6"/>
        <v>46</v>
      </c>
      <c r="R58" s="1">
        <f t="shared" ca="1" si="7"/>
        <v>0</v>
      </c>
      <c r="S58" s="1" t="s">
        <v>367</v>
      </c>
      <c r="T58" s="7" t="str">
        <f t="shared" si="8"/>
        <v>Q3-C2</v>
      </c>
      <c r="U58" s="1">
        <f ca="1">IF(AND($E58&lt;&gt;"",OR($C58="Ready to Develop",$C58="7 PI Started",$C58="6 Epic Backlog",$C58="Done")),IFERROR(VLOOKUP($A58,INDIRECT("'"&amp;$T58&amp;"'"&amp;VLOOKUP($T58,Config!$B$4:$L$11,2)),VLOOKUP($T58,Config!$B$4:$L$11,5),FALSE),"-"),"-")</f>
        <v>20</v>
      </c>
      <c r="V58" s="1">
        <f ca="1">IF($C58="Done",IFERROR(VLOOKUP($A58,INDIRECT("'"&amp;$T58&amp;"'"&amp;VLOOKUP($T58,Config!$B$4:$L$11,2)),VLOOKUP($T58,Config!$B$4:$L$11,7),FALSE),"-"),"-")</f>
        <v>15</v>
      </c>
      <c r="W58" s="1">
        <f ca="1">IF(AND($E58&lt;&gt;"",OR($C58="Ready to Develop",$C58="7 PI Started",$C58="6 Epic Backlog",$C58="Done")),IFERROR(VLOOKUP($A58,INDIRECT("'"&amp;$T58&amp;"'"&amp;VLOOKUP($T58,Config!$B$4:$L$11,2)),VLOOKUP($T58,Config!$B$4:$L$11,9),FALSE),"-"),"-")</f>
        <v>1</v>
      </c>
      <c r="X58" s="1">
        <f ca="1">IF($C58="Done",IFERROR(VLOOKUP($A58,INDIRECT("'"&amp;$T58&amp;"'"&amp;VLOOKUP($T58,Config!$B$4:$L$11,2)),VLOOKUP($T58,Config!$B$4:$L$11,11),FALSE),"-"),"-")</f>
        <v>1</v>
      </c>
      <c r="Y58" s="1" t="str">
        <f ca="1">IF(AND($E58&lt;&gt;"",OR($C58="Ready to Develop",$C58="7 PI Started",$C58="6 Epic Backlog",$C58="Done")),IFERROR(VLOOKUP($A58,INDIRECT("'"&amp;$T58&amp;"'"&amp;VLOOKUP($T58,Config!$B$4:$P$11,2)),VLOOKUP($T58,Config!$B$4:$P$11,13),FALSE),"-"),"-")</f>
        <v>-</v>
      </c>
      <c r="Z58" s="1" t="str">
        <f ca="1">IF(AND($E58&lt;&gt;"",OR($C58="Ready to Develop",$C58="7 PI Started",$C58="6 Epic Backlog",$C58="Done")),IFERROR(VLOOKUP($A58,INDIRECT("'"&amp;$T58&amp;"'"&amp;VLOOKUP($T58,Config!$B$4:$P$11,2)),VLOOKUP($T58,Config!$B$4:$P$11,15),FALSE),"-"),"-")</f>
        <v>-</v>
      </c>
    </row>
    <row r="59" spans="1:26" x14ac:dyDescent="0.2">
      <c r="A59" s="405" t="s">
        <v>263</v>
      </c>
      <c r="B59" t="s">
        <v>439</v>
      </c>
      <c r="C59" t="s">
        <v>144</v>
      </c>
      <c r="D59" t="s">
        <v>387</v>
      </c>
      <c r="E59" s="404" t="s">
        <v>367</v>
      </c>
      <c r="F59" s="19">
        <v>45518</v>
      </c>
      <c r="G59" s="19">
        <v>45562</v>
      </c>
      <c r="H59" s="19">
        <v>45520</v>
      </c>
      <c r="I59" s="19">
        <v>45562</v>
      </c>
      <c r="J59" s="19">
        <v>45561</v>
      </c>
      <c r="K59" s="19" t="str">
        <f t="shared" si="0"/>
        <v>Delayed</v>
      </c>
      <c r="L59" s="1">
        <f t="shared" si="1"/>
        <v>2</v>
      </c>
      <c r="M59" s="19" t="str">
        <f t="shared" ca="1" si="2"/>
        <v>Delivered</v>
      </c>
      <c r="N59" s="1">
        <f t="shared" ca="1" si="3"/>
        <v>0</v>
      </c>
      <c r="O59" s="1" t="str">
        <f t="shared" ca="1" si="4"/>
        <v>Delivered</v>
      </c>
      <c r="P59" s="1">
        <f t="shared" ca="1" si="5"/>
        <v>0</v>
      </c>
      <c r="Q59" s="1">
        <f t="shared" ca="1" si="6"/>
        <v>42</v>
      </c>
      <c r="R59" s="1">
        <f t="shared" ca="1" si="7"/>
        <v>0</v>
      </c>
      <c r="S59" s="1" t="s">
        <v>367</v>
      </c>
      <c r="T59" s="7" t="str">
        <f t="shared" si="8"/>
        <v>Q3-C2</v>
      </c>
      <c r="U59" s="1">
        <f ca="1">IF(AND($E59&lt;&gt;"",OR($C59="Ready to Develop",$C59="7 PI Started",$C59="6 Epic Backlog",$C59="Done")),IFERROR(VLOOKUP($A59,INDIRECT("'"&amp;$T59&amp;"'"&amp;VLOOKUP($T59,Config!$B$4:$L$11,2)),VLOOKUP($T59,Config!$B$4:$L$11,5),FALSE),"-"),"-")</f>
        <v>25</v>
      </c>
      <c r="V59" s="1">
        <f ca="1">IF($C59="Done",IFERROR(VLOOKUP($A59,INDIRECT("'"&amp;$T59&amp;"'"&amp;VLOOKUP($T59,Config!$B$4:$L$11,2)),VLOOKUP($T59,Config!$B$4:$L$11,7),FALSE),"-"),"-")</f>
        <v>30</v>
      </c>
      <c r="W59" s="1">
        <f ca="1">IF(AND($E59&lt;&gt;"",OR($C59="Ready to Develop",$C59="7 PI Started",$C59="6 Epic Backlog",$C59="Done")),IFERROR(VLOOKUP($A59,INDIRECT("'"&amp;$T59&amp;"'"&amp;VLOOKUP($T59,Config!$B$4:$L$11,2)),VLOOKUP($T59,Config!$B$4:$L$11,9),FALSE),"-"),"-")</f>
        <v>1</v>
      </c>
      <c r="X59" s="1">
        <f ca="1">IF($C59="Done",IFERROR(VLOOKUP($A59,INDIRECT("'"&amp;$T59&amp;"'"&amp;VLOOKUP($T59,Config!$B$4:$L$11,2)),VLOOKUP($T59,Config!$B$4:$L$11,11),FALSE),"-"),"-")</f>
        <v>2</v>
      </c>
      <c r="Y59" s="1" t="str">
        <f ca="1">IF(AND($E59&lt;&gt;"",OR($C59="Ready to Develop",$C59="7 PI Started",$C59="6 Epic Backlog",$C59="Done")),IFERROR(VLOOKUP($A59,INDIRECT("'"&amp;$T59&amp;"'"&amp;VLOOKUP($T59,Config!$B$4:$P$11,2)),VLOOKUP($T59,Config!$B$4:$P$11,13),FALSE),"-"),"-")</f>
        <v>-</v>
      </c>
      <c r="Z59" s="1" t="str">
        <f ca="1">IF(AND($E59&lt;&gt;"",OR($C59="Ready to Develop",$C59="7 PI Started",$C59="6 Epic Backlog",$C59="Done")),IFERROR(VLOOKUP($A59,INDIRECT("'"&amp;$T59&amp;"'"&amp;VLOOKUP($T59,Config!$B$4:$P$11,2)),VLOOKUP($T59,Config!$B$4:$P$11,15),FALSE),"-"),"-")</f>
        <v>-</v>
      </c>
    </row>
    <row r="60" spans="1:26" x14ac:dyDescent="0.2">
      <c r="A60" s="405" t="s">
        <v>265</v>
      </c>
      <c r="B60" t="s">
        <v>440</v>
      </c>
      <c r="C60" t="s">
        <v>144</v>
      </c>
      <c r="D60" t="s">
        <v>441</v>
      </c>
      <c r="E60" s="404" t="s">
        <v>367</v>
      </c>
      <c r="F60" s="19">
        <v>45523</v>
      </c>
      <c r="G60" s="19">
        <v>45541</v>
      </c>
      <c r="H60" s="19">
        <v>45523</v>
      </c>
      <c r="I60" s="19">
        <v>45532</v>
      </c>
      <c r="J60" s="19">
        <v>45532</v>
      </c>
      <c r="K60" s="19" t="str">
        <f t="shared" si="0"/>
        <v>On Time</v>
      </c>
      <c r="L60" s="1">
        <f t="shared" si="1"/>
        <v>0</v>
      </c>
      <c r="M60" s="19" t="str">
        <f t="shared" ca="1" si="2"/>
        <v>Delivered</v>
      </c>
      <c r="N60" s="1">
        <f t="shared" ca="1" si="3"/>
        <v>0</v>
      </c>
      <c r="O60" s="1" t="str">
        <f t="shared" ca="1" si="4"/>
        <v>Delivered</v>
      </c>
      <c r="P60" s="1">
        <f t="shared" ca="1" si="5"/>
        <v>0</v>
      </c>
      <c r="Q60" s="1">
        <f t="shared" ca="1" si="6"/>
        <v>9</v>
      </c>
      <c r="R60" s="1">
        <f t="shared" ca="1" si="7"/>
        <v>0</v>
      </c>
      <c r="S60" s="1" t="s">
        <v>367</v>
      </c>
      <c r="T60" s="7" t="str">
        <f t="shared" si="8"/>
        <v>Q3-C2</v>
      </c>
      <c r="U60" s="1">
        <f ca="1">IF(AND($E60&lt;&gt;"",OR($C60="Ready to Develop",$C60="7 PI Started",$C60="6 Epic Backlog",$C60="Done")),IFERROR(VLOOKUP($A60,INDIRECT("'"&amp;$T60&amp;"'"&amp;VLOOKUP($T60,Config!$B$4:$L$11,2)),VLOOKUP($T60,Config!$B$4:$L$11,5),FALSE),"-"),"-")</f>
        <v>10</v>
      </c>
      <c r="V60" s="1">
        <f ca="1">IF($C60="Done",IFERROR(VLOOKUP($A60,INDIRECT("'"&amp;$T60&amp;"'"&amp;VLOOKUP($T60,Config!$B$4:$L$11,2)),VLOOKUP($T60,Config!$B$4:$L$11,7),FALSE),"-"),"-")</f>
        <v>8</v>
      </c>
      <c r="W60" s="1">
        <f ca="1">IF(AND($E60&lt;&gt;"",OR($C60="Ready to Develop",$C60="7 PI Started",$C60="6 Epic Backlog",$C60="Done")),IFERROR(VLOOKUP($A60,INDIRECT("'"&amp;$T60&amp;"'"&amp;VLOOKUP($T60,Config!$B$4:$L$11,2)),VLOOKUP($T60,Config!$B$4:$L$11,9),FALSE),"-"),"-")</f>
        <v>2</v>
      </c>
      <c r="X60" s="1">
        <f ca="1">IF($C60="Done",IFERROR(VLOOKUP($A60,INDIRECT("'"&amp;$T60&amp;"'"&amp;VLOOKUP($T60,Config!$B$4:$L$11,2)),VLOOKUP($T60,Config!$B$4:$L$11,11),FALSE),"-"),"-")</f>
        <v>1</v>
      </c>
      <c r="Y60" s="1" t="str">
        <f ca="1">IF(AND($E60&lt;&gt;"",OR($C60="Ready to Develop",$C60="7 PI Started",$C60="6 Epic Backlog",$C60="Done")),IFERROR(VLOOKUP($A60,INDIRECT("'"&amp;$T60&amp;"'"&amp;VLOOKUP($T60,Config!$B$4:$P$11,2)),VLOOKUP($T60,Config!$B$4:$P$11,13),FALSE),"-"),"-")</f>
        <v>-</v>
      </c>
      <c r="Z60" s="1" t="str">
        <f ca="1">IF(AND($E60&lt;&gt;"",OR($C60="Ready to Develop",$C60="7 PI Started",$C60="6 Epic Backlog",$C60="Done")),IFERROR(VLOOKUP($A60,INDIRECT("'"&amp;$T60&amp;"'"&amp;VLOOKUP($T60,Config!$B$4:$P$11,2)),VLOOKUP($T60,Config!$B$4:$P$11,15),FALSE),"-"),"-")</f>
        <v>-</v>
      </c>
    </row>
    <row r="61" spans="1:26" x14ac:dyDescent="0.2">
      <c r="A61" s="405" t="s">
        <v>215</v>
      </c>
      <c r="B61" t="s">
        <v>442</v>
      </c>
      <c r="C61" t="s">
        <v>144</v>
      </c>
      <c r="D61" t="s">
        <v>389</v>
      </c>
      <c r="E61" s="404" t="s">
        <v>367</v>
      </c>
      <c r="F61" s="19">
        <v>45530</v>
      </c>
      <c r="G61" s="19">
        <v>45555</v>
      </c>
      <c r="H61" s="19">
        <v>45531</v>
      </c>
      <c r="I61" s="19">
        <v>45555</v>
      </c>
      <c r="J61" s="19">
        <v>45558</v>
      </c>
      <c r="K61" s="19" t="str">
        <f t="shared" si="0"/>
        <v>Delayed</v>
      </c>
      <c r="L61" s="1">
        <f t="shared" si="1"/>
        <v>1</v>
      </c>
      <c r="M61" s="19" t="str">
        <f t="shared" ca="1" si="2"/>
        <v>Delivered</v>
      </c>
      <c r="N61" s="1">
        <f t="shared" ca="1" si="3"/>
        <v>2</v>
      </c>
      <c r="O61" s="1" t="str">
        <f t="shared" ca="1" si="4"/>
        <v>Delivered</v>
      </c>
      <c r="P61" s="1">
        <f t="shared" ca="1" si="5"/>
        <v>2</v>
      </c>
      <c r="Q61" s="1">
        <f t="shared" ca="1" si="6"/>
        <v>24</v>
      </c>
      <c r="R61" s="1">
        <f t="shared" ca="1" si="7"/>
        <v>0</v>
      </c>
      <c r="S61" s="1" t="s">
        <v>367</v>
      </c>
      <c r="T61" s="7" t="str">
        <f t="shared" si="8"/>
        <v>Q3-C2</v>
      </c>
      <c r="U61" s="1">
        <f ca="1">IF(AND($E61&lt;&gt;"",OR($C61="Ready to Develop",$C61="7 PI Started",$C61="6 Epic Backlog",$C61="Done")),IFERROR(VLOOKUP($A61,INDIRECT("'"&amp;$T61&amp;"'"&amp;VLOOKUP($T61,Config!$B$4:$L$11,2)),VLOOKUP($T61,Config!$B$4:$L$11,5),FALSE),"-"),"-")</f>
        <v>18</v>
      </c>
      <c r="V61" s="1">
        <f ca="1">IF($C61="Done",IFERROR(VLOOKUP($A61,INDIRECT("'"&amp;$T61&amp;"'"&amp;VLOOKUP($T61,Config!$B$4:$L$11,2)),VLOOKUP($T61,Config!$B$4:$L$11,7),FALSE),"-"),"-")</f>
        <v>15</v>
      </c>
      <c r="W61" s="1">
        <f ca="1">IF(AND($E61&lt;&gt;"",OR($C61="Ready to Develop",$C61="7 PI Started",$C61="6 Epic Backlog",$C61="Done")),IFERROR(VLOOKUP($A61,INDIRECT("'"&amp;$T61&amp;"'"&amp;VLOOKUP($T61,Config!$B$4:$L$11,2)),VLOOKUP($T61,Config!$B$4:$L$11,9),FALSE),"-"),"-")</f>
        <v>1</v>
      </c>
      <c r="X61" s="1">
        <f ca="1">IF($C61="Done",IFERROR(VLOOKUP($A61,INDIRECT("'"&amp;$T61&amp;"'"&amp;VLOOKUP($T61,Config!$B$4:$L$11,2)),VLOOKUP($T61,Config!$B$4:$L$11,11),FALSE),"-"),"-")</f>
        <v>1</v>
      </c>
      <c r="Y61" s="1" t="str">
        <f ca="1">IF(AND($E61&lt;&gt;"",OR($C61="Ready to Develop",$C61="7 PI Started",$C61="6 Epic Backlog",$C61="Done")),IFERROR(VLOOKUP($A61,INDIRECT("'"&amp;$T61&amp;"'"&amp;VLOOKUP($T61,Config!$B$4:$P$11,2)),VLOOKUP($T61,Config!$B$4:$P$11,13),FALSE),"-"),"-")</f>
        <v>-</v>
      </c>
      <c r="Z61" s="1" t="str">
        <f ca="1">IF(AND($E61&lt;&gt;"",OR($C61="Ready to Develop",$C61="7 PI Started",$C61="6 Epic Backlog",$C61="Done")),IFERROR(VLOOKUP($A61,INDIRECT("'"&amp;$T61&amp;"'"&amp;VLOOKUP($T61,Config!$B$4:$P$11,2)),VLOOKUP($T61,Config!$B$4:$P$11,15),FALSE),"-"),"-")</f>
        <v>-</v>
      </c>
    </row>
    <row r="62" spans="1:26" x14ac:dyDescent="0.2">
      <c r="A62" s="405" t="s">
        <v>279</v>
      </c>
      <c r="B62" t="s">
        <v>280</v>
      </c>
      <c r="C62" t="s">
        <v>144</v>
      </c>
      <c r="D62" t="s">
        <v>388</v>
      </c>
      <c r="E62" s="404" t="s">
        <v>367</v>
      </c>
      <c r="F62" s="19">
        <v>45537</v>
      </c>
      <c r="G62" s="19">
        <v>45545</v>
      </c>
      <c r="H62" s="19">
        <v>45548</v>
      </c>
      <c r="I62" s="19">
        <v>45552</v>
      </c>
      <c r="J62" s="19">
        <v>45553</v>
      </c>
      <c r="K62" s="19" t="str">
        <f t="shared" si="0"/>
        <v>Delayed</v>
      </c>
      <c r="L62" s="1">
        <f t="shared" si="1"/>
        <v>11</v>
      </c>
      <c r="M62" s="19" t="str">
        <f t="shared" ca="1" si="2"/>
        <v>Delivered</v>
      </c>
      <c r="N62" s="1">
        <f t="shared" ca="1" si="3"/>
        <v>7</v>
      </c>
      <c r="O62" s="1" t="str">
        <f t="shared" ca="1" si="4"/>
        <v>Delivered</v>
      </c>
      <c r="P62" s="1">
        <f t="shared" ca="1" si="5"/>
        <v>2</v>
      </c>
      <c r="Q62" s="1">
        <f t="shared" ca="1" si="6"/>
        <v>4</v>
      </c>
      <c r="R62" s="1">
        <f t="shared" ca="1" si="7"/>
        <v>0</v>
      </c>
      <c r="S62" s="1" t="s">
        <v>367</v>
      </c>
      <c r="T62" s="7" t="str">
        <f t="shared" si="8"/>
        <v>Q3-C2</v>
      </c>
      <c r="U62" s="1">
        <f ca="1">IF(AND($E62&lt;&gt;"",OR($C62="Ready to Develop",$C62="7 PI Started",$C62="6 Epic Backlog",$C62="Done")),IFERROR(VLOOKUP($A62,INDIRECT("'"&amp;$T62&amp;"'"&amp;VLOOKUP($T62,Config!$B$4:$L$11,2)),VLOOKUP($T62,Config!$B$4:$L$11,5),FALSE),"-"),"-")</f>
        <v>5</v>
      </c>
      <c r="V62" s="1">
        <f ca="1">IF($C62="Done",IFERROR(VLOOKUP($A62,INDIRECT("'"&amp;$T62&amp;"'"&amp;VLOOKUP($T62,Config!$B$4:$L$11,2)),VLOOKUP($T62,Config!$B$4:$L$11,7),FALSE),"-"),"-")</f>
        <v>3</v>
      </c>
      <c r="W62" s="1">
        <f ca="1">IF(AND($E62&lt;&gt;"",OR($C62="Ready to Develop",$C62="7 PI Started",$C62="6 Epic Backlog",$C62="Done")),IFERROR(VLOOKUP($A62,INDIRECT("'"&amp;$T62&amp;"'"&amp;VLOOKUP($T62,Config!$B$4:$L$11,2)),VLOOKUP($T62,Config!$B$4:$L$11,9),FALSE),"-"),"-")</f>
        <v>1</v>
      </c>
      <c r="X62" s="1">
        <f ca="1">IF($C62="Done",IFERROR(VLOOKUP($A62,INDIRECT("'"&amp;$T62&amp;"'"&amp;VLOOKUP($T62,Config!$B$4:$L$11,2)),VLOOKUP($T62,Config!$B$4:$L$11,11),FALSE),"-"),"-")</f>
        <v>1</v>
      </c>
      <c r="Y62" s="1" t="str">
        <f ca="1">IF(AND($E62&lt;&gt;"",OR($C62="Ready to Develop",$C62="7 PI Started",$C62="6 Epic Backlog",$C62="Done")),IFERROR(VLOOKUP($A62,INDIRECT("'"&amp;$T62&amp;"'"&amp;VLOOKUP($T62,Config!$B$4:$P$11,2)),VLOOKUP($T62,Config!$B$4:$P$11,13),FALSE),"-"),"-")</f>
        <v>-</v>
      </c>
      <c r="Z62" s="1" t="str">
        <f ca="1">IF(AND($E62&lt;&gt;"",OR($C62="Ready to Develop",$C62="7 PI Started",$C62="6 Epic Backlog",$C62="Done")),IFERROR(VLOOKUP($A62,INDIRECT("'"&amp;$T62&amp;"'"&amp;VLOOKUP($T62,Config!$B$4:$P$11,2)),VLOOKUP($T62,Config!$B$4:$P$11,15),FALSE),"-"),"-")</f>
        <v>-</v>
      </c>
    </row>
    <row r="63" spans="1:26" x14ac:dyDescent="0.2">
      <c r="A63" s="405" t="s">
        <v>286</v>
      </c>
      <c r="B63" t="s">
        <v>287</v>
      </c>
      <c r="C63" t="s">
        <v>144</v>
      </c>
      <c r="D63" t="s">
        <v>400</v>
      </c>
      <c r="E63" s="404" t="s">
        <v>367</v>
      </c>
      <c r="F63" s="19">
        <v>45539</v>
      </c>
      <c r="G63" s="19">
        <v>45562</v>
      </c>
      <c r="H63" s="19">
        <v>45537</v>
      </c>
      <c r="I63" s="19">
        <v>45562</v>
      </c>
      <c r="J63" s="19">
        <v>45562</v>
      </c>
      <c r="K63" s="19" t="str">
        <f t="shared" si="0"/>
        <v>On Time</v>
      </c>
      <c r="L63" s="1">
        <f t="shared" si="1"/>
        <v>0</v>
      </c>
      <c r="M63" s="19" t="str">
        <f t="shared" ca="1" si="2"/>
        <v>Delivered</v>
      </c>
      <c r="N63" s="1">
        <f t="shared" ca="1" si="3"/>
        <v>0</v>
      </c>
      <c r="O63" s="1" t="str">
        <f t="shared" ca="1" si="4"/>
        <v>Delivered</v>
      </c>
      <c r="P63" s="1">
        <f t="shared" ca="1" si="5"/>
        <v>0</v>
      </c>
      <c r="Q63" s="1">
        <f t="shared" ca="1" si="6"/>
        <v>25</v>
      </c>
      <c r="R63" s="1">
        <f t="shared" ca="1" si="7"/>
        <v>0</v>
      </c>
      <c r="S63" s="1" t="s">
        <v>367</v>
      </c>
      <c r="T63" s="7" t="str">
        <f t="shared" si="8"/>
        <v>Q3-C2</v>
      </c>
      <c r="U63" s="1">
        <f ca="1">IF(AND($E63&lt;&gt;"",OR($C63="Ready to Develop",$C63="7 PI Started",$C63="6 Epic Backlog",$C63="Done")),IFERROR(VLOOKUP($A63,INDIRECT("'"&amp;$T63&amp;"'"&amp;VLOOKUP($T63,Config!$B$4:$L$11,2)),VLOOKUP($T63,Config!$B$4:$L$11,5),FALSE),"-"),"-")</f>
        <v>13</v>
      </c>
      <c r="V63" s="1">
        <f ca="1">IF($C63="Done",IFERROR(VLOOKUP($A63,INDIRECT("'"&amp;$T63&amp;"'"&amp;VLOOKUP($T63,Config!$B$4:$L$11,2)),VLOOKUP($T63,Config!$B$4:$L$11,7),FALSE),"-"),"-")</f>
        <v>15</v>
      </c>
      <c r="W63" s="1">
        <f ca="1">IF(AND($E63&lt;&gt;"",OR($C63="Ready to Develop",$C63="7 PI Started",$C63="6 Epic Backlog",$C63="Done")),IFERROR(VLOOKUP($A63,INDIRECT("'"&amp;$T63&amp;"'"&amp;VLOOKUP($T63,Config!$B$4:$L$11,2)),VLOOKUP($T63,Config!$B$4:$L$11,9),FALSE),"-"),"-")</f>
        <v>1</v>
      </c>
      <c r="X63" s="1">
        <f ca="1">IF($C63="Done",IFERROR(VLOOKUP($A63,INDIRECT("'"&amp;$T63&amp;"'"&amp;VLOOKUP($T63,Config!$B$4:$L$11,2)),VLOOKUP($T63,Config!$B$4:$L$11,11),FALSE),"-"),"-")</f>
        <v>1</v>
      </c>
      <c r="Y63" s="1" t="str">
        <f ca="1">IF(AND($E63&lt;&gt;"",OR($C63="Ready to Develop",$C63="7 PI Started",$C63="6 Epic Backlog",$C63="Done")),IFERROR(VLOOKUP($A63,INDIRECT("'"&amp;$T63&amp;"'"&amp;VLOOKUP($T63,Config!$B$4:$P$11,2)),VLOOKUP($T63,Config!$B$4:$P$11,13),FALSE),"-"),"-")</f>
        <v>-</v>
      </c>
      <c r="Z63" s="1" t="str">
        <f ca="1">IF(AND($E63&lt;&gt;"",OR($C63="Ready to Develop",$C63="7 PI Started",$C63="6 Epic Backlog",$C63="Done")),IFERROR(VLOOKUP($A63,INDIRECT("'"&amp;$T63&amp;"'"&amp;VLOOKUP($T63,Config!$B$4:$P$11,2)),VLOOKUP($T63,Config!$B$4:$P$11,15),FALSE),"-"),"-")</f>
        <v>-</v>
      </c>
    </row>
    <row r="64" spans="1:26" x14ac:dyDescent="0.2">
      <c r="A64" s="405" t="s">
        <v>281</v>
      </c>
      <c r="B64" t="s">
        <v>282</v>
      </c>
      <c r="C64" t="s">
        <v>144</v>
      </c>
      <c r="D64" t="s">
        <v>387</v>
      </c>
      <c r="E64" s="404" t="s">
        <v>367</v>
      </c>
      <c r="F64" s="19">
        <v>45546</v>
      </c>
      <c r="G64" s="19">
        <v>45562</v>
      </c>
      <c r="H64" s="19">
        <v>45539</v>
      </c>
      <c r="I64" s="19">
        <v>45562</v>
      </c>
      <c r="J64" s="19">
        <v>45553</v>
      </c>
      <c r="K64" s="19" t="str">
        <f t="shared" si="0"/>
        <v>On Time</v>
      </c>
      <c r="L64" s="1">
        <f t="shared" si="1"/>
        <v>0</v>
      </c>
      <c r="M64" s="19" t="str">
        <f t="shared" ca="1" si="2"/>
        <v>Delivered</v>
      </c>
      <c r="N64" s="1">
        <f t="shared" ca="1" si="3"/>
        <v>0</v>
      </c>
      <c r="O64" s="1" t="str">
        <f t="shared" ca="1" si="4"/>
        <v>Delivered</v>
      </c>
      <c r="P64" s="1">
        <f t="shared" ca="1" si="5"/>
        <v>0</v>
      </c>
      <c r="Q64" s="1">
        <f t="shared" ca="1" si="6"/>
        <v>23</v>
      </c>
      <c r="R64" s="1">
        <f t="shared" ca="1" si="7"/>
        <v>0</v>
      </c>
      <c r="S64" s="1" t="s">
        <v>367</v>
      </c>
      <c r="T64" s="7" t="str">
        <f t="shared" si="8"/>
        <v>Q3-C2</v>
      </c>
      <c r="U64" s="1">
        <f ca="1">IF(AND($E64&lt;&gt;"",OR($C64="Ready to Develop",$C64="7 PI Started",$C64="6 Epic Backlog",$C64="Done")),IFERROR(VLOOKUP($A64,INDIRECT("'"&amp;$T64&amp;"'"&amp;VLOOKUP($T64,Config!$B$4:$L$11,2)),VLOOKUP($T64,Config!$B$4:$L$11,5),FALSE),"-"),"-")</f>
        <v>10</v>
      </c>
      <c r="V64" s="1">
        <f ca="1">IF($C64="Done",IFERROR(VLOOKUP($A64,INDIRECT("'"&amp;$T64&amp;"'"&amp;VLOOKUP($T64,Config!$B$4:$L$11,2)),VLOOKUP($T64,Config!$B$4:$L$11,7),FALSE),"-"),"-")</f>
        <v>11</v>
      </c>
      <c r="W64" s="1">
        <f ca="1">IF(AND($E64&lt;&gt;"",OR($C64="Ready to Develop",$C64="7 PI Started",$C64="6 Epic Backlog",$C64="Done")),IFERROR(VLOOKUP($A64,INDIRECT("'"&amp;$T64&amp;"'"&amp;VLOOKUP($T64,Config!$B$4:$L$11,2)),VLOOKUP($T64,Config!$B$4:$L$11,9),FALSE),"-"),"-")</f>
        <v>1</v>
      </c>
      <c r="X64" s="1">
        <f ca="1">IF($C64="Done",IFERROR(VLOOKUP($A64,INDIRECT("'"&amp;$T64&amp;"'"&amp;VLOOKUP($T64,Config!$B$4:$L$11,2)),VLOOKUP($T64,Config!$B$4:$L$11,11),FALSE),"-"),"-")</f>
        <v>1</v>
      </c>
      <c r="Y64" s="1" t="str">
        <f ca="1">IF(AND($E64&lt;&gt;"",OR($C64="Ready to Develop",$C64="7 PI Started",$C64="6 Epic Backlog",$C64="Done")),IFERROR(VLOOKUP($A64,INDIRECT("'"&amp;$T64&amp;"'"&amp;VLOOKUP($T64,Config!$B$4:$P$11,2)),VLOOKUP($T64,Config!$B$4:$P$11,13),FALSE),"-"),"-")</f>
        <v>-</v>
      </c>
      <c r="Z64" s="1" t="str">
        <f ca="1">IF(AND($E64&lt;&gt;"",OR($C64="Ready to Develop",$C64="7 PI Started",$C64="6 Epic Backlog",$C64="Done")),IFERROR(VLOOKUP($A64,INDIRECT("'"&amp;$T64&amp;"'"&amp;VLOOKUP($T64,Config!$B$4:$P$11,2)),VLOOKUP($T64,Config!$B$4:$P$11,15),FALSE),"-"),"-")</f>
        <v>-</v>
      </c>
    </row>
    <row r="65" spans="1:26" x14ac:dyDescent="0.2">
      <c r="A65" s="405" t="s">
        <v>284</v>
      </c>
      <c r="B65" t="s">
        <v>443</v>
      </c>
      <c r="C65" t="s">
        <v>144</v>
      </c>
      <c r="D65" t="s">
        <v>387</v>
      </c>
      <c r="E65" s="404" t="s">
        <v>367</v>
      </c>
      <c r="F65" s="19">
        <v>45547</v>
      </c>
      <c r="G65" s="19">
        <v>45562</v>
      </c>
      <c r="H65" s="19">
        <v>45530</v>
      </c>
      <c r="I65" s="19">
        <v>45547</v>
      </c>
      <c r="J65" s="19">
        <v>45548</v>
      </c>
      <c r="K65" s="19" t="str">
        <f t="shared" si="0"/>
        <v>On Time</v>
      </c>
      <c r="L65" s="1">
        <f t="shared" si="1"/>
        <v>0</v>
      </c>
      <c r="M65" s="19" t="str">
        <f t="shared" ca="1" si="2"/>
        <v>Delivered</v>
      </c>
      <c r="N65" s="1">
        <f t="shared" ca="1" si="3"/>
        <v>0</v>
      </c>
      <c r="O65" s="1" t="str">
        <f t="shared" ca="1" si="4"/>
        <v>Delivered</v>
      </c>
      <c r="P65" s="1">
        <f t="shared" ca="1" si="5"/>
        <v>2</v>
      </c>
      <c r="Q65" s="1">
        <f t="shared" ca="1" si="6"/>
        <v>17</v>
      </c>
      <c r="R65" s="1">
        <f t="shared" ca="1" si="7"/>
        <v>0</v>
      </c>
      <c r="S65" s="1" t="s">
        <v>367</v>
      </c>
      <c r="T65" s="7" t="str">
        <f t="shared" si="8"/>
        <v>Q3-C2</v>
      </c>
      <c r="U65" s="1">
        <f ca="1">IF(AND($E65&lt;&gt;"",OR($C65="Ready to Develop",$C65="7 PI Started",$C65="6 Epic Backlog",$C65="Done")),IFERROR(VLOOKUP($A65,INDIRECT("'"&amp;$T65&amp;"'"&amp;VLOOKUP($T65,Config!$B$4:$L$11,2)),VLOOKUP($T65,Config!$B$4:$L$11,5),FALSE),"-"),"-")</f>
        <v>9</v>
      </c>
      <c r="V65" s="1">
        <f ca="1">IF($C65="Done",IFERROR(VLOOKUP($A65,INDIRECT("'"&amp;$T65&amp;"'"&amp;VLOOKUP($T65,Config!$B$4:$L$11,2)),VLOOKUP($T65,Config!$B$4:$L$11,7),FALSE),"-"),"-")</f>
        <v>14</v>
      </c>
      <c r="W65" s="1">
        <f ca="1">IF(AND($E65&lt;&gt;"",OR($C65="Ready to Develop",$C65="7 PI Started",$C65="6 Epic Backlog",$C65="Done")),IFERROR(VLOOKUP($A65,INDIRECT("'"&amp;$T65&amp;"'"&amp;VLOOKUP($T65,Config!$B$4:$L$11,2)),VLOOKUP($T65,Config!$B$4:$L$11,9),FALSE),"-"),"-")</f>
        <v>1</v>
      </c>
      <c r="X65" s="1">
        <f ca="1">IF($C65="Done",IFERROR(VLOOKUP($A65,INDIRECT("'"&amp;$T65&amp;"'"&amp;VLOOKUP($T65,Config!$B$4:$L$11,2)),VLOOKUP($T65,Config!$B$4:$L$11,11),FALSE),"-"),"-")</f>
        <v>1</v>
      </c>
      <c r="Y65" s="1" t="str">
        <f ca="1">IF(AND($E65&lt;&gt;"",OR($C65="Ready to Develop",$C65="7 PI Started",$C65="6 Epic Backlog",$C65="Done")),IFERROR(VLOOKUP($A65,INDIRECT("'"&amp;$T65&amp;"'"&amp;VLOOKUP($T65,Config!$B$4:$P$11,2)),VLOOKUP($T65,Config!$B$4:$P$11,13),FALSE),"-"),"-")</f>
        <v>-</v>
      </c>
      <c r="Z65" s="1" t="str">
        <f ca="1">IF(AND($E65&lt;&gt;"",OR($C65="Ready to Develop",$C65="7 PI Started",$C65="6 Epic Backlog",$C65="Done")),IFERROR(VLOOKUP($A65,INDIRECT("'"&amp;$T65&amp;"'"&amp;VLOOKUP($T65,Config!$B$4:$P$11,2)),VLOOKUP($T65,Config!$B$4:$P$11,15),FALSE),"-"),"-")</f>
        <v>-</v>
      </c>
    </row>
    <row r="66" spans="1:26" x14ac:dyDescent="0.2">
      <c r="A66" s="405" t="s">
        <v>271</v>
      </c>
      <c r="B66" t="s">
        <v>444</v>
      </c>
      <c r="C66" t="s">
        <v>144</v>
      </c>
      <c r="D66" t="s">
        <v>389</v>
      </c>
      <c r="E66" s="404" t="s">
        <v>367</v>
      </c>
      <c r="F66" s="19">
        <v>45551</v>
      </c>
      <c r="G66" s="19">
        <v>45562</v>
      </c>
      <c r="H66" s="19">
        <v>45544</v>
      </c>
      <c r="I66" s="19">
        <v>45551</v>
      </c>
      <c r="J66" s="19">
        <v>45552</v>
      </c>
      <c r="K66" s="19" t="str">
        <f t="shared" si="0"/>
        <v>On Time</v>
      </c>
      <c r="L66" s="1">
        <f t="shared" si="1"/>
        <v>0</v>
      </c>
      <c r="M66" s="19" t="str">
        <f t="shared" ca="1" si="2"/>
        <v>Delivered</v>
      </c>
      <c r="N66" s="1">
        <f t="shared" ca="1" si="3"/>
        <v>0</v>
      </c>
      <c r="O66" s="1" t="str">
        <f t="shared" ca="1" si="4"/>
        <v>Delivered</v>
      </c>
      <c r="P66" s="1">
        <f t="shared" ca="1" si="5"/>
        <v>2</v>
      </c>
      <c r="Q66" s="1">
        <f t="shared" ca="1" si="6"/>
        <v>7</v>
      </c>
      <c r="R66" s="1">
        <f t="shared" ca="1" si="7"/>
        <v>0</v>
      </c>
      <c r="S66" s="1" t="s">
        <v>367</v>
      </c>
      <c r="T66" s="7" t="str">
        <f t="shared" si="8"/>
        <v>Q3-C2</v>
      </c>
      <c r="U66" s="1">
        <f ca="1">IF(AND($E66&lt;&gt;"",OR($C66="Ready to Develop",$C66="7 PI Started",$C66="6 Epic Backlog",$C66="Done")),IFERROR(VLOOKUP($A66,INDIRECT("'"&amp;$T66&amp;"'"&amp;VLOOKUP($T66,Config!$B$4:$L$11,2)),VLOOKUP($T66,Config!$B$4:$L$11,5),FALSE),"-"),"-")</f>
        <v>5</v>
      </c>
      <c r="V66" s="1">
        <f ca="1">IF($C66="Done",IFERROR(VLOOKUP($A66,INDIRECT("'"&amp;$T66&amp;"'"&amp;VLOOKUP($T66,Config!$B$4:$L$11,2)),VLOOKUP($T66,Config!$B$4:$L$11,7),FALSE),"-"),"-")</f>
        <v>4</v>
      </c>
      <c r="W66" s="1">
        <f ca="1">IF(AND($E66&lt;&gt;"",OR($C66="Ready to Develop",$C66="7 PI Started",$C66="6 Epic Backlog",$C66="Done")),IFERROR(VLOOKUP($A66,INDIRECT("'"&amp;$T66&amp;"'"&amp;VLOOKUP($T66,Config!$B$4:$L$11,2)),VLOOKUP($T66,Config!$B$4:$L$11,9),FALSE),"-"),"-")</f>
        <v>1</v>
      </c>
      <c r="X66" s="1">
        <f ca="1">IF($C66="Done",IFERROR(VLOOKUP($A66,INDIRECT("'"&amp;$T66&amp;"'"&amp;VLOOKUP($T66,Config!$B$4:$L$11,2)),VLOOKUP($T66,Config!$B$4:$L$11,11),FALSE),"-"),"-")</f>
        <v>1</v>
      </c>
      <c r="Y66" s="1" t="str">
        <f ca="1">IF(AND($E66&lt;&gt;"",OR($C66="Ready to Develop",$C66="7 PI Started",$C66="6 Epic Backlog",$C66="Done")),IFERROR(VLOOKUP($A66,INDIRECT("'"&amp;$T66&amp;"'"&amp;VLOOKUP($T66,Config!$B$4:$P$11,2)),VLOOKUP($T66,Config!$B$4:$P$11,13),FALSE),"-"),"-")</f>
        <v>-</v>
      </c>
      <c r="Z66" s="1" t="str">
        <f ca="1">IF(AND($E66&lt;&gt;"",OR($C66="Ready to Develop",$C66="7 PI Started",$C66="6 Epic Backlog",$C66="Done")),IFERROR(VLOOKUP($A66,INDIRECT("'"&amp;$T66&amp;"'"&amp;VLOOKUP($T66,Config!$B$4:$P$11,2)),VLOOKUP($T66,Config!$B$4:$P$11,15),FALSE),"-"),"-")</f>
        <v>-</v>
      </c>
    </row>
    <row r="67" spans="1:26" x14ac:dyDescent="0.2">
      <c r="A67" s="405" t="s">
        <v>445</v>
      </c>
      <c r="B67" t="s">
        <v>446</v>
      </c>
      <c r="C67" t="s">
        <v>393</v>
      </c>
      <c r="D67" t="s">
        <v>387</v>
      </c>
      <c r="E67" s="404" t="s">
        <v>367</v>
      </c>
      <c r="F67" s="19"/>
      <c r="G67" s="19"/>
      <c r="H67" s="19"/>
      <c r="I67" s="19"/>
      <c r="J67" s="19"/>
      <c r="K67" s="19" t="str">
        <f t="shared" ref="K67:K100" si="9">IF(AND(F67&lt;&gt;"", H67=""), "Not Started", IF(OR(H67="", F67=""), "-", IF(H67&lt;=F67, "On Time", "Delayed")))</f>
        <v>-</v>
      </c>
      <c r="L67" s="1" t="str">
        <f t="shared" ref="L67:L100" si="10">IF(OR(H67="",F67=""),"-",IF(H67&gt;F67,H67-F67,0))</f>
        <v>-</v>
      </c>
      <c r="M67" s="19" t="str">
        <f t="shared" ref="M67:M100" ca="1" si="11">IF(C67="Done","Delivered",IF(C67="11 Archived","Archived",IF(G67="","-",IF(C67&lt;&gt;"7 PI Started","Not Started",IF(NETWORKDAYS(TODAY(),G67)&gt;3,"On Track",IF(NETWORKDAYS(TODAY(),G67)=3,"Near End",IF(TODAY()&gt;G67,"Delayed","-")))))))</f>
        <v>Archived</v>
      </c>
      <c r="N67" s="1" t="str">
        <f t="shared" ref="N67:N100" ca="1" si="12">IF(OR(C67="11 Archived", G67=""), "-", IF(C67="Done", IF(J67&gt;G67, NETWORKDAYS(G67, J67), 0), IF(TODAY()&gt;G67, NETWORKDAYS(G67, TODAY()), 0)))</f>
        <v>-</v>
      </c>
      <c r="O67" s="1" t="str">
        <f t="shared" ref="O67:O100" ca="1" si="13">IF(C67="Done","Delivered",IF(C67="11 Archived","Archived",IF(I67="","-",IF(C67&lt;&gt;"7 PI Started","Not Started",IF(NETWORKDAYS(TODAY(),I67)&gt;3,"On Track",IF(NETWORKDAYS(TODAY(),I67)=3,"Near End",IF(TODAY()=I67,"Due Today",IF(TODAY()&gt;I67,"Delayed","-"))))))))</f>
        <v>Archived</v>
      </c>
      <c r="P67" s="1" t="str">
        <f t="shared" ref="P67:P100" ca="1" si="14">IF(OR(C67="11 Archived", I67="", J67=""), "-", IF(C67="Done", IF(J67&gt;I67, NETWORKDAYS(I67, J67), 0), IF(TODAY()&gt;I67, NETWORKDAYS(I67, TODAY()), 0)))</f>
        <v>-</v>
      </c>
      <c r="Q67" s="1" t="str">
        <f t="shared" ref="Q67:Q100" ca="1" si="15">IF(OR(C67="",C67="11 Archived"), "-", IF(AND(C67="Done", I67&lt;&gt;"", H67&lt;&gt;""), I67-H67, IF(H67="", "-", IF(AND(H67&lt;&gt;"", H67&lt;TODAY()), NETWORKDAYS(H67, TODAY()), 0))))</f>
        <v>-</v>
      </c>
      <c r="R67" s="1" t="str">
        <f t="shared" ref="R67:R100" ca="1" si="16">IF(I67="","-",IF(TODAY()&gt;I67,0,NETWORKDAYS(TODAY(),I67)))</f>
        <v>-</v>
      </c>
      <c r="S67" s="1" t="s">
        <v>367</v>
      </c>
      <c r="T67" s="7" t="str">
        <f t="shared" ref="T67:T118" si="17">SUBSTITUTE(RIGHT(S67, 5), " ", "-")</f>
        <v>Q3-C2</v>
      </c>
      <c r="U67" s="1" t="str">
        <f ca="1">IF(AND($E67&lt;&gt;"",OR($C67="Ready to Develop",$C67="7 PI Started",$C67="6 Epic Backlog",$C67="Done")),IFERROR(VLOOKUP($A67,INDIRECT("'"&amp;$T67&amp;"'"&amp;VLOOKUP($T67,Config!$B$4:$L$11,2)),VLOOKUP($T67,Config!$B$4:$L$11,5),FALSE),"-"),"-")</f>
        <v>-</v>
      </c>
      <c r="V67" s="1" t="str">
        <f ca="1">IF($C67="Done",IFERROR(VLOOKUP($A67,INDIRECT("'"&amp;$T67&amp;"'"&amp;VLOOKUP($T67,Config!$B$4:$L$11,2)),VLOOKUP($T67,Config!$B$4:$L$11,7),FALSE),"-"),"-")</f>
        <v>-</v>
      </c>
      <c r="W67" s="1" t="str">
        <f ca="1">IF(AND($E67&lt;&gt;"",OR($C67="Ready to Develop",$C67="7 PI Started",$C67="6 Epic Backlog",$C67="Done")),IFERROR(VLOOKUP($A67,INDIRECT("'"&amp;$T67&amp;"'"&amp;VLOOKUP($T67,Config!$B$4:$L$11,2)),VLOOKUP($T67,Config!$B$4:$L$11,9),FALSE),"-"),"-")</f>
        <v>-</v>
      </c>
      <c r="X67" s="1" t="str">
        <f ca="1">IF($C67="Done",IFERROR(VLOOKUP($A67,INDIRECT("'"&amp;$T67&amp;"'"&amp;VLOOKUP($T67,Config!$B$4:$L$11,2)),VLOOKUP($T67,Config!$B$4:$L$11,11),FALSE),"-"),"-")</f>
        <v>-</v>
      </c>
      <c r="Y67" s="1" t="str">
        <f ca="1">IF(AND($E67&lt;&gt;"",OR($C67="Ready to Develop",$C67="7 PI Started",$C67="6 Epic Backlog",$C67="Done")),IFERROR(VLOOKUP($A67,INDIRECT("'"&amp;$T67&amp;"'"&amp;VLOOKUP($T67,Config!$B$4:$P$11,2)),VLOOKUP($T67,Config!$B$4:$P$11,13),FALSE),"-"),"-")</f>
        <v>-</v>
      </c>
      <c r="Z67" s="1" t="str">
        <f ca="1">IF(AND($E67&lt;&gt;"",OR($C67="Ready to Develop",$C67="7 PI Started",$C67="6 Epic Backlog",$C67="Done")),IFERROR(VLOOKUP($A67,INDIRECT("'"&amp;$T67&amp;"'"&amp;VLOOKUP($T67,Config!$B$4:$P$11,2)),VLOOKUP($T67,Config!$B$4:$P$11,15),FALSE),"-"),"-")</f>
        <v>-</v>
      </c>
    </row>
    <row r="68" spans="1:26" x14ac:dyDescent="0.2">
      <c r="A68" s="405" t="s">
        <v>341</v>
      </c>
      <c r="B68" t="s">
        <v>506</v>
      </c>
      <c r="C68" t="s">
        <v>436</v>
      </c>
      <c r="D68" t="s">
        <v>400</v>
      </c>
      <c r="E68" s="404" t="s">
        <v>368</v>
      </c>
      <c r="F68" s="19">
        <v>45565</v>
      </c>
      <c r="G68" s="19">
        <v>45583</v>
      </c>
      <c r="H68" s="19">
        <v>45565</v>
      </c>
      <c r="I68" s="19">
        <v>45583</v>
      </c>
      <c r="J68" s="19"/>
      <c r="K68" s="19" t="str">
        <f t="shared" si="9"/>
        <v>On Time</v>
      </c>
      <c r="L68" s="1">
        <f t="shared" si="10"/>
        <v>0</v>
      </c>
      <c r="M68" s="19" t="str">
        <f t="shared" ca="1" si="11"/>
        <v>On Track</v>
      </c>
      <c r="N68" s="1">
        <f t="shared" ca="1" si="12"/>
        <v>0</v>
      </c>
      <c r="O68" s="1" t="str">
        <f t="shared" ca="1" si="13"/>
        <v>On Track</v>
      </c>
      <c r="P68" s="1" t="str">
        <f t="shared" ca="1" si="14"/>
        <v>-</v>
      </c>
      <c r="Q68" s="1">
        <f t="shared" ca="1" si="15"/>
        <v>2</v>
      </c>
      <c r="R68" s="1">
        <f t="shared" ca="1" si="16"/>
        <v>14</v>
      </c>
      <c r="S68" s="1" t="s">
        <v>368</v>
      </c>
      <c r="T68" s="7" t="str">
        <f t="shared" si="17"/>
        <v>Q4-C1</v>
      </c>
      <c r="U68" s="1">
        <f ca="1">IF(AND($E68&lt;&gt;"",OR($C68="Ready to Develop",$C68="7 PI Started",$C68="6 Epic Backlog",$C68="Done")),IFERROR(VLOOKUP($A68,INDIRECT("'"&amp;$T68&amp;"'"&amp;VLOOKUP($T68,Config!$B$4:$L$11,2)),VLOOKUP($T68,Config!$B$4:$L$11,5),FALSE),"-"),"-")</f>
        <v>15</v>
      </c>
      <c r="V68" s="1" t="str">
        <f ca="1">IF($C68="Done",IFERROR(VLOOKUP($A68,INDIRECT("'"&amp;$T68&amp;"'"&amp;VLOOKUP($T68,Config!$B$4:$L$11,2)),VLOOKUP($T68,Config!$B$4:$L$11,7),FALSE),"-"),"-")</f>
        <v>-</v>
      </c>
      <c r="W68" s="1">
        <f ca="1">IF(AND($E68&lt;&gt;"",OR($C68="Ready to Develop",$C68="7 PI Started",$C68="6 Epic Backlog",$C68="Done")),IFERROR(VLOOKUP($A68,INDIRECT("'"&amp;$T68&amp;"'"&amp;VLOOKUP($T68,Config!$B$4:$L$11,2)),VLOOKUP($T68,Config!$B$4:$L$11,9),FALSE),"-"),"-")</f>
        <v>1</v>
      </c>
      <c r="X68" s="1" t="str">
        <f ca="1">IF($C68="Done",IFERROR(VLOOKUP($A68,INDIRECT("'"&amp;$T68&amp;"'"&amp;VLOOKUP($T68,Config!$B$4:$L$11,2)),VLOOKUP($T68,Config!$B$4:$L$11,11),FALSE),"-"),"-")</f>
        <v>-</v>
      </c>
      <c r="Y68" s="1">
        <f ca="1">IF(AND($E68&lt;&gt;"",OR($C68="Ready to Develop",$C68="7 PI Started",$C68="6 Epic Backlog",$C68="Done")),IFERROR(VLOOKUP($A68,INDIRECT("'"&amp;$T68&amp;"'"&amp;VLOOKUP($T68,Config!$B$4:$P$11,2)),VLOOKUP($T68,Config!$B$4:$P$11,13),FALSE),"-"),"-")</f>
        <v>8</v>
      </c>
      <c r="Z68" s="1">
        <f ca="1">IF(AND($E68&lt;&gt;"",OR($C68="Ready to Develop",$C68="7 PI Started",$C68="6 Epic Backlog",$C68="Done")),IFERROR(VLOOKUP($A68,INDIRECT("'"&amp;$T68&amp;"'"&amp;VLOOKUP($T68,Config!$B$4:$P$11,2)),VLOOKUP($T68,Config!$B$4:$P$11,15),FALSE),"-"),"-")</f>
        <v>12</v>
      </c>
    </row>
    <row r="69" spans="1:26" x14ac:dyDescent="0.2">
      <c r="A69" s="405" t="s">
        <v>302</v>
      </c>
      <c r="B69" t="s">
        <v>450</v>
      </c>
      <c r="C69" t="s">
        <v>436</v>
      </c>
      <c r="D69" t="s">
        <v>388</v>
      </c>
      <c r="E69" s="404" t="s">
        <v>368</v>
      </c>
      <c r="F69" s="19">
        <v>45565</v>
      </c>
      <c r="G69" s="19">
        <v>45595</v>
      </c>
      <c r="H69" s="19">
        <v>45565</v>
      </c>
      <c r="I69" s="19">
        <v>45595</v>
      </c>
      <c r="J69" s="19"/>
      <c r="K69" s="19" t="str">
        <f t="shared" si="9"/>
        <v>On Time</v>
      </c>
      <c r="L69" s="1">
        <f t="shared" si="10"/>
        <v>0</v>
      </c>
      <c r="M69" s="19" t="str">
        <f t="shared" ca="1" si="11"/>
        <v>On Track</v>
      </c>
      <c r="N69" s="1">
        <f t="shared" ca="1" si="12"/>
        <v>0</v>
      </c>
      <c r="O69" s="1" t="str">
        <f t="shared" ca="1" si="13"/>
        <v>On Track</v>
      </c>
      <c r="P69" s="1" t="str">
        <f t="shared" ca="1" si="14"/>
        <v>-</v>
      </c>
      <c r="Q69" s="1">
        <f t="shared" ca="1" si="15"/>
        <v>2</v>
      </c>
      <c r="R69" s="1">
        <f t="shared" ca="1" si="16"/>
        <v>22</v>
      </c>
      <c r="S69" s="1" t="s">
        <v>368</v>
      </c>
      <c r="T69" s="7" t="str">
        <f t="shared" si="17"/>
        <v>Q4-C1</v>
      </c>
      <c r="U69" s="1">
        <f ca="1">IF(AND($E69&lt;&gt;"",OR($C69="Ready to Develop",$C69="7 PI Started",$C69="6 Epic Backlog",$C69="Done")),IFERROR(VLOOKUP($A69,INDIRECT("'"&amp;$T69&amp;"'"&amp;VLOOKUP($T69,Config!$B$4:$L$11,2)),VLOOKUP($T69,Config!$B$4:$L$11,5),FALSE),"-"),"-")</f>
        <v>20</v>
      </c>
      <c r="V69" s="1" t="str">
        <f ca="1">IF($C69="Done",IFERROR(VLOOKUP($A69,INDIRECT("'"&amp;$T69&amp;"'"&amp;VLOOKUP($T69,Config!$B$4:$L$11,2)),VLOOKUP($T69,Config!$B$4:$L$11,7),FALSE),"-"),"-")</f>
        <v>-</v>
      </c>
      <c r="W69" s="1">
        <f ca="1">IF(AND($E69&lt;&gt;"",OR($C69="Ready to Develop",$C69="7 PI Started",$C69="6 Epic Backlog",$C69="Done")),IFERROR(VLOOKUP($A69,INDIRECT("'"&amp;$T69&amp;"'"&amp;VLOOKUP($T69,Config!$B$4:$L$11,2)),VLOOKUP($T69,Config!$B$4:$L$11,9),FALSE),"-"),"-")</f>
        <v>1</v>
      </c>
      <c r="X69" s="1" t="str">
        <f ca="1">IF($C69="Done",IFERROR(VLOOKUP($A69,INDIRECT("'"&amp;$T69&amp;"'"&amp;VLOOKUP($T69,Config!$B$4:$L$11,2)),VLOOKUP($T69,Config!$B$4:$L$11,11),FALSE),"-"),"-")</f>
        <v>-</v>
      </c>
      <c r="Y69" s="1">
        <f ca="1">IF(AND($E69&lt;&gt;"",OR($C69="Ready to Develop",$C69="7 PI Started",$C69="6 Epic Backlog",$C69="Done")),IFERROR(VLOOKUP($A69,INDIRECT("'"&amp;$T69&amp;"'"&amp;VLOOKUP($T69,Config!$B$4:$P$11,2)),VLOOKUP($T69,Config!$B$4:$P$11,13),FALSE),"-"),"-")</f>
        <v>11</v>
      </c>
      <c r="Z69" s="1">
        <f ca="1">IF(AND($E69&lt;&gt;"",OR($C69="Ready to Develop",$C69="7 PI Started",$C69="6 Epic Backlog",$C69="Done")),IFERROR(VLOOKUP($A69,INDIRECT("'"&amp;$T69&amp;"'"&amp;VLOOKUP($T69,Config!$B$4:$P$11,2)),VLOOKUP($T69,Config!$B$4:$P$11,15),FALSE),"-"),"-")</f>
        <v>15</v>
      </c>
    </row>
    <row r="70" spans="1:26" x14ac:dyDescent="0.2">
      <c r="A70" s="405" t="s">
        <v>295</v>
      </c>
      <c r="B70" t="s">
        <v>451</v>
      </c>
      <c r="C70" t="s">
        <v>436</v>
      </c>
      <c r="D70" t="s">
        <v>383</v>
      </c>
      <c r="E70" s="404" t="s">
        <v>368</v>
      </c>
      <c r="F70" s="19">
        <v>45565</v>
      </c>
      <c r="G70" s="19">
        <v>45586</v>
      </c>
      <c r="H70" s="19">
        <v>45565</v>
      </c>
      <c r="I70" s="19">
        <v>45586</v>
      </c>
      <c r="J70" s="19"/>
      <c r="K70" s="19" t="str">
        <f t="shared" si="9"/>
        <v>On Time</v>
      </c>
      <c r="L70" s="1">
        <f t="shared" si="10"/>
        <v>0</v>
      </c>
      <c r="M70" s="19" t="str">
        <f t="shared" ca="1" si="11"/>
        <v>On Track</v>
      </c>
      <c r="N70" s="1">
        <f t="shared" ca="1" si="12"/>
        <v>0</v>
      </c>
      <c r="O70" s="1" t="str">
        <f t="shared" ca="1" si="13"/>
        <v>On Track</v>
      </c>
      <c r="P70" s="1" t="str">
        <f t="shared" ca="1" si="14"/>
        <v>-</v>
      </c>
      <c r="Q70" s="1">
        <f t="shared" ca="1" si="15"/>
        <v>2</v>
      </c>
      <c r="R70" s="1">
        <f t="shared" ca="1" si="16"/>
        <v>15</v>
      </c>
      <c r="S70" s="1" t="s">
        <v>368</v>
      </c>
      <c r="T70" s="7" t="str">
        <f t="shared" si="17"/>
        <v>Q4-C1</v>
      </c>
      <c r="U70" s="1">
        <f ca="1">IF(AND($E70&lt;&gt;"",OR($C70="Ready to Develop",$C70="7 PI Started",$C70="6 Epic Backlog",$C70="Done")),IFERROR(VLOOKUP($A70,INDIRECT("'"&amp;$T70&amp;"'"&amp;VLOOKUP($T70,Config!$B$4:$L$11,2)),VLOOKUP($T70,Config!$B$4:$L$11,5),FALSE),"-"),"-")</f>
        <v>10</v>
      </c>
      <c r="V70" s="1" t="str">
        <f ca="1">IF($C70="Done",IFERROR(VLOOKUP($A70,INDIRECT("'"&amp;$T70&amp;"'"&amp;VLOOKUP($T70,Config!$B$4:$L$11,2)),VLOOKUP($T70,Config!$B$4:$L$11,7),FALSE),"-"),"-")</f>
        <v>-</v>
      </c>
      <c r="W70" s="1">
        <f ca="1">IF(AND($E70&lt;&gt;"",OR($C70="Ready to Develop",$C70="7 PI Started",$C70="6 Epic Backlog",$C70="Done")),IFERROR(VLOOKUP($A70,INDIRECT("'"&amp;$T70&amp;"'"&amp;VLOOKUP($T70,Config!$B$4:$L$11,2)),VLOOKUP($T70,Config!$B$4:$L$11,9),FALSE),"-"),"-")</f>
        <v>1</v>
      </c>
      <c r="X70" s="1" t="str">
        <f ca="1">IF($C70="Done",IFERROR(VLOOKUP($A70,INDIRECT("'"&amp;$T70&amp;"'"&amp;VLOOKUP($T70,Config!$B$4:$L$11,2)),VLOOKUP($T70,Config!$B$4:$L$11,11),FALSE),"-"),"-")</f>
        <v>-</v>
      </c>
      <c r="Y70" s="1">
        <f ca="1">IF(AND($E70&lt;&gt;"",OR($C70="Ready to Develop",$C70="7 PI Started",$C70="6 Epic Backlog",$C70="Done")),IFERROR(VLOOKUP($A70,INDIRECT("'"&amp;$T70&amp;"'"&amp;VLOOKUP($T70,Config!$B$4:$P$11,2)),VLOOKUP($T70,Config!$B$4:$P$11,13),FALSE),"-"),"-")</f>
        <v>5</v>
      </c>
      <c r="Z70" s="1">
        <f ca="1">IF(AND($E70&lt;&gt;"",OR($C70="Ready to Develop",$C70="7 PI Started",$C70="6 Epic Backlog",$C70="Done")),IFERROR(VLOOKUP($A70,INDIRECT("'"&amp;$T70&amp;"'"&amp;VLOOKUP($T70,Config!$B$4:$P$11,2)),VLOOKUP($T70,Config!$B$4:$P$11,15),FALSE),"-"),"-")</f>
        <v>8</v>
      </c>
    </row>
    <row r="71" spans="1:26" x14ac:dyDescent="0.2">
      <c r="A71" s="405" t="s">
        <v>306</v>
      </c>
      <c r="B71" t="s">
        <v>452</v>
      </c>
      <c r="C71" t="s">
        <v>436</v>
      </c>
      <c r="D71" t="s">
        <v>453</v>
      </c>
      <c r="E71" s="404" t="s">
        <v>368</v>
      </c>
      <c r="F71" s="19">
        <v>45565</v>
      </c>
      <c r="G71" s="19">
        <v>45604</v>
      </c>
      <c r="H71" s="19">
        <v>45565</v>
      </c>
      <c r="I71" s="19">
        <v>45604</v>
      </c>
      <c r="J71" s="19"/>
      <c r="K71" s="19" t="str">
        <f t="shared" si="9"/>
        <v>On Time</v>
      </c>
      <c r="L71" s="1">
        <f t="shared" si="10"/>
        <v>0</v>
      </c>
      <c r="M71" s="19" t="str">
        <f t="shared" ca="1" si="11"/>
        <v>On Track</v>
      </c>
      <c r="N71" s="1">
        <f t="shared" ca="1" si="12"/>
        <v>0</v>
      </c>
      <c r="O71" s="1" t="str">
        <f t="shared" ca="1" si="13"/>
        <v>On Track</v>
      </c>
      <c r="P71" s="1" t="str">
        <f t="shared" ca="1" si="14"/>
        <v>-</v>
      </c>
      <c r="Q71" s="1">
        <f t="shared" ca="1" si="15"/>
        <v>2</v>
      </c>
      <c r="R71" s="1">
        <f t="shared" ca="1" si="16"/>
        <v>29</v>
      </c>
      <c r="S71" s="1" t="s">
        <v>368</v>
      </c>
      <c r="T71" s="7" t="str">
        <f t="shared" si="17"/>
        <v>Q4-C1</v>
      </c>
      <c r="U71" s="1">
        <f ca="1">IF(AND($E71&lt;&gt;"",OR($C71="Ready to Develop",$C71="7 PI Started",$C71="6 Epic Backlog",$C71="Done")),IFERROR(VLOOKUP($A71,INDIRECT("'"&amp;$T71&amp;"'"&amp;VLOOKUP($T71,Config!$B$4:$L$11,2)),VLOOKUP($T71,Config!$B$4:$L$11,5),FALSE),"-"),"-")</f>
        <v>26</v>
      </c>
      <c r="V71" s="1" t="str">
        <f ca="1">IF($C71="Done",IFERROR(VLOOKUP($A71,INDIRECT("'"&amp;$T71&amp;"'"&amp;VLOOKUP($T71,Config!$B$4:$L$11,2)),VLOOKUP($T71,Config!$B$4:$L$11,7),FALSE),"-"),"-")</f>
        <v>-</v>
      </c>
      <c r="W71" s="1">
        <f ca="1">IF(AND($E71&lt;&gt;"",OR($C71="Ready to Develop",$C71="7 PI Started",$C71="6 Epic Backlog",$C71="Done")),IFERROR(VLOOKUP($A71,INDIRECT("'"&amp;$T71&amp;"'"&amp;VLOOKUP($T71,Config!$B$4:$L$11,2)),VLOOKUP($T71,Config!$B$4:$L$11,9),FALSE),"-"),"-")</f>
        <v>1</v>
      </c>
      <c r="X71" s="1" t="str">
        <f ca="1">IF($C71="Done",IFERROR(VLOOKUP($A71,INDIRECT("'"&amp;$T71&amp;"'"&amp;VLOOKUP($T71,Config!$B$4:$L$11,2)),VLOOKUP($T71,Config!$B$4:$L$11,11),FALSE),"-"),"-")</f>
        <v>-</v>
      </c>
      <c r="Y71" s="1">
        <f ca="1">IF(AND($E71&lt;&gt;"",OR($C71="Ready to Develop",$C71="7 PI Started",$C71="6 Epic Backlog",$C71="Done")),IFERROR(VLOOKUP($A71,INDIRECT("'"&amp;$T71&amp;"'"&amp;VLOOKUP($T71,Config!$B$4:$P$11,2)),VLOOKUP($T71,Config!$B$4:$P$11,13),FALSE),"-"),"-")</f>
        <v>15</v>
      </c>
      <c r="Z71" s="1">
        <f ca="1">IF(AND($E71&lt;&gt;"",OR($C71="Ready to Develop",$C71="7 PI Started",$C71="6 Epic Backlog",$C71="Done")),IFERROR(VLOOKUP($A71,INDIRECT("'"&amp;$T71&amp;"'"&amp;VLOOKUP($T71,Config!$B$4:$P$11,2)),VLOOKUP($T71,Config!$B$4:$P$11,15),FALSE),"-"),"-")</f>
        <v>29</v>
      </c>
    </row>
    <row r="72" spans="1:26" x14ac:dyDescent="0.2">
      <c r="A72" s="405" t="s">
        <v>299</v>
      </c>
      <c r="B72" t="s">
        <v>454</v>
      </c>
      <c r="C72" t="s">
        <v>507</v>
      </c>
      <c r="D72" t="s">
        <v>387</v>
      </c>
      <c r="E72" s="404" t="s">
        <v>368</v>
      </c>
      <c r="F72" s="19">
        <v>45565</v>
      </c>
      <c r="G72" s="19">
        <v>45590</v>
      </c>
      <c r="H72" s="19"/>
      <c r="I72" s="19">
        <v>45590</v>
      </c>
      <c r="J72" s="19"/>
      <c r="K72" s="19" t="str">
        <f t="shared" si="9"/>
        <v>Not Started</v>
      </c>
      <c r="L72" s="1" t="str">
        <f t="shared" si="10"/>
        <v>-</v>
      </c>
      <c r="M72" s="19" t="str">
        <f t="shared" ca="1" si="11"/>
        <v>Not Started</v>
      </c>
      <c r="N72" s="1">
        <f t="shared" ca="1" si="12"/>
        <v>0</v>
      </c>
      <c r="O72" s="1" t="str">
        <f t="shared" ca="1" si="13"/>
        <v>Not Started</v>
      </c>
      <c r="P72" s="1" t="str">
        <f t="shared" ca="1" si="14"/>
        <v>-</v>
      </c>
      <c r="Q72" s="1" t="str">
        <f t="shared" ca="1" si="15"/>
        <v>-</v>
      </c>
      <c r="R72" s="1">
        <f t="shared" ca="1" si="16"/>
        <v>19</v>
      </c>
      <c r="S72" s="1" t="s">
        <v>368</v>
      </c>
      <c r="T72" s="7" t="str">
        <f t="shared" si="17"/>
        <v>Q4-C1</v>
      </c>
      <c r="U72" s="1">
        <f ca="1">IF(AND($E72&lt;&gt;"",OR($C72="Ready to Develop",$C72="7 PI Started",$C72="6 Epic Backlog",$C72="Done")),IFERROR(VLOOKUP($A72,INDIRECT("'"&amp;$T72&amp;"'"&amp;VLOOKUP($T72,Config!$B$4:$L$11,2)),VLOOKUP($T72,Config!$B$4:$L$11,5),FALSE),"-"),"-")</f>
        <v>18</v>
      </c>
      <c r="V72" s="1" t="str">
        <f ca="1">IF($C72="Done",IFERROR(VLOOKUP($A72,INDIRECT("'"&amp;$T72&amp;"'"&amp;VLOOKUP($T72,Config!$B$4:$L$11,2)),VLOOKUP($T72,Config!$B$4:$L$11,7),FALSE),"-"),"-")</f>
        <v>-</v>
      </c>
      <c r="W72" s="1">
        <f ca="1">IF(AND($E72&lt;&gt;"",OR($C72="Ready to Develop",$C72="7 PI Started",$C72="6 Epic Backlog",$C72="Done")),IFERROR(VLOOKUP($A72,INDIRECT("'"&amp;$T72&amp;"'"&amp;VLOOKUP($T72,Config!$B$4:$L$11,2)),VLOOKUP($T72,Config!$B$4:$L$11,9),FALSE),"-"),"-")</f>
        <v>1</v>
      </c>
      <c r="X72" s="1" t="str">
        <f ca="1">IF($C72="Done",IFERROR(VLOOKUP($A72,INDIRECT("'"&amp;$T72&amp;"'"&amp;VLOOKUP($T72,Config!$B$4:$L$11,2)),VLOOKUP($T72,Config!$B$4:$L$11,11),FALSE),"-"),"-")</f>
        <v>-</v>
      </c>
      <c r="Y72" s="1">
        <f ca="1">IF(AND($E72&lt;&gt;"",OR($C72="Ready to Develop",$C72="7 PI Started",$C72="6 Epic Backlog",$C72="Done")),IFERROR(VLOOKUP($A72,INDIRECT("'"&amp;$T72&amp;"'"&amp;VLOOKUP($T72,Config!$B$4:$P$11,2)),VLOOKUP($T72,Config!$B$4:$P$11,13),FALSE),"-"),"-")</f>
        <v>10</v>
      </c>
      <c r="Z72" s="1">
        <f ca="1">IF(AND($E72&lt;&gt;"",OR($C72="Ready to Develop",$C72="7 PI Started",$C72="6 Epic Backlog",$C72="Done")),IFERROR(VLOOKUP($A72,INDIRECT("'"&amp;$T72&amp;"'"&amp;VLOOKUP($T72,Config!$B$4:$P$11,2)),VLOOKUP($T72,Config!$B$4:$P$11,15),FALSE),"-"),"-")</f>
        <v>17</v>
      </c>
    </row>
    <row r="73" spans="1:26" x14ac:dyDescent="0.2">
      <c r="A73" s="405" t="s">
        <v>313</v>
      </c>
      <c r="B73" t="s">
        <v>456</v>
      </c>
      <c r="C73" t="s">
        <v>436</v>
      </c>
      <c r="D73" t="s">
        <v>206</v>
      </c>
      <c r="E73" s="404" t="s">
        <v>368</v>
      </c>
      <c r="F73" s="19">
        <v>45565</v>
      </c>
      <c r="G73" s="19">
        <v>45604</v>
      </c>
      <c r="H73" s="19">
        <v>45565</v>
      </c>
      <c r="I73" s="19">
        <v>45604</v>
      </c>
      <c r="J73" s="19"/>
      <c r="K73" s="19" t="str">
        <f t="shared" si="9"/>
        <v>On Time</v>
      </c>
      <c r="L73" s="1">
        <f t="shared" si="10"/>
        <v>0</v>
      </c>
      <c r="M73" s="19" t="str">
        <f t="shared" ca="1" si="11"/>
        <v>On Track</v>
      </c>
      <c r="N73" s="1">
        <f t="shared" ca="1" si="12"/>
        <v>0</v>
      </c>
      <c r="O73" s="1" t="str">
        <f t="shared" ca="1" si="13"/>
        <v>On Track</v>
      </c>
      <c r="P73" s="1" t="str">
        <f t="shared" ca="1" si="14"/>
        <v>-</v>
      </c>
      <c r="Q73" s="1">
        <f t="shared" ca="1" si="15"/>
        <v>2</v>
      </c>
      <c r="R73" s="1">
        <f t="shared" ca="1" si="16"/>
        <v>29</v>
      </c>
      <c r="S73" s="1" t="s">
        <v>368</v>
      </c>
      <c r="T73" s="7" t="str">
        <f t="shared" si="17"/>
        <v>Q4-C1</v>
      </c>
      <c r="U73" s="1">
        <f ca="1">IF(AND($E73&lt;&gt;"",OR($C73="Ready to Develop",$C73="7 PI Started",$C73="6 Epic Backlog",$C73="Done")),IFERROR(VLOOKUP($A73,INDIRECT("'"&amp;$T73&amp;"'"&amp;VLOOKUP($T73,Config!$B$4:$L$11,2)),VLOOKUP($T73,Config!$B$4:$L$11,5),FALSE),"-"),"-")</f>
        <v>30</v>
      </c>
      <c r="V73" s="1" t="str">
        <f ca="1">IF($C73="Done",IFERROR(VLOOKUP($A73,INDIRECT("'"&amp;$T73&amp;"'"&amp;VLOOKUP($T73,Config!$B$4:$L$11,2)),VLOOKUP($T73,Config!$B$4:$L$11,7),FALSE),"-"),"-")</f>
        <v>-</v>
      </c>
      <c r="W73" s="1">
        <f ca="1">IF(AND($E73&lt;&gt;"",OR($C73="Ready to Develop",$C73="7 PI Started",$C73="6 Epic Backlog",$C73="Done")),IFERROR(VLOOKUP($A73,INDIRECT("'"&amp;$T73&amp;"'"&amp;VLOOKUP($T73,Config!$B$4:$L$11,2)),VLOOKUP($T73,Config!$B$4:$L$11,9),FALSE),"-"),"-")</f>
        <v>1</v>
      </c>
      <c r="X73" s="1" t="str">
        <f ca="1">IF($C73="Done",IFERROR(VLOOKUP($A73,INDIRECT("'"&amp;$T73&amp;"'"&amp;VLOOKUP($T73,Config!$B$4:$L$11,2)),VLOOKUP($T73,Config!$B$4:$L$11,11),FALSE),"-"),"-")</f>
        <v>-</v>
      </c>
      <c r="Y73" s="1">
        <f ca="1">IF(AND($E73&lt;&gt;"",OR($C73="Ready to Develop",$C73="7 PI Started",$C73="6 Epic Backlog",$C73="Done")),IFERROR(VLOOKUP($A73,INDIRECT("'"&amp;$T73&amp;"'"&amp;VLOOKUP($T73,Config!$B$4:$P$11,2)),VLOOKUP($T73,Config!$B$4:$P$11,13),FALSE),"-"),"-")</f>
        <v>24</v>
      </c>
      <c r="Z73" s="1">
        <f ca="1">IF(AND($E73&lt;&gt;"",OR($C73="Ready to Develop",$C73="7 PI Started",$C73="6 Epic Backlog",$C73="Done")),IFERROR(VLOOKUP($A73,INDIRECT("'"&amp;$T73&amp;"'"&amp;VLOOKUP($T73,Config!$B$4:$P$11,2)),VLOOKUP($T73,Config!$B$4:$P$11,15),FALSE),"-"),"-")</f>
        <v>37</v>
      </c>
    </row>
    <row r="74" spans="1:26" x14ac:dyDescent="0.2">
      <c r="A74" s="405" t="s">
        <v>320</v>
      </c>
      <c r="B74" t="s">
        <v>460</v>
      </c>
      <c r="C74" t="s">
        <v>436</v>
      </c>
      <c r="D74" t="s">
        <v>387</v>
      </c>
      <c r="E74" s="404" t="s">
        <v>368</v>
      </c>
      <c r="F74" s="19">
        <v>45565</v>
      </c>
      <c r="G74" s="19">
        <v>45604</v>
      </c>
      <c r="H74" s="19">
        <v>45565</v>
      </c>
      <c r="I74" s="19">
        <v>45604</v>
      </c>
      <c r="J74" s="19"/>
      <c r="K74" s="19" t="str">
        <f t="shared" si="9"/>
        <v>On Time</v>
      </c>
      <c r="L74" s="1">
        <f t="shared" si="10"/>
        <v>0</v>
      </c>
      <c r="M74" s="19" t="str">
        <f t="shared" ca="1" si="11"/>
        <v>On Track</v>
      </c>
      <c r="N74" s="1">
        <f t="shared" ca="1" si="12"/>
        <v>0</v>
      </c>
      <c r="O74" s="1" t="str">
        <f t="shared" ca="1" si="13"/>
        <v>On Track</v>
      </c>
      <c r="P74" s="1" t="str">
        <f t="shared" ca="1" si="14"/>
        <v>-</v>
      </c>
      <c r="Q74" s="1">
        <f t="shared" ca="1" si="15"/>
        <v>2</v>
      </c>
      <c r="R74" s="1">
        <f t="shared" ca="1" si="16"/>
        <v>29</v>
      </c>
      <c r="S74" s="1" t="s">
        <v>368</v>
      </c>
      <c r="T74" s="7" t="str">
        <f t="shared" si="17"/>
        <v>Q4-C1</v>
      </c>
      <c r="U74" s="1">
        <f ca="1">IF(AND($E74&lt;&gt;"",OR($C74="Ready to Develop",$C74="7 PI Started",$C74="6 Epic Backlog",$C74="Done")),IFERROR(VLOOKUP($A74,INDIRECT("'"&amp;$T74&amp;"'"&amp;VLOOKUP($T74,Config!$B$4:$L$11,2)),VLOOKUP($T74,Config!$B$4:$L$11,5),FALSE),"-"),"-")</f>
        <v>17</v>
      </c>
      <c r="V74" s="1" t="str">
        <f ca="1">IF($C74="Done",IFERROR(VLOOKUP($A74,INDIRECT("'"&amp;$T74&amp;"'"&amp;VLOOKUP($T74,Config!$B$4:$L$11,2)),VLOOKUP($T74,Config!$B$4:$L$11,7),FALSE),"-"),"-")</f>
        <v>-</v>
      </c>
      <c r="W74" s="1">
        <f ca="1">IF(AND($E74&lt;&gt;"",OR($C74="Ready to Develop",$C74="7 PI Started",$C74="6 Epic Backlog",$C74="Done")),IFERROR(VLOOKUP($A74,INDIRECT("'"&amp;$T74&amp;"'"&amp;VLOOKUP($T74,Config!$B$4:$L$11,2)),VLOOKUP($T74,Config!$B$4:$L$11,9),FALSE),"-"),"-")</f>
        <v>1</v>
      </c>
      <c r="X74" s="1" t="str">
        <f ca="1">IF($C74="Done",IFERROR(VLOOKUP($A74,INDIRECT("'"&amp;$T74&amp;"'"&amp;VLOOKUP($T74,Config!$B$4:$L$11,2)),VLOOKUP($T74,Config!$B$4:$L$11,11),FALSE),"-"),"-")</f>
        <v>-</v>
      </c>
      <c r="Y74" s="1">
        <f ca="1">IF(AND($E74&lt;&gt;"",OR($C74="Ready to Develop",$C74="7 PI Started",$C74="6 Epic Backlog",$C74="Done")),IFERROR(VLOOKUP($A74,INDIRECT("'"&amp;$T74&amp;"'"&amp;VLOOKUP($T74,Config!$B$4:$P$11,2)),VLOOKUP($T74,Config!$B$4:$P$11,13),FALSE),"-"),"-")</f>
        <v>11</v>
      </c>
      <c r="Z74" s="1">
        <f ca="1">IF(AND($E74&lt;&gt;"",OR($C74="Ready to Develop",$C74="7 PI Started",$C74="6 Epic Backlog",$C74="Done")),IFERROR(VLOOKUP($A74,INDIRECT("'"&amp;$T74&amp;"'"&amp;VLOOKUP($T74,Config!$B$4:$P$11,2)),VLOOKUP($T74,Config!$B$4:$P$11,15),FALSE),"-"),"-")</f>
        <v>18</v>
      </c>
    </row>
    <row r="75" spans="1:26" x14ac:dyDescent="0.2">
      <c r="A75" s="405" t="s">
        <v>324</v>
      </c>
      <c r="B75" t="s">
        <v>459</v>
      </c>
      <c r="C75" t="s">
        <v>507</v>
      </c>
      <c r="D75" t="s">
        <v>400</v>
      </c>
      <c r="E75" s="404" t="s">
        <v>368</v>
      </c>
      <c r="F75" s="19">
        <v>45586</v>
      </c>
      <c r="G75" s="19">
        <v>45595</v>
      </c>
      <c r="H75" s="19"/>
      <c r="I75" s="19">
        <v>45595</v>
      </c>
      <c r="J75" s="19"/>
      <c r="K75" s="19" t="str">
        <f t="shared" si="9"/>
        <v>Not Started</v>
      </c>
      <c r="L75" s="1" t="str">
        <f t="shared" si="10"/>
        <v>-</v>
      </c>
      <c r="M75" s="19" t="str">
        <f t="shared" ca="1" si="11"/>
        <v>Not Started</v>
      </c>
      <c r="N75" s="1">
        <f t="shared" ca="1" si="12"/>
        <v>0</v>
      </c>
      <c r="O75" s="1" t="str">
        <f t="shared" ca="1" si="13"/>
        <v>Not Started</v>
      </c>
      <c r="P75" s="1" t="str">
        <f t="shared" ca="1" si="14"/>
        <v>-</v>
      </c>
      <c r="Q75" s="1" t="str">
        <f t="shared" ca="1" si="15"/>
        <v>-</v>
      </c>
      <c r="R75" s="1">
        <f t="shared" ca="1" si="16"/>
        <v>22</v>
      </c>
      <c r="S75" s="1" t="s">
        <v>368</v>
      </c>
      <c r="T75" s="7" t="str">
        <f t="shared" si="17"/>
        <v>Q4-C1</v>
      </c>
      <c r="U75" s="1">
        <f ca="1">IF(AND($E75&lt;&gt;"",OR($C75="Ready to Develop",$C75="7 PI Started",$C75="6 Epic Backlog",$C75="Done")),IFERROR(VLOOKUP($A75,INDIRECT("'"&amp;$T75&amp;"'"&amp;VLOOKUP($T75,Config!$B$4:$L$11,2)),VLOOKUP($T75,Config!$B$4:$L$11,5),FALSE),"-"),"-")</f>
        <v>8</v>
      </c>
      <c r="V75" s="1" t="str">
        <f ca="1">IF($C75="Done",IFERROR(VLOOKUP($A75,INDIRECT("'"&amp;$T75&amp;"'"&amp;VLOOKUP($T75,Config!$B$4:$L$11,2)),VLOOKUP($T75,Config!$B$4:$L$11,7),FALSE),"-"),"-")</f>
        <v>-</v>
      </c>
      <c r="W75" s="1">
        <f ca="1">IF(AND($E75&lt;&gt;"",OR($C75="Ready to Develop",$C75="7 PI Started",$C75="6 Epic Backlog",$C75="Done")),IFERROR(VLOOKUP($A75,INDIRECT("'"&amp;$T75&amp;"'"&amp;VLOOKUP($T75,Config!$B$4:$L$11,2)),VLOOKUP($T75,Config!$B$4:$L$11,9),FALSE),"-"),"-")</f>
        <v>1</v>
      </c>
      <c r="X75" s="1" t="str">
        <f ca="1">IF($C75="Done",IFERROR(VLOOKUP($A75,INDIRECT("'"&amp;$T75&amp;"'"&amp;VLOOKUP($T75,Config!$B$4:$L$11,2)),VLOOKUP($T75,Config!$B$4:$L$11,11),FALSE),"-"),"-")</f>
        <v>-</v>
      </c>
      <c r="Y75" s="1">
        <f ca="1">IF(AND($E75&lt;&gt;"",OR($C75="Ready to Develop",$C75="7 PI Started",$C75="6 Epic Backlog",$C75="Done")),IFERROR(VLOOKUP($A75,INDIRECT("'"&amp;$T75&amp;"'"&amp;VLOOKUP($T75,Config!$B$4:$P$11,2)),VLOOKUP($T75,Config!$B$4:$P$11,13),FALSE),"-"),"-")</f>
        <v>4</v>
      </c>
      <c r="Z75" s="1">
        <f ca="1">IF(AND($E75&lt;&gt;"",OR($C75="Ready to Develop",$C75="7 PI Started",$C75="6 Epic Backlog",$C75="Done")),IFERROR(VLOOKUP($A75,INDIRECT("'"&amp;$T75&amp;"'"&amp;VLOOKUP($T75,Config!$B$4:$P$11,2)),VLOOKUP($T75,Config!$B$4:$P$11,15),FALSE),"-"),"-")</f>
        <v>6</v>
      </c>
    </row>
    <row r="76" spans="1:26" x14ac:dyDescent="0.2">
      <c r="A76" s="405" t="s">
        <v>317</v>
      </c>
      <c r="B76" t="s">
        <v>455</v>
      </c>
      <c r="C76" t="s">
        <v>507</v>
      </c>
      <c r="D76" t="s">
        <v>206</v>
      </c>
      <c r="E76" s="404" t="s">
        <v>368</v>
      </c>
      <c r="F76" s="19">
        <v>45588</v>
      </c>
      <c r="G76" s="19">
        <v>45604</v>
      </c>
      <c r="H76" s="19"/>
      <c r="I76" s="19">
        <v>45604</v>
      </c>
      <c r="J76" s="19"/>
      <c r="K76" s="19" t="str">
        <f t="shared" si="9"/>
        <v>Not Started</v>
      </c>
      <c r="L76" s="1" t="str">
        <f t="shared" si="10"/>
        <v>-</v>
      </c>
      <c r="M76" s="19" t="str">
        <f t="shared" ca="1" si="11"/>
        <v>Not Started</v>
      </c>
      <c r="N76" s="1">
        <f t="shared" ca="1" si="12"/>
        <v>0</v>
      </c>
      <c r="O76" s="1" t="str">
        <f t="shared" ca="1" si="13"/>
        <v>Not Started</v>
      </c>
      <c r="P76" s="1" t="str">
        <f t="shared" ca="1" si="14"/>
        <v>-</v>
      </c>
      <c r="Q76" s="1" t="str">
        <f t="shared" ca="1" si="15"/>
        <v>-</v>
      </c>
      <c r="R76" s="1">
        <f t="shared" ca="1" si="16"/>
        <v>29</v>
      </c>
      <c r="S76" s="1" t="s">
        <v>368</v>
      </c>
      <c r="T76" s="7" t="str">
        <f t="shared" si="17"/>
        <v>Q4-C1</v>
      </c>
      <c r="U76" s="1">
        <f ca="1">IF(AND($E76&lt;&gt;"",OR($C76="Ready to Develop",$C76="7 PI Started",$C76="6 Epic Backlog",$C76="Done")),IFERROR(VLOOKUP($A76,INDIRECT("'"&amp;$T76&amp;"'"&amp;VLOOKUP($T76,Config!$B$4:$L$11,2)),VLOOKUP($T76,Config!$B$4:$L$11,5),FALSE),"-"),"-")</f>
        <v>10</v>
      </c>
      <c r="V76" s="1" t="str">
        <f ca="1">IF($C76="Done",IFERROR(VLOOKUP($A76,INDIRECT("'"&amp;$T76&amp;"'"&amp;VLOOKUP($T76,Config!$B$4:$L$11,2)),VLOOKUP($T76,Config!$B$4:$L$11,7),FALSE),"-"),"-")</f>
        <v>-</v>
      </c>
      <c r="W76" s="1">
        <f ca="1">IF(AND($E76&lt;&gt;"",OR($C76="Ready to Develop",$C76="7 PI Started",$C76="6 Epic Backlog",$C76="Done")),IFERROR(VLOOKUP($A76,INDIRECT("'"&amp;$T76&amp;"'"&amp;VLOOKUP($T76,Config!$B$4:$L$11,2)),VLOOKUP($T76,Config!$B$4:$L$11,9),FALSE),"-"),"-")</f>
        <v>1</v>
      </c>
      <c r="X76" s="1" t="str">
        <f ca="1">IF($C76="Done",IFERROR(VLOOKUP($A76,INDIRECT("'"&amp;$T76&amp;"'"&amp;VLOOKUP($T76,Config!$B$4:$L$11,2)),VLOOKUP($T76,Config!$B$4:$L$11,11),FALSE),"-"),"-")</f>
        <v>-</v>
      </c>
      <c r="Y76" s="1">
        <f ca="1">IF(AND($E76&lt;&gt;"",OR($C76="Ready to Develop",$C76="7 PI Started",$C76="6 Epic Backlog",$C76="Done")),IFERROR(VLOOKUP($A76,INDIRECT("'"&amp;$T76&amp;"'"&amp;VLOOKUP($T76,Config!$B$4:$P$11,2)),VLOOKUP($T76,Config!$B$4:$P$11,13),FALSE),"-"),"-")</f>
        <v>3.5</v>
      </c>
      <c r="Z76" s="1">
        <f ca="1">IF(AND($E76&lt;&gt;"",OR($C76="Ready to Develop",$C76="7 PI Started",$C76="6 Epic Backlog",$C76="Done")),IFERROR(VLOOKUP($A76,INDIRECT("'"&amp;$T76&amp;"'"&amp;VLOOKUP($T76,Config!$B$4:$P$11,2)),VLOOKUP($T76,Config!$B$4:$P$11,15),FALSE),"-"),"-")</f>
        <v>6</v>
      </c>
    </row>
    <row r="77" spans="1:26" x14ac:dyDescent="0.2">
      <c r="A77" s="405" t="s">
        <v>310</v>
      </c>
      <c r="B77" t="s">
        <v>447</v>
      </c>
      <c r="C77" t="s">
        <v>507</v>
      </c>
      <c r="D77" t="s">
        <v>449</v>
      </c>
      <c r="E77" s="404" t="s">
        <v>368</v>
      </c>
      <c r="F77" s="19">
        <v>45593</v>
      </c>
      <c r="G77" s="19">
        <v>45604</v>
      </c>
      <c r="H77" s="19"/>
      <c r="I77" s="19">
        <v>45604</v>
      </c>
      <c r="J77" s="19"/>
      <c r="K77" s="19" t="str">
        <f t="shared" si="9"/>
        <v>Not Started</v>
      </c>
      <c r="L77" s="1" t="str">
        <f t="shared" si="10"/>
        <v>-</v>
      </c>
      <c r="M77" s="19" t="str">
        <f t="shared" ca="1" si="11"/>
        <v>Not Started</v>
      </c>
      <c r="N77" s="1">
        <f t="shared" ca="1" si="12"/>
        <v>0</v>
      </c>
      <c r="O77" s="1" t="str">
        <f t="shared" ca="1" si="13"/>
        <v>Not Started</v>
      </c>
      <c r="P77" s="1" t="str">
        <f t="shared" ca="1" si="14"/>
        <v>-</v>
      </c>
      <c r="Q77" s="1" t="str">
        <f t="shared" ca="1" si="15"/>
        <v>-</v>
      </c>
      <c r="R77" s="1">
        <f t="shared" ca="1" si="16"/>
        <v>29</v>
      </c>
      <c r="S77" s="1" t="s">
        <v>368</v>
      </c>
      <c r="T77" s="7" t="str">
        <f t="shared" si="17"/>
        <v>Q4-C1</v>
      </c>
      <c r="U77" s="1">
        <f ca="1">IF(AND($E77&lt;&gt;"",OR($C77="Ready to Develop",$C77="7 PI Started",$C77="6 Epic Backlog",$C77="Done")),IFERROR(VLOOKUP($A77,INDIRECT("'"&amp;$T77&amp;"'"&amp;VLOOKUP($T77,Config!$B$4:$L$11,2)),VLOOKUP($T77,Config!$B$4:$L$11,5),FALSE),"-"),"-")</f>
        <v>14</v>
      </c>
      <c r="V77" s="1" t="str">
        <f ca="1">IF($C77="Done",IFERROR(VLOOKUP($A77,INDIRECT("'"&amp;$T77&amp;"'"&amp;VLOOKUP($T77,Config!$B$4:$L$11,2)),VLOOKUP($T77,Config!$B$4:$L$11,7),FALSE),"-"),"-")</f>
        <v>-</v>
      </c>
      <c r="W77" s="1">
        <f ca="1">IF(AND($E77&lt;&gt;"",OR($C77="Ready to Develop",$C77="7 PI Started",$C77="6 Epic Backlog",$C77="Done")),IFERROR(VLOOKUP($A77,INDIRECT("'"&amp;$T77&amp;"'"&amp;VLOOKUP($T77,Config!$B$4:$L$11,2)),VLOOKUP($T77,Config!$B$4:$L$11,9),FALSE),"-"),"-")</f>
        <v>2</v>
      </c>
      <c r="X77" s="1" t="str">
        <f ca="1">IF($C77="Done",IFERROR(VLOOKUP($A77,INDIRECT("'"&amp;$T77&amp;"'"&amp;VLOOKUP($T77,Config!$B$4:$L$11,2)),VLOOKUP($T77,Config!$B$4:$L$11,11),FALSE),"-"),"-")</f>
        <v>-</v>
      </c>
      <c r="Y77" s="1">
        <f ca="1">IF(AND($E77&lt;&gt;"",OR($C77="Ready to Develop",$C77="7 PI Started",$C77="6 Epic Backlog",$C77="Done")),IFERROR(VLOOKUP($A77,INDIRECT("'"&amp;$T77&amp;"'"&amp;VLOOKUP($T77,Config!$B$4:$P$11,2)),VLOOKUP($T77,Config!$B$4:$P$11,13),FALSE),"-"),"-")</f>
        <v>7</v>
      </c>
      <c r="Z77" s="1">
        <f ca="1">IF(AND($E77&lt;&gt;"",OR($C77="Ready to Develop",$C77="7 PI Started",$C77="6 Epic Backlog",$C77="Done")),IFERROR(VLOOKUP($A77,INDIRECT("'"&amp;$T77&amp;"'"&amp;VLOOKUP($T77,Config!$B$4:$P$11,2)),VLOOKUP($T77,Config!$B$4:$P$11,15),FALSE),"-"),"-")</f>
        <v>11</v>
      </c>
    </row>
    <row r="78" spans="1:26" x14ac:dyDescent="0.2">
      <c r="A78" s="405" t="s">
        <v>328</v>
      </c>
      <c r="B78" t="s">
        <v>457</v>
      </c>
      <c r="C78" t="s">
        <v>507</v>
      </c>
      <c r="D78" t="s">
        <v>400</v>
      </c>
      <c r="E78" s="404" t="s">
        <v>368</v>
      </c>
      <c r="F78" s="19">
        <v>45596</v>
      </c>
      <c r="G78" s="19">
        <v>45604</v>
      </c>
      <c r="H78" s="19"/>
      <c r="I78" s="19">
        <v>45604</v>
      </c>
      <c r="J78" s="19"/>
      <c r="K78" s="19" t="str">
        <f t="shared" si="9"/>
        <v>Not Started</v>
      </c>
      <c r="L78" s="1" t="str">
        <f t="shared" si="10"/>
        <v>-</v>
      </c>
      <c r="M78" s="19" t="str">
        <f t="shared" ca="1" si="11"/>
        <v>Not Started</v>
      </c>
      <c r="N78" s="1">
        <f t="shared" ca="1" si="12"/>
        <v>0</v>
      </c>
      <c r="O78" s="1" t="str">
        <f t="shared" ca="1" si="13"/>
        <v>Not Started</v>
      </c>
      <c r="P78" s="1" t="str">
        <f t="shared" ca="1" si="14"/>
        <v>-</v>
      </c>
      <c r="Q78" s="1" t="str">
        <f t="shared" ca="1" si="15"/>
        <v>-</v>
      </c>
      <c r="R78" s="1">
        <f t="shared" ca="1" si="16"/>
        <v>29</v>
      </c>
      <c r="S78" s="1" t="s">
        <v>368</v>
      </c>
      <c r="T78" s="7" t="str">
        <f t="shared" si="17"/>
        <v>Q4-C1</v>
      </c>
      <c r="U78" s="1">
        <f ca="1">IF(AND($E78&lt;&gt;"",OR($C78="Ready to Develop",$C78="7 PI Started",$C78="6 Epic Backlog",$C78="Done")),IFERROR(VLOOKUP($A78,INDIRECT("'"&amp;$T78&amp;"'"&amp;VLOOKUP($T78,Config!$B$4:$L$11,2)),VLOOKUP($T78,Config!$B$4:$L$11,5),FALSE),"-"),"-")</f>
        <v>7</v>
      </c>
      <c r="V78" s="1" t="str">
        <f ca="1">IF($C78="Done",IFERROR(VLOOKUP($A78,INDIRECT("'"&amp;$T78&amp;"'"&amp;VLOOKUP($T78,Config!$B$4:$L$11,2)),VLOOKUP($T78,Config!$B$4:$L$11,7),FALSE),"-"),"-")</f>
        <v>-</v>
      </c>
      <c r="W78" s="1">
        <f ca="1">IF(AND($E78&lt;&gt;"",OR($C78="Ready to Develop",$C78="7 PI Started",$C78="6 Epic Backlog",$C78="Done")),IFERROR(VLOOKUP($A78,INDIRECT("'"&amp;$T78&amp;"'"&amp;VLOOKUP($T78,Config!$B$4:$L$11,2)),VLOOKUP($T78,Config!$B$4:$L$11,9),FALSE),"-"),"-")</f>
        <v>1</v>
      </c>
      <c r="X78" s="1" t="str">
        <f ca="1">IF($C78="Done",IFERROR(VLOOKUP($A78,INDIRECT("'"&amp;$T78&amp;"'"&amp;VLOOKUP($T78,Config!$B$4:$L$11,2)),VLOOKUP($T78,Config!$B$4:$L$11,11),FALSE),"-"),"-")</f>
        <v>-</v>
      </c>
      <c r="Y78" s="1">
        <f ca="1">IF(AND($E78&lt;&gt;"",OR($C78="Ready to Develop",$C78="7 PI Started",$C78="6 Epic Backlog",$C78="Done")),IFERROR(VLOOKUP($A78,INDIRECT("'"&amp;$T78&amp;"'"&amp;VLOOKUP($T78,Config!$B$4:$P$11,2)),VLOOKUP($T78,Config!$B$4:$P$11,13),FALSE),"-"),"-")</f>
        <v>3</v>
      </c>
      <c r="Z78" s="1">
        <f ca="1">IF(AND($E78&lt;&gt;"",OR($C78="Ready to Develop",$C78="7 PI Started",$C78="6 Epic Backlog",$C78="Done")),IFERROR(VLOOKUP($A78,INDIRECT("'"&amp;$T78&amp;"'"&amp;VLOOKUP($T78,Config!$B$4:$P$11,2)),VLOOKUP($T78,Config!$B$4:$P$11,15),FALSE),"-"),"-")</f>
        <v>6</v>
      </c>
    </row>
    <row r="79" spans="1:26" x14ac:dyDescent="0.2">
      <c r="A79" s="405" t="s">
        <v>462</v>
      </c>
      <c r="B79" t="s">
        <v>463</v>
      </c>
      <c r="C79" t="s">
        <v>448</v>
      </c>
      <c r="D79" t="s">
        <v>141</v>
      </c>
      <c r="E79" s="404" t="s">
        <v>369</v>
      </c>
      <c r="F79" s="19"/>
      <c r="G79" s="19"/>
      <c r="H79" s="19"/>
      <c r="I79" s="19"/>
      <c r="J79" s="19"/>
      <c r="K79" s="19" t="str">
        <f t="shared" si="9"/>
        <v>-</v>
      </c>
      <c r="L79" s="1" t="str">
        <f t="shared" si="10"/>
        <v>-</v>
      </c>
      <c r="M79" s="19" t="str">
        <f t="shared" ca="1" si="11"/>
        <v>-</v>
      </c>
      <c r="N79" s="1" t="str">
        <f t="shared" ca="1" si="12"/>
        <v>-</v>
      </c>
      <c r="O79" s="1" t="str">
        <f t="shared" ca="1" si="13"/>
        <v>-</v>
      </c>
      <c r="P79" s="1" t="str">
        <f t="shared" ca="1" si="14"/>
        <v>-</v>
      </c>
      <c r="Q79" s="1" t="str">
        <f t="shared" ca="1" si="15"/>
        <v>-</v>
      </c>
      <c r="R79" s="1" t="str">
        <f t="shared" ca="1" si="16"/>
        <v>-</v>
      </c>
      <c r="S79" s="1" t="s">
        <v>369</v>
      </c>
      <c r="T79" s="7" t="str">
        <f t="shared" si="17"/>
        <v>Q4-C2</v>
      </c>
      <c r="U79" s="1" t="str">
        <f ca="1">IF(AND($E79&lt;&gt;"",OR($C79="Ready to Develop",$C79="7 PI Started",$C79="6 Epic Backlog",$C79="Done")),IFERROR(VLOOKUP($A79,INDIRECT("'"&amp;$T79&amp;"'"&amp;VLOOKUP($T79,Config!$B$4:$L$11,2)),VLOOKUP($T79,Config!$B$4:$L$11,5),FALSE),"-"),"-")</f>
        <v>-</v>
      </c>
      <c r="V79" s="1" t="str">
        <f ca="1">IF($C79="Done",IFERROR(VLOOKUP($A79,INDIRECT("'"&amp;$T79&amp;"'"&amp;VLOOKUP($T79,Config!$B$4:$L$11,2)),VLOOKUP($T79,Config!$B$4:$L$11,7),FALSE),"-"),"-")</f>
        <v>-</v>
      </c>
      <c r="W79" s="1" t="str">
        <f ca="1">IF(AND($E79&lt;&gt;"",OR($C79="Ready to Develop",$C79="7 PI Started",$C79="6 Epic Backlog",$C79="Done")),IFERROR(VLOOKUP($A79,INDIRECT("'"&amp;$T79&amp;"'"&amp;VLOOKUP($T79,Config!$B$4:$L$11,2)),VLOOKUP($T79,Config!$B$4:$L$11,9),FALSE),"-"),"-")</f>
        <v>-</v>
      </c>
      <c r="X79" s="1" t="str">
        <f ca="1">IF($C79="Done",IFERROR(VLOOKUP($A79,INDIRECT("'"&amp;$T79&amp;"'"&amp;VLOOKUP($T79,Config!$B$4:$L$11,2)),VLOOKUP($T79,Config!$B$4:$L$11,11),FALSE),"-"),"-")</f>
        <v>-</v>
      </c>
      <c r="Y79" s="1" t="str">
        <f ca="1">IF(AND($E79&lt;&gt;"",OR($C79="Ready to Develop",$C79="7 PI Started",$C79="6 Epic Backlog",$C79="Done")),IFERROR(VLOOKUP($A79,INDIRECT("'"&amp;$T79&amp;"'"&amp;VLOOKUP($T79,Config!$B$4:$P$11,2)),VLOOKUP($T79,Config!$B$4:$P$11,13),FALSE),"-"),"-")</f>
        <v>-</v>
      </c>
      <c r="Z79" s="1" t="str">
        <f ca="1">IF(AND($E79&lt;&gt;"",OR($C79="Ready to Develop",$C79="7 PI Started",$C79="6 Epic Backlog",$C79="Done")),IFERROR(VLOOKUP($A79,INDIRECT("'"&amp;$T79&amp;"'"&amp;VLOOKUP($T79,Config!$B$4:$P$11,2)),VLOOKUP($T79,Config!$B$4:$P$11,15),FALSE),"-"),"-")</f>
        <v>-</v>
      </c>
    </row>
    <row r="80" spans="1:26" x14ac:dyDescent="0.2">
      <c r="A80" s="405" t="s">
        <v>464</v>
      </c>
      <c r="B80" t="s">
        <v>465</v>
      </c>
      <c r="C80" t="s">
        <v>1</v>
      </c>
      <c r="D80" t="s">
        <v>206</v>
      </c>
      <c r="E80" s="404" t="s">
        <v>369</v>
      </c>
      <c r="F80" s="19"/>
      <c r="G80" s="19"/>
      <c r="H80" s="19"/>
      <c r="I80" s="19"/>
      <c r="J80" s="19">
        <v>45558</v>
      </c>
      <c r="K80" s="19" t="str">
        <f t="shared" ref="K80:K109" si="18">IF(AND(F80&lt;&gt;"", H80=""), "Not Started", IF(OR(H80="", F80=""), "-", IF(H80&lt;=F80, "On Time", "Delayed")))</f>
        <v>-</v>
      </c>
      <c r="L80" s="1" t="str">
        <f t="shared" ref="L80:L109" si="19">IF(OR(H80="",F80=""),"-",IF(H80&gt;F80,H80-F80,0))</f>
        <v>-</v>
      </c>
      <c r="M80" s="19" t="str">
        <f t="shared" ref="M80:M109" ca="1" si="20">IF(C80="Done","Delivered",IF(C80="11 Archived","Archived",IF(G80="","-",IF(C80&lt;&gt;"7 PI Started","Not Started",IF(NETWORKDAYS(TODAY(),G80)&gt;3,"On Track",IF(NETWORKDAYS(TODAY(),G80)=3,"Near End",IF(TODAY()&gt;G80,"Delayed","-")))))))</f>
        <v>-</v>
      </c>
      <c r="N80" s="1" t="str">
        <f t="shared" ref="N80:N109" ca="1" si="21">IF(OR(C80="11 Archived", G80=""), "-", IF(C80="Done", IF(J80&gt;G80, NETWORKDAYS(G80, J80), 0), IF(TODAY()&gt;G80, NETWORKDAYS(G80, TODAY()), 0)))</f>
        <v>-</v>
      </c>
      <c r="O80" s="1" t="str">
        <f t="shared" ref="O80:O109" ca="1" si="22">IF(C80="Done","Delivered",IF(C80="11 Archived","Archived",IF(I80="","-",IF(C80&lt;&gt;"7 PI Started","Not Started",IF(NETWORKDAYS(TODAY(),I80)&gt;3,"On Track",IF(NETWORKDAYS(TODAY(),I80)=3,"Near End",IF(TODAY()=I80,"Due Today",IF(TODAY()&gt;I80,"Delayed","-"))))))))</f>
        <v>-</v>
      </c>
      <c r="P80" s="1" t="str">
        <f t="shared" ref="P80:P109" ca="1" si="23">IF(OR(C80="11 Archived", I80="", J80=""), "-", IF(C80="Done", IF(J80&gt;I80, NETWORKDAYS(I80, J80), 0), IF(TODAY()&gt;I80, NETWORKDAYS(I80, TODAY()), 0)))</f>
        <v>-</v>
      </c>
      <c r="Q80" s="1" t="str">
        <f t="shared" ref="Q80:Q109" ca="1" si="24">IF(OR(C80="",C80="11 Archived"), "-", IF(AND(C80="Done", I80&lt;&gt;"", H80&lt;&gt;""), I80-H80, IF(H80="", "-", IF(AND(H80&lt;&gt;"", H80&lt;TODAY()), NETWORKDAYS(H80, TODAY()), 0))))</f>
        <v>-</v>
      </c>
      <c r="R80" s="1" t="str">
        <f t="shared" ref="R80:R109" ca="1" si="25">IF(I80="","-",IF(TODAY()&gt;I80,0,NETWORKDAYS(TODAY(),I80)))</f>
        <v>-</v>
      </c>
      <c r="S80" s="1" t="s">
        <v>369</v>
      </c>
      <c r="T80" s="7" t="str">
        <f t="shared" si="17"/>
        <v>Q4-C2</v>
      </c>
      <c r="U80" s="1" t="str">
        <f ca="1">IF(AND($E80&lt;&gt;"",OR($C80="Ready to Develop",$C80="7 PI Started",$C80="6 Epic Backlog",$C80="Done")),IFERROR(VLOOKUP($A80,INDIRECT("'"&amp;$T80&amp;"'"&amp;VLOOKUP($T80,Config!$B$4:$L$11,2)),VLOOKUP($T80,Config!$B$4:$L$11,5),FALSE),"-"),"-")</f>
        <v>-</v>
      </c>
      <c r="V80" s="1" t="str">
        <f ca="1">IF($C80="Done",IFERROR(VLOOKUP($A80,INDIRECT("'"&amp;$T80&amp;"'"&amp;VLOOKUP($T80,Config!$B$4:$L$11,2)),VLOOKUP($T80,Config!$B$4:$L$11,7),FALSE),"-"),"-")</f>
        <v>-</v>
      </c>
      <c r="W80" s="1" t="str">
        <f ca="1">IF(AND($E80&lt;&gt;"",OR($C80="Ready to Develop",$C80="7 PI Started",$C80="6 Epic Backlog",$C80="Done")),IFERROR(VLOOKUP($A80,INDIRECT("'"&amp;$T80&amp;"'"&amp;VLOOKUP($T80,Config!$B$4:$L$11,2)),VLOOKUP($T80,Config!$B$4:$L$11,9),FALSE),"-"),"-")</f>
        <v>-</v>
      </c>
      <c r="X80" s="1" t="str">
        <f ca="1">IF($C80="Done",IFERROR(VLOOKUP($A80,INDIRECT("'"&amp;$T80&amp;"'"&amp;VLOOKUP($T80,Config!$B$4:$L$11,2)),VLOOKUP($T80,Config!$B$4:$L$11,11),FALSE),"-"),"-")</f>
        <v>-</v>
      </c>
      <c r="Y80" s="1" t="str">
        <f ca="1">IF(AND($E80&lt;&gt;"",OR($C80="Ready to Develop",$C80="7 PI Started",$C80="6 Epic Backlog",$C80="Done")),IFERROR(VLOOKUP($A80,INDIRECT("'"&amp;$T80&amp;"'"&amp;VLOOKUP($T80,Config!$B$4:$P$11,2)),VLOOKUP($T80,Config!$B$4:$P$11,13),FALSE),"-"),"-")</f>
        <v>-</v>
      </c>
      <c r="Z80" s="1" t="str">
        <f ca="1">IF(AND($E80&lt;&gt;"",OR($C80="Ready to Develop",$C80="7 PI Started",$C80="6 Epic Backlog",$C80="Done")),IFERROR(VLOOKUP($A80,INDIRECT("'"&amp;$T80&amp;"'"&amp;VLOOKUP($T80,Config!$B$4:$P$11,2)),VLOOKUP($T80,Config!$B$4:$P$11,15),FALSE),"-"),"-")</f>
        <v>-</v>
      </c>
    </row>
    <row r="81" spans="1:26" x14ac:dyDescent="0.2">
      <c r="A81" s="405" t="s">
        <v>466</v>
      </c>
      <c r="B81" t="s">
        <v>467</v>
      </c>
      <c r="C81" t="s">
        <v>458</v>
      </c>
      <c r="D81" t="s">
        <v>206</v>
      </c>
      <c r="E81" s="404" t="s">
        <v>369</v>
      </c>
      <c r="F81" s="19"/>
      <c r="G81" s="19"/>
      <c r="H81" s="19"/>
      <c r="I81" s="19"/>
      <c r="J81" s="19"/>
      <c r="K81" s="19" t="str">
        <f t="shared" si="18"/>
        <v>-</v>
      </c>
      <c r="L81" s="1" t="str">
        <f t="shared" si="19"/>
        <v>-</v>
      </c>
      <c r="M81" s="19" t="str">
        <f t="shared" ca="1" si="20"/>
        <v>-</v>
      </c>
      <c r="N81" s="1" t="str">
        <f t="shared" ca="1" si="21"/>
        <v>-</v>
      </c>
      <c r="O81" s="1" t="str">
        <f t="shared" ca="1" si="22"/>
        <v>-</v>
      </c>
      <c r="P81" s="1" t="str">
        <f t="shared" ca="1" si="23"/>
        <v>-</v>
      </c>
      <c r="Q81" s="1" t="str">
        <f t="shared" ca="1" si="24"/>
        <v>-</v>
      </c>
      <c r="R81" s="1" t="str">
        <f t="shared" ca="1" si="25"/>
        <v>-</v>
      </c>
      <c r="S81" s="1" t="s">
        <v>369</v>
      </c>
      <c r="T81" s="7" t="str">
        <f t="shared" si="17"/>
        <v>Q4-C2</v>
      </c>
      <c r="U81" s="1" t="str">
        <f ca="1">IF(AND($E81&lt;&gt;"",OR($C81="Ready to Develop",$C81="7 PI Started",$C81="6 Epic Backlog",$C81="Done")),IFERROR(VLOOKUP($A81,INDIRECT("'"&amp;$T81&amp;"'"&amp;VLOOKUP($T81,Config!$B$4:$L$11,2)),VLOOKUP($T81,Config!$B$4:$L$11,5),FALSE),"-"),"-")</f>
        <v>-</v>
      </c>
      <c r="V81" s="1" t="str">
        <f ca="1">IF($C81="Done",IFERROR(VLOOKUP($A81,INDIRECT("'"&amp;$T81&amp;"'"&amp;VLOOKUP($T81,Config!$B$4:$L$11,2)),VLOOKUP($T81,Config!$B$4:$L$11,7),FALSE),"-"),"-")</f>
        <v>-</v>
      </c>
      <c r="W81" s="1" t="str">
        <f ca="1">IF(AND($E81&lt;&gt;"",OR($C81="Ready to Develop",$C81="7 PI Started",$C81="6 Epic Backlog",$C81="Done")),IFERROR(VLOOKUP($A81,INDIRECT("'"&amp;$T81&amp;"'"&amp;VLOOKUP($T81,Config!$B$4:$L$11,2)),VLOOKUP($T81,Config!$B$4:$L$11,9),FALSE),"-"),"-")</f>
        <v>-</v>
      </c>
      <c r="X81" s="1" t="str">
        <f ca="1">IF($C81="Done",IFERROR(VLOOKUP($A81,INDIRECT("'"&amp;$T81&amp;"'"&amp;VLOOKUP($T81,Config!$B$4:$L$11,2)),VLOOKUP($T81,Config!$B$4:$L$11,11),FALSE),"-"),"-")</f>
        <v>-</v>
      </c>
      <c r="Y81" s="1" t="str">
        <f ca="1">IF(AND($E81&lt;&gt;"",OR($C81="Ready to Develop",$C81="7 PI Started",$C81="6 Epic Backlog",$C81="Done")),IFERROR(VLOOKUP($A81,INDIRECT("'"&amp;$T81&amp;"'"&amp;VLOOKUP($T81,Config!$B$4:$P$11,2)),VLOOKUP($T81,Config!$B$4:$P$11,13),FALSE),"-"),"-")</f>
        <v>-</v>
      </c>
      <c r="Z81" s="1" t="str">
        <f ca="1">IF(AND($E81&lt;&gt;"",OR($C81="Ready to Develop",$C81="7 PI Started",$C81="6 Epic Backlog",$C81="Done")),IFERROR(VLOOKUP($A81,INDIRECT("'"&amp;$T81&amp;"'"&amp;VLOOKUP($T81,Config!$B$4:$P$11,2)),VLOOKUP($T81,Config!$B$4:$P$11,15),FALSE),"-"),"-")</f>
        <v>-</v>
      </c>
    </row>
    <row r="82" spans="1:26" x14ac:dyDescent="0.2">
      <c r="A82" s="405" t="s">
        <v>468</v>
      </c>
      <c r="B82" t="s">
        <v>469</v>
      </c>
      <c r="C82" t="s">
        <v>1</v>
      </c>
      <c r="D82" t="s">
        <v>389</v>
      </c>
      <c r="E82" s="404" t="s">
        <v>369</v>
      </c>
      <c r="F82" s="19"/>
      <c r="G82" s="19"/>
      <c r="H82" s="19"/>
      <c r="I82" s="19"/>
      <c r="J82" s="19"/>
      <c r="K82" s="19" t="str">
        <f t="shared" si="18"/>
        <v>-</v>
      </c>
      <c r="L82" s="1" t="str">
        <f t="shared" si="19"/>
        <v>-</v>
      </c>
      <c r="M82" s="19" t="str">
        <f t="shared" ca="1" si="20"/>
        <v>-</v>
      </c>
      <c r="N82" s="1" t="str">
        <f t="shared" ca="1" si="21"/>
        <v>-</v>
      </c>
      <c r="O82" s="1" t="str">
        <f t="shared" ca="1" si="22"/>
        <v>-</v>
      </c>
      <c r="P82" s="1" t="str">
        <f t="shared" ca="1" si="23"/>
        <v>-</v>
      </c>
      <c r="Q82" s="1" t="str">
        <f t="shared" ca="1" si="24"/>
        <v>-</v>
      </c>
      <c r="R82" s="1" t="str">
        <f t="shared" ca="1" si="25"/>
        <v>-</v>
      </c>
      <c r="S82" s="1" t="s">
        <v>369</v>
      </c>
      <c r="T82" s="7" t="str">
        <f t="shared" si="17"/>
        <v>Q4-C2</v>
      </c>
      <c r="U82" s="1" t="str">
        <f ca="1">IF(AND($E82&lt;&gt;"",OR($C82="Ready to Develop",$C82="7 PI Started",$C82="6 Epic Backlog",$C82="Done")),IFERROR(VLOOKUP($A82,INDIRECT("'"&amp;$T82&amp;"'"&amp;VLOOKUP($T82,Config!$B$4:$L$11,2)),VLOOKUP($T82,Config!$B$4:$L$11,5),FALSE),"-"),"-")</f>
        <v>-</v>
      </c>
      <c r="V82" s="1" t="str">
        <f ca="1">IF($C82="Done",IFERROR(VLOOKUP($A82,INDIRECT("'"&amp;$T82&amp;"'"&amp;VLOOKUP($T82,Config!$B$4:$L$11,2)),VLOOKUP($T82,Config!$B$4:$L$11,7),FALSE),"-"),"-")</f>
        <v>-</v>
      </c>
      <c r="W82" s="1" t="str">
        <f ca="1">IF(AND($E82&lt;&gt;"",OR($C82="Ready to Develop",$C82="7 PI Started",$C82="6 Epic Backlog",$C82="Done")),IFERROR(VLOOKUP($A82,INDIRECT("'"&amp;$T82&amp;"'"&amp;VLOOKUP($T82,Config!$B$4:$L$11,2)),VLOOKUP($T82,Config!$B$4:$L$11,9),FALSE),"-"),"-")</f>
        <v>-</v>
      </c>
      <c r="X82" s="1" t="str">
        <f ca="1">IF($C82="Done",IFERROR(VLOOKUP($A82,INDIRECT("'"&amp;$T82&amp;"'"&amp;VLOOKUP($T82,Config!$B$4:$L$11,2)),VLOOKUP($T82,Config!$B$4:$L$11,11),FALSE),"-"),"-")</f>
        <v>-</v>
      </c>
      <c r="Y82" s="1" t="str">
        <f ca="1">IF(AND($E82&lt;&gt;"",OR($C82="Ready to Develop",$C82="7 PI Started",$C82="6 Epic Backlog",$C82="Done")),IFERROR(VLOOKUP($A82,INDIRECT("'"&amp;$T82&amp;"'"&amp;VLOOKUP($T82,Config!$B$4:$P$11,2)),VLOOKUP($T82,Config!$B$4:$P$11,13),FALSE),"-"),"-")</f>
        <v>-</v>
      </c>
      <c r="Z82" s="1" t="str">
        <f ca="1">IF(AND($E82&lt;&gt;"",OR($C82="Ready to Develop",$C82="7 PI Started",$C82="6 Epic Backlog",$C82="Done")),IFERROR(VLOOKUP($A82,INDIRECT("'"&amp;$T82&amp;"'"&amp;VLOOKUP($T82,Config!$B$4:$P$11,2)),VLOOKUP($T82,Config!$B$4:$P$11,15),FALSE),"-"),"-")</f>
        <v>-</v>
      </c>
    </row>
    <row r="83" spans="1:26" x14ac:dyDescent="0.2">
      <c r="A83" s="405" t="s">
        <v>522</v>
      </c>
      <c r="B83" t="s">
        <v>523</v>
      </c>
      <c r="C83" t="s">
        <v>524</v>
      </c>
      <c r="D83" t="s">
        <v>206</v>
      </c>
      <c r="F83" s="19"/>
      <c r="G83" s="19"/>
      <c r="H83" s="19"/>
      <c r="I83" s="19"/>
      <c r="J83" s="19"/>
      <c r="K83" s="19" t="str">
        <f t="shared" si="18"/>
        <v>-</v>
      </c>
      <c r="L83" s="1" t="str">
        <f t="shared" si="19"/>
        <v>-</v>
      </c>
      <c r="M83" s="19" t="str">
        <f t="shared" ca="1" si="20"/>
        <v>-</v>
      </c>
      <c r="N83" s="1" t="str">
        <f t="shared" ca="1" si="21"/>
        <v>-</v>
      </c>
      <c r="O83" s="1" t="str">
        <f t="shared" ca="1" si="22"/>
        <v>-</v>
      </c>
      <c r="P83" s="1" t="str">
        <f t="shared" ca="1" si="23"/>
        <v>-</v>
      </c>
      <c r="Q83" s="1" t="str">
        <f t="shared" ca="1" si="24"/>
        <v>-</v>
      </c>
      <c r="R83" s="1" t="str">
        <f t="shared" ca="1" si="25"/>
        <v>-</v>
      </c>
      <c r="S83" s="1"/>
      <c r="T83" s="7" t="str">
        <f t="shared" si="17"/>
        <v/>
      </c>
      <c r="U83" s="1" t="str">
        <f ca="1">IF(AND($E83&lt;&gt;"",OR($C83="Ready to Develop",$C83="7 PI Started",$C83="6 Epic Backlog",$C83="Done")),IFERROR(VLOOKUP($A83,INDIRECT("'"&amp;$T83&amp;"'"&amp;VLOOKUP($T83,Config!$B$4:$L$11,2)),VLOOKUP($T83,Config!$B$4:$L$11,5),FALSE),"-"),"-")</f>
        <v>-</v>
      </c>
      <c r="V83" s="1" t="str">
        <f ca="1">IF($C83="Done",IFERROR(VLOOKUP($A83,INDIRECT("'"&amp;$T83&amp;"'"&amp;VLOOKUP($T83,Config!$B$4:$L$11,2)),VLOOKUP($T83,Config!$B$4:$L$11,7),FALSE),"-"),"-")</f>
        <v>-</v>
      </c>
      <c r="W83" s="1" t="str">
        <f ca="1">IF(AND($E83&lt;&gt;"",OR($C83="Ready to Develop",$C83="7 PI Started",$C83="6 Epic Backlog",$C83="Done")),IFERROR(VLOOKUP($A83,INDIRECT("'"&amp;$T83&amp;"'"&amp;VLOOKUP($T83,Config!$B$4:$L$11,2)),VLOOKUP($T83,Config!$B$4:$L$11,9),FALSE),"-"),"-")</f>
        <v>-</v>
      </c>
      <c r="X83" s="1" t="str">
        <f ca="1">IF($C83="Done",IFERROR(VLOOKUP($A83,INDIRECT("'"&amp;$T83&amp;"'"&amp;VLOOKUP($T83,Config!$B$4:$L$11,2)),VLOOKUP($T83,Config!$B$4:$L$11,11),FALSE),"-"),"-")</f>
        <v>-</v>
      </c>
      <c r="Y83" s="1" t="str">
        <f ca="1">IF(AND($E83&lt;&gt;"",OR($C83="Ready to Develop",$C83="7 PI Started",$C83="6 Epic Backlog",$C83="Done")),IFERROR(VLOOKUP($A83,INDIRECT("'"&amp;$T83&amp;"'"&amp;VLOOKUP($T83,Config!$B$4:$P$11,2)),VLOOKUP($T83,Config!$B$4:$P$11,13),FALSE),"-"),"-")</f>
        <v>-</v>
      </c>
      <c r="Z83" s="1" t="str">
        <f ca="1">IF(AND($E83&lt;&gt;"",OR($C83="Ready to Develop",$C83="7 PI Started",$C83="6 Epic Backlog",$C83="Done")),IFERROR(VLOOKUP($A83,INDIRECT("'"&amp;$T83&amp;"'"&amp;VLOOKUP($T83,Config!$B$4:$P$11,2)),VLOOKUP($T83,Config!$B$4:$P$11,15),FALSE),"-"),"-")</f>
        <v>-</v>
      </c>
    </row>
    <row r="84" spans="1:26" x14ac:dyDescent="0.2">
      <c r="A84" s="405" t="s">
        <v>525</v>
      </c>
      <c r="B84" t="s">
        <v>526</v>
      </c>
      <c r="C84" t="s">
        <v>527</v>
      </c>
      <c r="D84" t="s">
        <v>206</v>
      </c>
      <c r="F84" s="19"/>
      <c r="G84" s="19"/>
      <c r="H84" s="19"/>
      <c r="I84" s="19"/>
      <c r="J84" s="19"/>
      <c r="K84" s="19" t="str">
        <f t="shared" si="18"/>
        <v>-</v>
      </c>
      <c r="L84" s="1" t="str">
        <f t="shared" si="19"/>
        <v>-</v>
      </c>
      <c r="M84" s="19" t="str">
        <f t="shared" ca="1" si="20"/>
        <v>-</v>
      </c>
      <c r="N84" s="1" t="str">
        <f t="shared" ca="1" si="21"/>
        <v>-</v>
      </c>
      <c r="O84" s="1" t="str">
        <f t="shared" ca="1" si="22"/>
        <v>-</v>
      </c>
      <c r="P84" s="1" t="str">
        <f t="shared" ca="1" si="23"/>
        <v>-</v>
      </c>
      <c r="Q84" s="1" t="str">
        <f t="shared" ca="1" si="24"/>
        <v>-</v>
      </c>
      <c r="R84" s="1" t="str">
        <f t="shared" ca="1" si="25"/>
        <v>-</v>
      </c>
      <c r="S84" s="1"/>
      <c r="T84" s="7" t="str">
        <f t="shared" si="17"/>
        <v/>
      </c>
      <c r="U84" s="1" t="str">
        <f ca="1">IF(AND($E84&lt;&gt;"",OR($C84="Ready to Develop",$C84="7 PI Started",$C84="6 Epic Backlog",$C84="Done")),IFERROR(VLOOKUP($A84,INDIRECT("'"&amp;$T84&amp;"'"&amp;VLOOKUP($T84,Config!$B$4:$L$11,2)),VLOOKUP($T84,Config!$B$4:$L$11,5),FALSE),"-"),"-")</f>
        <v>-</v>
      </c>
      <c r="V84" s="1" t="str">
        <f ca="1">IF($C84="Done",IFERROR(VLOOKUP($A84,INDIRECT("'"&amp;$T84&amp;"'"&amp;VLOOKUP($T84,Config!$B$4:$L$11,2)),VLOOKUP($T84,Config!$B$4:$L$11,7),FALSE),"-"),"-")</f>
        <v>-</v>
      </c>
      <c r="W84" s="1" t="str">
        <f ca="1">IF(AND($E84&lt;&gt;"",OR($C84="Ready to Develop",$C84="7 PI Started",$C84="6 Epic Backlog",$C84="Done")),IFERROR(VLOOKUP($A84,INDIRECT("'"&amp;$T84&amp;"'"&amp;VLOOKUP($T84,Config!$B$4:$L$11,2)),VLOOKUP($T84,Config!$B$4:$L$11,9),FALSE),"-"),"-")</f>
        <v>-</v>
      </c>
      <c r="X84" s="1" t="str">
        <f ca="1">IF($C84="Done",IFERROR(VLOOKUP($A84,INDIRECT("'"&amp;$T84&amp;"'"&amp;VLOOKUP($T84,Config!$B$4:$L$11,2)),VLOOKUP($T84,Config!$B$4:$L$11,11),FALSE),"-"),"-")</f>
        <v>-</v>
      </c>
      <c r="Y84" s="1" t="str">
        <f ca="1">IF(AND($E84&lt;&gt;"",OR($C84="Ready to Develop",$C84="7 PI Started",$C84="6 Epic Backlog",$C84="Done")),IFERROR(VLOOKUP($A84,INDIRECT("'"&amp;$T84&amp;"'"&amp;VLOOKUP($T84,Config!$B$4:$P$11,2)),VLOOKUP($T84,Config!$B$4:$P$11,13),FALSE),"-"),"-")</f>
        <v>-</v>
      </c>
      <c r="Z84" s="1" t="str">
        <f ca="1">IF(AND($E84&lt;&gt;"",OR($C84="Ready to Develop",$C84="7 PI Started",$C84="6 Epic Backlog",$C84="Done")),IFERROR(VLOOKUP($A84,INDIRECT("'"&amp;$T84&amp;"'"&amp;VLOOKUP($T84,Config!$B$4:$P$11,2)),VLOOKUP($T84,Config!$B$4:$P$11,15),FALSE),"-"),"-")</f>
        <v>-</v>
      </c>
    </row>
    <row r="85" spans="1:26" x14ac:dyDescent="0.2">
      <c r="A85" s="405" t="s">
        <v>528</v>
      </c>
      <c r="B85" t="s">
        <v>529</v>
      </c>
      <c r="C85" t="s">
        <v>448</v>
      </c>
      <c r="D85" t="s">
        <v>387</v>
      </c>
      <c r="F85" s="19"/>
      <c r="G85" s="19"/>
      <c r="H85" s="19"/>
      <c r="I85" s="19"/>
      <c r="J85" s="19"/>
      <c r="K85" s="19" t="str">
        <f t="shared" si="18"/>
        <v>-</v>
      </c>
      <c r="L85" s="1" t="str">
        <f t="shared" si="19"/>
        <v>-</v>
      </c>
      <c r="M85" s="19" t="str">
        <f t="shared" ca="1" si="20"/>
        <v>-</v>
      </c>
      <c r="N85" s="1" t="str">
        <f t="shared" ca="1" si="21"/>
        <v>-</v>
      </c>
      <c r="O85" s="1" t="str">
        <f t="shared" ca="1" si="22"/>
        <v>-</v>
      </c>
      <c r="P85" s="1" t="str">
        <f t="shared" ca="1" si="23"/>
        <v>-</v>
      </c>
      <c r="Q85" s="1" t="str">
        <f t="shared" ca="1" si="24"/>
        <v>-</v>
      </c>
      <c r="R85" s="1" t="str">
        <f t="shared" ca="1" si="25"/>
        <v>-</v>
      </c>
      <c r="S85" s="1"/>
      <c r="T85" s="7" t="str">
        <f t="shared" si="17"/>
        <v/>
      </c>
      <c r="U85" s="1" t="str">
        <f ca="1">IF(AND($E85&lt;&gt;"",OR($C85="Ready to Develop",$C85="7 PI Started",$C85="6 Epic Backlog",$C85="Done")),IFERROR(VLOOKUP($A85,INDIRECT("'"&amp;$T85&amp;"'"&amp;VLOOKUP($T85,Config!$B$4:$L$11,2)),VLOOKUP($T85,Config!$B$4:$L$11,5),FALSE),"-"),"-")</f>
        <v>-</v>
      </c>
      <c r="V85" s="1" t="str">
        <f ca="1">IF($C85="Done",IFERROR(VLOOKUP($A85,INDIRECT("'"&amp;$T85&amp;"'"&amp;VLOOKUP($T85,Config!$B$4:$L$11,2)),VLOOKUP($T85,Config!$B$4:$L$11,7),FALSE),"-"),"-")</f>
        <v>-</v>
      </c>
      <c r="W85" s="1" t="str">
        <f ca="1">IF(AND($E85&lt;&gt;"",OR($C85="Ready to Develop",$C85="7 PI Started",$C85="6 Epic Backlog",$C85="Done")),IFERROR(VLOOKUP($A85,INDIRECT("'"&amp;$T85&amp;"'"&amp;VLOOKUP($T85,Config!$B$4:$L$11,2)),VLOOKUP($T85,Config!$B$4:$L$11,9),FALSE),"-"),"-")</f>
        <v>-</v>
      </c>
      <c r="X85" s="1" t="str">
        <f ca="1">IF($C85="Done",IFERROR(VLOOKUP($A85,INDIRECT("'"&amp;$T85&amp;"'"&amp;VLOOKUP($T85,Config!$B$4:$L$11,2)),VLOOKUP($T85,Config!$B$4:$L$11,11),FALSE),"-"),"-")</f>
        <v>-</v>
      </c>
      <c r="Y85" s="1" t="str">
        <f ca="1">IF(AND($E85&lt;&gt;"",OR($C85="Ready to Develop",$C85="7 PI Started",$C85="6 Epic Backlog",$C85="Done")),IFERROR(VLOOKUP($A85,INDIRECT("'"&amp;$T85&amp;"'"&amp;VLOOKUP($T85,Config!$B$4:$P$11,2)),VLOOKUP($T85,Config!$B$4:$P$11,13),FALSE),"-"),"-")</f>
        <v>-</v>
      </c>
      <c r="Z85" s="1" t="str">
        <f ca="1">IF(AND($E85&lt;&gt;"",OR($C85="Ready to Develop",$C85="7 PI Started",$C85="6 Epic Backlog",$C85="Done")),IFERROR(VLOOKUP($A85,INDIRECT("'"&amp;$T85&amp;"'"&amp;VLOOKUP($T85,Config!$B$4:$P$11,2)),VLOOKUP($T85,Config!$B$4:$P$11,15),FALSE),"-"),"-")</f>
        <v>-</v>
      </c>
    </row>
    <row r="86" spans="1:26" x14ac:dyDescent="0.2">
      <c r="A86" s="405" t="s">
        <v>530</v>
      </c>
      <c r="B86" t="s">
        <v>531</v>
      </c>
      <c r="C86" t="s">
        <v>448</v>
      </c>
      <c r="D86" t="s">
        <v>388</v>
      </c>
      <c r="F86" s="19"/>
      <c r="G86" s="19"/>
      <c r="H86" s="19"/>
      <c r="I86" s="19"/>
      <c r="J86" s="19"/>
      <c r="K86" s="19" t="str">
        <f t="shared" si="18"/>
        <v>-</v>
      </c>
      <c r="L86" s="1" t="str">
        <f t="shared" si="19"/>
        <v>-</v>
      </c>
      <c r="M86" s="19" t="str">
        <f t="shared" ca="1" si="20"/>
        <v>-</v>
      </c>
      <c r="N86" s="1" t="str">
        <f t="shared" ca="1" si="21"/>
        <v>-</v>
      </c>
      <c r="O86" s="1" t="str">
        <f t="shared" ca="1" si="22"/>
        <v>-</v>
      </c>
      <c r="P86" s="1" t="str">
        <f t="shared" ca="1" si="23"/>
        <v>-</v>
      </c>
      <c r="Q86" s="1" t="str">
        <f t="shared" ca="1" si="24"/>
        <v>-</v>
      </c>
      <c r="R86" s="1" t="str">
        <f t="shared" ca="1" si="25"/>
        <v>-</v>
      </c>
      <c r="S86" s="1"/>
      <c r="T86" s="7" t="str">
        <f t="shared" si="17"/>
        <v/>
      </c>
      <c r="U86" s="1" t="str">
        <f ca="1">IF(AND($E86&lt;&gt;"",OR($C86="Ready to Develop",$C86="7 PI Started",$C86="6 Epic Backlog",$C86="Done")),IFERROR(VLOOKUP($A86,INDIRECT("'"&amp;$T86&amp;"'"&amp;VLOOKUP($T86,Config!$B$4:$L$11,2)),VLOOKUP($T86,Config!$B$4:$L$11,5),FALSE),"-"),"-")</f>
        <v>-</v>
      </c>
      <c r="V86" s="1" t="str">
        <f ca="1">IF($C86="Done",IFERROR(VLOOKUP($A86,INDIRECT("'"&amp;$T86&amp;"'"&amp;VLOOKUP($T86,Config!$B$4:$L$11,2)),VLOOKUP($T86,Config!$B$4:$L$11,7),FALSE),"-"),"-")</f>
        <v>-</v>
      </c>
      <c r="W86" s="1" t="str">
        <f ca="1">IF(AND($E86&lt;&gt;"",OR($C86="Ready to Develop",$C86="7 PI Started",$C86="6 Epic Backlog",$C86="Done")),IFERROR(VLOOKUP($A86,INDIRECT("'"&amp;$T86&amp;"'"&amp;VLOOKUP($T86,Config!$B$4:$L$11,2)),VLOOKUP($T86,Config!$B$4:$L$11,9),FALSE),"-"),"-")</f>
        <v>-</v>
      </c>
      <c r="X86" s="1" t="str">
        <f ca="1">IF($C86="Done",IFERROR(VLOOKUP($A86,INDIRECT("'"&amp;$T86&amp;"'"&amp;VLOOKUP($T86,Config!$B$4:$L$11,2)),VLOOKUP($T86,Config!$B$4:$L$11,11),FALSE),"-"),"-")</f>
        <v>-</v>
      </c>
      <c r="Y86" s="1" t="str">
        <f ca="1">IF(AND($E86&lt;&gt;"",OR($C86="Ready to Develop",$C86="7 PI Started",$C86="6 Epic Backlog",$C86="Done")),IFERROR(VLOOKUP($A86,INDIRECT("'"&amp;$T86&amp;"'"&amp;VLOOKUP($T86,Config!$B$4:$P$11,2)),VLOOKUP($T86,Config!$B$4:$P$11,13),FALSE),"-"),"-")</f>
        <v>-</v>
      </c>
      <c r="Z86" s="1" t="str">
        <f ca="1">IF(AND($E86&lt;&gt;"",OR($C86="Ready to Develop",$C86="7 PI Started",$C86="6 Epic Backlog",$C86="Done")),IFERROR(VLOOKUP($A86,INDIRECT("'"&amp;$T86&amp;"'"&amp;VLOOKUP($T86,Config!$B$4:$P$11,2)),VLOOKUP($T86,Config!$B$4:$P$11,15),FALSE),"-"),"-")</f>
        <v>-</v>
      </c>
    </row>
    <row r="87" spans="1:26" x14ac:dyDescent="0.2">
      <c r="A87" s="405" t="s">
        <v>532</v>
      </c>
      <c r="B87" t="s">
        <v>533</v>
      </c>
      <c r="C87" t="s">
        <v>527</v>
      </c>
      <c r="D87" t="s">
        <v>534</v>
      </c>
      <c r="F87" s="19"/>
      <c r="G87" s="19"/>
      <c r="H87" s="19"/>
      <c r="I87" s="19"/>
      <c r="J87" s="19"/>
      <c r="K87" s="19" t="str">
        <f t="shared" si="18"/>
        <v>-</v>
      </c>
      <c r="L87" s="1" t="str">
        <f t="shared" si="19"/>
        <v>-</v>
      </c>
      <c r="M87" s="19" t="str">
        <f t="shared" ca="1" si="20"/>
        <v>-</v>
      </c>
      <c r="N87" s="1" t="str">
        <f t="shared" ca="1" si="21"/>
        <v>-</v>
      </c>
      <c r="O87" s="1" t="str">
        <f t="shared" ca="1" si="22"/>
        <v>-</v>
      </c>
      <c r="P87" s="1" t="str">
        <f t="shared" ca="1" si="23"/>
        <v>-</v>
      </c>
      <c r="Q87" s="1" t="str">
        <f t="shared" ca="1" si="24"/>
        <v>-</v>
      </c>
      <c r="R87" s="1" t="str">
        <f t="shared" ca="1" si="25"/>
        <v>-</v>
      </c>
      <c r="S87" s="1"/>
      <c r="T87" s="7" t="str">
        <f t="shared" si="17"/>
        <v/>
      </c>
      <c r="U87" s="1" t="str">
        <f ca="1">IF(AND($E87&lt;&gt;"",OR($C87="Ready to Develop",$C87="7 PI Started",$C87="6 Epic Backlog",$C87="Done")),IFERROR(VLOOKUP($A87,INDIRECT("'"&amp;$T87&amp;"'"&amp;VLOOKUP($T87,Config!$B$4:$L$11,2)),VLOOKUP($T87,Config!$B$4:$L$11,5),FALSE),"-"),"-")</f>
        <v>-</v>
      </c>
      <c r="V87" s="1" t="str">
        <f ca="1">IF($C87="Done",IFERROR(VLOOKUP($A87,INDIRECT("'"&amp;$T87&amp;"'"&amp;VLOOKUP($T87,Config!$B$4:$L$11,2)),VLOOKUP($T87,Config!$B$4:$L$11,7),FALSE),"-"),"-")</f>
        <v>-</v>
      </c>
      <c r="W87" s="1" t="str">
        <f ca="1">IF(AND($E87&lt;&gt;"",OR($C87="Ready to Develop",$C87="7 PI Started",$C87="6 Epic Backlog",$C87="Done")),IFERROR(VLOOKUP($A87,INDIRECT("'"&amp;$T87&amp;"'"&amp;VLOOKUP($T87,Config!$B$4:$L$11,2)),VLOOKUP($T87,Config!$B$4:$L$11,9),FALSE),"-"),"-")</f>
        <v>-</v>
      </c>
      <c r="X87" s="1" t="str">
        <f ca="1">IF($C87="Done",IFERROR(VLOOKUP($A87,INDIRECT("'"&amp;$T87&amp;"'"&amp;VLOOKUP($T87,Config!$B$4:$L$11,2)),VLOOKUP($T87,Config!$B$4:$L$11,11),FALSE),"-"),"-")</f>
        <v>-</v>
      </c>
      <c r="Y87" s="1" t="str">
        <f ca="1">IF(AND($E87&lt;&gt;"",OR($C87="Ready to Develop",$C87="7 PI Started",$C87="6 Epic Backlog",$C87="Done")),IFERROR(VLOOKUP($A87,INDIRECT("'"&amp;$T87&amp;"'"&amp;VLOOKUP($T87,Config!$B$4:$P$11,2)),VLOOKUP($T87,Config!$B$4:$P$11,13),FALSE),"-"),"-")</f>
        <v>-</v>
      </c>
      <c r="Z87" s="1" t="str">
        <f ca="1">IF(AND($E87&lt;&gt;"",OR($C87="Ready to Develop",$C87="7 PI Started",$C87="6 Epic Backlog",$C87="Done")),IFERROR(VLOOKUP($A87,INDIRECT("'"&amp;$T87&amp;"'"&amp;VLOOKUP($T87,Config!$B$4:$P$11,2)),VLOOKUP($T87,Config!$B$4:$P$11,15),FALSE),"-"),"-")</f>
        <v>-</v>
      </c>
    </row>
    <row r="88" spans="1:26" x14ac:dyDescent="0.2">
      <c r="A88" s="405" t="s">
        <v>535</v>
      </c>
      <c r="B88" t="s">
        <v>536</v>
      </c>
      <c r="C88" t="s">
        <v>527</v>
      </c>
      <c r="D88" t="s">
        <v>206</v>
      </c>
      <c r="F88" s="19"/>
      <c r="G88" s="19"/>
      <c r="H88" s="19"/>
      <c r="I88" s="19"/>
      <c r="J88" s="19"/>
      <c r="K88" s="19" t="str">
        <f t="shared" si="18"/>
        <v>-</v>
      </c>
      <c r="L88" s="1" t="str">
        <f t="shared" si="19"/>
        <v>-</v>
      </c>
      <c r="M88" s="19" t="str">
        <f t="shared" ca="1" si="20"/>
        <v>-</v>
      </c>
      <c r="N88" s="1" t="str">
        <f t="shared" ca="1" si="21"/>
        <v>-</v>
      </c>
      <c r="O88" s="1" t="str">
        <f t="shared" ca="1" si="22"/>
        <v>-</v>
      </c>
      <c r="P88" s="1" t="str">
        <f t="shared" ca="1" si="23"/>
        <v>-</v>
      </c>
      <c r="Q88" s="1" t="str">
        <f t="shared" ca="1" si="24"/>
        <v>-</v>
      </c>
      <c r="R88" s="1" t="str">
        <f t="shared" ca="1" si="25"/>
        <v>-</v>
      </c>
      <c r="S88" s="1"/>
      <c r="T88" s="7" t="str">
        <f t="shared" si="17"/>
        <v/>
      </c>
      <c r="U88" s="1" t="str">
        <f ca="1">IF(AND($E88&lt;&gt;"",OR($C88="Ready to Develop",$C88="7 PI Started",$C88="6 Epic Backlog",$C88="Done")),IFERROR(VLOOKUP($A88,INDIRECT("'"&amp;$T88&amp;"'"&amp;VLOOKUP($T88,Config!$B$4:$L$11,2)),VLOOKUP($T88,Config!$B$4:$L$11,5),FALSE),"-"),"-")</f>
        <v>-</v>
      </c>
      <c r="V88" s="1" t="str">
        <f ca="1">IF($C88="Done",IFERROR(VLOOKUP($A88,INDIRECT("'"&amp;$T88&amp;"'"&amp;VLOOKUP($T88,Config!$B$4:$L$11,2)),VLOOKUP($T88,Config!$B$4:$L$11,7),FALSE),"-"),"-")</f>
        <v>-</v>
      </c>
      <c r="W88" s="1" t="str">
        <f ca="1">IF(AND($E88&lt;&gt;"",OR($C88="Ready to Develop",$C88="7 PI Started",$C88="6 Epic Backlog",$C88="Done")),IFERROR(VLOOKUP($A88,INDIRECT("'"&amp;$T88&amp;"'"&amp;VLOOKUP($T88,Config!$B$4:$L$11,2)),VLOOKUP($T88,Config!$B$4:$L$11,9),FALSE),"-"),"-")</f>
        <v>-</v>
      </c>
      <c r="X88" s="1" t="str">
        <f ca="1">IF($C88="Done",IFERROR(VLOOKUP($A88,INDIRECT("'"&amp;$T88&amp;"'"&amp;VLOOKUP($T88,Config!$B$4:$L$11,2)),VLOOKUP($T88,Config!$B$4:$L$11,11),FALSE),"-"),"-")</f>
        <v>-</v>
      </c>
      <c r="Y88" s="1" t="str">
        <f ca="1">IF(AND($E88&lt;&gt;"",OR($C88="Ready to Develop",$C88="7 PI Started",$C88="6 Epic Backlog",$C88="Done")),IFERROR(VLOOKUP($A88,INDIRECT("'"&amp;$T88&amp;"'"&amp;VLOOKUP($T88,Config!$B$4:$P$11,2)),VLOOKUP($T88,Config!$B$4:$P$11,13),FALSE),"-"),"-")</f>
        <v>-</v>
      </c>
      <c r="Z88" s="1" t="str">
        <f ca="1">IF(AND($E88&lt;&gt;"",OR($C88="Ready to Develop",$C88="7 PI Started",$C88="6 Epic Backlog",$C88="Done")),IFERROR(VLOOKUP($A88,INDIRECT("'"&amp;$T88&amp;"'"&amp;VLOOKUP($T88,Config!$B$4:$P$11,2)),VLOOKUP($T88,Config!$B$4:$P$11,15),FALSE),"-"),"-")</f>
        <v>-</v>
      </c>
    </row>
    <row r="89" spans="1:26" x14ac:dyDescent="0.2">
      <c r="A89" s="405" t="s">
        <v>537</v>
      </c>
      <c r="B89" t="s">
        <v>538</v>
      </c>
      <c r="C89" t="s">
        <v>448</v>
      </c>
      <c r="D89" t="s">
        <v>387</v>
      </c>
      <c r="F89" s="19"/>
      <c r="G89" s="19"/>
      <c r="H89" s="19"/>
      <c r="I89" s="19"/>
      <c r="J89" s="19"/>
      <c r="K89" s="19" t="str">
        <f t="shared" si="18"/>
        <v>-</v>
      </c>
      <c r="L89" s="1" t="str">
        <f t="shared" si="19"/>
        <v>-</v>
      </c>
      <c r="M89" s="19" t="str">
        <f t="shared" ca="1" si="20"/>
        <v>-</v>
      </c>
      <c r="N89" s="1" t="str">
        <f t="shared" ca="1" si="21"/>
        <v>-</v>
      </c>
      <c r="O89" s="1" t="str">
        <f t="shared" ca="1" si="22"/>
        <v>-</v>
      </c>
      <c r="P89" s="1" t="str">
        <f t="shared" ca="1" si="23"/>
        <v>-</v>
      </c>
      <c r="Q89" s="1" t="str">
        <f t="shared" ca="1" si="24"/>
        <v>-</v>
      </c>
      <c r="R89" s="1" t="str">
        <f t="shared" ca="1" si="25"/>
        <v>-</v>
      </c>
      <c r="S89" s="1"/>
      <c r="T89" s="7" t="str">
        <f t="shared" si="17"/>
        <v/>
      </c>
      <c r="U89" s="1" t="str">
        <f ca="1">IF(AND($E89&lt;&gt;"",OR($C89="Ready to Develop",$C89="7 PI Started",$C89="6 Epic Backlog",$C89="Done")),IFERROR(VLOOKUP($A89,INDIRECT("'"&amp;$T89&amp;"'"&amp;VLOOKUP($T89,Config!$B$4:$L$11,2)),VLOOKUP($T89,Config!$B$4:$L$11,5),FALSE),"-"),"-")</f>
        <v>-</v>
      </c>
      <c r="V89" s="1" t="str">
        <f ca="1">IF($C89="Done",IFERROR(VLOOKUP($A89,INDIRECT("'"&amp;$T89&amp;"'"&amp;VLOOKUP($T89,Config!$B$4:$L$11,2)),VLOOKUP($T89,Config!$B$4:$L$11,7),FALSE),"-"),"-")</f>
        <v>-</v>
      </c>
      <c r="W89" s="1" t="str">
        <f ca="1">IF(AND($E89&lt;&gt;"",OR($C89="Ready to Develop",$C89="7 PI Started",$C89="6 Epic Backlog",$C89="Done")),IFERROR(VLOOKUP($A89,INDIRECT("'"&amp;$T89&amp;"'"&amp;VLOOKUP($T89,Config!$B$4:$L$11,2)),VLOOKUP($T89,Config!$B$4:$L$11,9),FALSE),"-"),"-")</f>
        <v>-</v>
      </c>
      <c r="X89" s="1" t="str">
        <f ca="1">IF($C89="Done",IFERROR(VLOOKUP($A89,INDIRECT("'"&amp;$T89&amp;"'"&amp;VLOOKUP($T89,Config!$B$4:$L$11,2)),VLOOKUP($T89,Config!$B$4:$L$11,11),FALSE),"-"),"-")</f>
        <v>-</v>
      </c>
      <c r="Y89" s="1" t="str">
        <f ca="1">IF(AND($E89&lt;&gt;"",OR($C89="Ready to Develop",$C89="7 PI Started",$C89="6 Epic Backlog",$C89="Done")),IFERROR(VLOOKUP($A89,INDIRECT("'"&amp;$T89&amp;"'"&amp;VLOOKUP($T89,Config!$B$4:$P$11,2)),VLOOKUP($T89,Config!$B$4:$P$11,13),FALSE),"-"),"-")</f>
        <v>-</v>
      </c>
      <c r="Z89" s="1" t="str">
        <f ca="1">IF(AND($E89&lt;&gt;"",OR($C89="Ready to Develop",$C89="7 PI Started",$C89="6 Epic Backlog",$C89="Done")),IFERROR(VLOOKUP($A89,INDIRECT("'"&amp;$T89&amp;"'"&amp;VLOOKUP($T89,Config!$B$4:$P$11,2)),VLOOKUP($T89,Config!$B$4:$P$11,15),FALSE),"-"),"-")</f>
        <v>-</v>
      </c>
    </row>
    <row r="90" spans="1:26" x14ac:dyDescent="0.2">
      <c r="A90" s="405" t="s">
        <v>539</v>
      </c>
      <c r="B90" t="s">
        <v>540</v>
      </c>
      <c r="C90" t="s">
        <v>1</v>
      </c>
      <c r="D90" t="s">
        <v>206</v>
      </c>
      <c r="F90" s="19"/>
      <c r="G90" s="19"/>
      <c r="H90" s="19"/>
      <c r="I90" s="19"/>
      <c r="J90" s="19"/>
      <c r="K90" s="19" t="str">
        <f t="shared" si="18"/>
        <v>-</v>
      </c>
      <c r="L90" s="1" t="str">
        <f t="shared" si="19"/>
        <v>-</v>
      </c>
      <c r="M90" s="19" t="str">
        <f t="shared" ca="1" si="20"/>
        <v>-</v>
      </c>
      <c r="N90" s="1" t="str">
        <f t="shared" ca="1" si="21"/>
        <v>-</v>
      </c>
      <c r="O90" s="1" t="str">
        <f t="shared" ca="1" si="22"/>
        <v>-</v>
      </c>
      <c r="P90" s="1" t="str">
        <f t="shared" ca="1" si="23"/>
        <v>-</v>
      </c>
      <c r="Q90" s="1" t="str">
        <f t="shared" ca="1" si="24"/>
        <v>-</v>
      </c>
      <c r="R90" s="1" t="str">
        <f t="shared" ca="1" si="25"/>
        <v>-</v>
      </c>
      <c r="S90" s="1"/>
      <c r="T90" s="7" t="str">
        <f t="shared" si="17"/>
        <v/>
      </c>
      <c r="U90" s="1" t="str">
        <f ca="1">IF(AND($E90&lt;&gt;"",OR($C90="Ready to Develop",$C90="7 PI Started",$C90="6 Epic Backlog",$C90="Done")),IFERROR(VLOOKUP($A90,INDIRECT("'"&amp;$T90&amp;"'"&amp;VLOOKUP($T90,Config!$B$4:$L$11,2)),VLOOKUP($T90,Config!$B$4:$L$11,5),FALSE),"-"),"-")</f>
        <v>-</v>
      </c>
      <c r="V90" s="1" t="str">
        <f ca="1">IF($C90="Done",IFERROR(VLOOKUP($A90,INDIRECT("'"&amp;$T90&amp;"'"&amp;VLOOKUP($T90,Config!$B$4:$L$11,2)),VLOOKUP($T90,Config!$B$4:$L$11,7),FALSE),"-"),"-")</f>
        <v>-</v>
      </c>
      <c r="W90" s="1" t="str">
        <f ca="1">IF(AND($E90&lt;&gt;"",OR($C90="Ready to Develop",$C90="7 PI Started",$C90="6 Epic Backlog",$C90="Done")),IFERROR(VLOOKUP($A90,INDIRECT("'"&amp;$T90&amp;"'"&amp;VLOOKUP($T90,Config!$B$4:$L$11,2)),VLOOKUP($T90,Config!$B$4:$L$11,9),FALSE),"-"),"-")</f>
        <v>-</v>
      </c>
      <c r="X90" s="1" t="str">
        <f ca="1">IF($C90="Done",IFERROR(VLOOKUP($A90,INDIRECT("'"&amp;$T90&amp;"'"&amp;VLOOKUP($T90,Config!$B$4:$L$11,2)),VLOOKUP($T90,Config!$B$4:$L$11,11),FALSE),"-"),"-")</f>
        <v>-</v>
      </c>
      <c r="Y90" s="1" t="str">
        <f ca="1">IF(AND($E90&lt;&gt;"",OR($C90="Ready to Develop",$C90="7 PI Started",$C90="6 Epic Backlog",$C90="Done")),IFERROR(VLOOKUP($A90,INDIRECT("'"&amp;$T90&amp;"'"&amp;VLOOKUP($T90,Config!$B$4:$P$11,2)),VLOOKUP($T90,Config!$B$4:$P$11,13),FALSE),"-"),"-")</f>
        <v>-</v>
      </c>
      <c r="Z90" s="1" t="str">
        <f ca="1">IF(AND($E90&lt;&gt;"",OR($C90="Ready to Develop",$C90="7 PI Started",$C90="6 Epic Backlog",$C90="Done")),IFERROR(VLOOKUP($A90,INDIRECT("'"&amp;$T90&amp;"'"&amp;VLOOKUP($T90,Config!$B$4:$P$11,2)),VLOOKUP($T90,Config!$B$4:$P$11,15),FALSE),"-"),"-")</f>
        <v>-</v>
      </c>
    </row>
    <row r="91" spans="1:26" x14ac:dyDescent="0.2">
      <c r="A91" s="405" t="s">
        <v>541</v>
      </c>
      <c r="B91" t="s">
        <v>542</v>
      </c>
      <c r="C91" t="s">
        <v>448</v>
      </c>
      <c r="F91" s="19"/>
      <c r="G91" s="19"/>
      <c r="H91" s="19"/>
      <c r="I91" s="19"/>
      <c r="J91" s="19"/>
      <c r="K91" s="19" t="str">
        <f t="shared" si="18"/>
        <v>-</v>
      </c>
      <c r="L91" s="1" t="str">
        <f t="shared" si="19"/>
        <v>-</v>
      </c>
      <c r="M91" s="19" t="str">
        <f t="shared" ca="1" si="20"/>
        <v>-</v>
      </c>
      <c r="N91" s="1" t="str">
        <f t="shared" ca="1" si="21"/>
        <v>-</v>
      </c>
      <c r="O91" s="1" t="str">
        <f t="shared" ca="1" si="22"/>
        <v>-</v>
      </c>
      <c r="P91" s="1" t="str">
        <f t="shared" ca="1" si="23"/>
        <v>-</v>
      </c>
      <c r="Q91" s="1" t="str">
        <f t="shared" ca="1" si="24"/>
        <v>-</v>
      </c>
      <c r="R91" s="1" t="str">
        <f t="shared" ca="1" si="25"/>
        <v>-</v>
      </c>
      <c r="S91" s="1"/>
      <c r="T91" s="7" t="str">
        <f t="shared" si="17"/>
        <v/>
      </c>
      <c r="U91" s="1" t="str">
        <f ca="1">IF(AND($E91&lt;&gt;"",OR($C91="Ready to Develop",$C91="7 PI Started",$C91="6 Epic Backlog",$C91="Done")),IFERROR(VLOOKUP($A91,INDIRECT("'"&amp;$T91&amp;"'"&amp;VLOOKUP($T91,Config!$B$4:$L$11,2)),VLOOKUP($T91,Config!$B$4:$L$11,5),FALSE),"-"),"-")</f>
        <v>-</v>
      </c>
      <c r="V91" s="1" t="str">
        <f ca="1">IF($C91="Done",IFERROR(VLOOKUP($A91,INDIRECT("'"&amp;$T91&amp;"'"&amp;VLOOKUP($T91,Config!$B$4:$L$11,2)),VLOOKUP($T91,Config!$B$4:$L$11,7),FALSE),"-"),"-")</f>
        <v>-</v>
      </c>
      <c r="W91" s="1" t="str">
        <f ca="1">IF(AND($E91&lt;&gt;"",OR($C91="Ready to Develop",$C91="7 PI Started",$C91="6 Epic Backlog",$C91="Done")),IFERROR(VLOOKUP($A91,INDIRECT("'"&amp;$T91&amp;"'"&amp;VLOOKUP($T91,Config!$B$4:$L$11,2)),VLOOKUP($T91,Config!$B$4:$L$11,9),FALSE),"-"),"-")</f>
        <v>-</v>
      </c>
      <c r="X91" s="1" t="str">
        <f ca="1">IF($C91="Done",IFERROR(VLOOKUP($A91,INDIRECT("'"&amp;$T91&amp;"'"&amp;VLOOKUP($T91,Config!$B$4:$L$11,2)),VLOOKUP($T91,Config!$B$4:$L$11,11),FALSE),"-"),"-")</f>
        <v>-</v>
      </c>
      <c r="Y91" s="1" t="str">
        <f ca="1">IF(AND($E91&lt;&gt;"",OR($C91="Ready to Develop",$C91="7 PI Started",$C91="6 Epic Backlog",$C91="Done")),IFERROR(VLOOKUP($A91,INDIRECT("'"&amp;$T91&amp;"'"&amp;VLOOKUP($T91,Config!$B$4:$P$11,2)),VLOOKUP($T91,Config!$B$4:$P$11,13),FALSE),"-"),"-")</f>
        <v>-</v>
      </c>
      <c r="Z91" s="1" t="str">
        <f ca="1">IF(AND($E91&lt;&gt;"",OR($C91="Ready to Develop",$C91="7 PI Started",$C91="6 Epic Backlog",$C91="Done")),IFERROR(VLOOKUP($A91,INDIRECT("'"&amp;$T91&amp;"'"&amp;VLOOKUP($T91,Config!$B$4:$P$11,2)),VLOOKUP($T91,Config!$B$4:$P$11,15),FALSE),"-"),"-")</f>
        <v>-</v>
      </c>
    </row>
    <row r="92" spans="1:26" x14ac:dyDescent="0.2">
      <c r="A92" s="405" t="s">
        <v>543</v>
      </c>
      <c r="B92" t="s">
        <v>544</v>
      </c>
      <c r="C92" t="s">
        <v>461</v>
      </c>
      <c r="D92" t="s">
        <v>545</v>
      </c>
      <c r="F92" s="19"/>
      <c r="G92" s="19"/>
      <c r="H92" s="19"/>
      <c r="I92" s="19"/>
      <c r="J92" s="19"/>
      <c r="K92" s="19" t="str">
        <f t="shared" si="18"/>
        <v>-</v>
      </c>
      <c r="L92" s="1" t="str">
        <f t="shared" si="19"/>
        <v>-</v>
      </c>
      <c r="M92" s="19" t="str">
        <f t="shared" ca="1" si="20"/>
        <v>-</v>
      </c>
      <c r="N92" s="1" t="str">
        <f t="shared" ca="1" si="21"/>
        <v>-</v>
      </c>
      <c r="O92" s="1" t="str">
        <f t="shared" ca="1" si="22"/>
        <v>-</v>
      </c>
      <c r="P92" s="1" t="str">
        <f t="shared" ca="1" si="23"/>
        <v>-</v>
      </c>
      <c r="Q92" s="1" t="str">
        <f t="shared" ca="1" si="24"/>
        <v>-</v>
      </c>
      <c r="R92" s="1" t="str">
        <f t="shared" ca="1" si="25"/>
        <v>-</v>
      </c>
      <c r="S92" s="1"/>
      <c r="T92" s="7" t="str">
        <f t="shared" si="17"/>
        <v/>
      </c>
      <c r="U92" s="1" t="str">
        <f ca="1">IF(AND($E92&lt;&gt;"",OR($C92="Ready to Develop",$C92="7 PI Started",$C92="6 Epic Backlog",$C92="Done")),IFERROR(VLOOKUP($A92,INDIRECT("'"&amp;$T92&amp;"'"&amp;VLOOKUP($T92,Config!$B$4:$L$11,2)),VLOOKUP($T92,Config!$B$4:$L$11,5),FALSE),"-"),"-")</f>
        <v>-</v>
      </c>
      <c r="V92" s="1" t="str">
        <f ca="1">IF($C92="Done",IFERROR(VLOOKUP($A92,INDIRECT("'"&amp;$T92&amp;"'"&amp;VLOOKUP($T92,Config!$B$4:$L$11,2)),VLOOKUP($T92,Config!$B$4:$L$11,7),FALSE),"-"),"-")</f>
        <v>-</v>
      </c>
      <c r="W92" s="1" t="str">
        <f ca="1">IF(AND($E92&lt;&gt;"",OR($C92="Ready to Develop",$C92="7 PI Started",$C92="6 Epic Backlog",$C92="Done")),IFERROR(VLOOKUP($A92,INDIRECT("'"&amp;$T92&amp;"'"&amp;VLOOKUP($T92,Config!$B$4:$L$11,2)),VLOOKUP($T92,Config!$B$4:$L$11,9),FALSE),"-"),"-")</f>
        <v>-</v>
      </c>
      <c r="X92" s="1" t="str">
        <f ca="1">IF($C92="Done",IFERROR(VLOOKUP($A92,INDIRECT("'"&amp;$T92&amp;"'"&amp;VLOOKUP($T92,Config!$B$4:$L$11,2)),VLOOKUP($T92,Config!$B$4:$L$11,11),FALSE),"-"),"-")</f>
        <v>-</v>
      </c>
      <c r="Y92" s="1" t="str">
        <f ca="1">IF(AND($E92&lt;&gt;"",OR($C92="Ready to Develop",$C92="7 PI Started",$C92="6 Epic Backlog",$C92="Done")),IFERROR(VLOOKUP($A92,INDIRECT("'"&amp;$T92&amp;"'"&amp;VLOOKUP($T92,Config!$B$4:$P$11,2)),VLOOKUP($T92,Config!$B$4:$P$11,13),FALSE),"-"),"-")</f>
        <v>-</v>
      </c>
      <c r="Z92" s="1" t="str">
        <f ca="1">IF(AND($E92&lt;&gt;"",OR($C92="Ready to Develop",$C92="7 PI Started",$C92="6 Epic Backlog",$C92="Done")),IFERROR(VLOOKUP($A92,INDIRECT("'"&amp;$T92&amp;"'"&amp;VLOOKUP($T92,Config!$B$4:$P$11,2)),VLOOKUP($T92,Config!$B$4:$P$11,15),FALSE),"-"),"-")</f>
        <v>-</v>
      </c>
    </row>
    <row r="93" spans="1:26" x14ac:dyDescent="0.2">
      <c r="A93" s="405" t="s">
        <v>546</v>
      </c>
      <c r="B93" t="s">
        <v>547</v>
      </c>
      <c r="C93" t="s">
        <v>448</v>
      </c>
      <c r="D93" t="s">
        <v>141</v>
      </c>
      <c r="F93" s="19"/>
      <c r="G93" s="19"/>
      <c r="H93" s="19"/>
      <c r="I93" s="19"/>
      <c r="J93" s="19"/>
      <c r="K93" s="19" t="str">
        <f t="shared" si="18"/>
        <v>-</v>
      </c>
      <c r="L93" s="1" t="str">
        <f t="shared" si="19"/>
        <v>-</v>
      </c>
      <c r="M93" s="19" t="str">
        <f t="shared" ca="1" si="20"/>
        <v>-</v>
      </c>
      <c r="N93" s="1" t="str">
        <f t="shared" ca="1" si="21"/>
        <v>-</v>
      </c>
      <c r="O93" s="1" t="str">
        <f t="shared" ca="1" si="22"/>
        <v>-</v>
      </c>
      <c r="P93" s="1" t="str">
        <f t="shared" ca="1" si="23"/>
        <v>-</v>
      </c>
      <c r="Q93" s="1" t="str">
        <f t="shared" ca="1" si="24"/>
        <v>-</v>
      </c>
      <c r="R93" s="1" t="str">
        <f t="shared" ca="1" si="25"/>
        <v>-</v>
      </c>
      <c r="S93" s="1"/>
      <c r="T93" s="7" t="str">
        <f t="shared" si="17"/>
        <v/>
      </c>
      <c r="U93" s="1" t="str">
        <f ca="1">IF(AND($E93&lt;&gt;"",OR($C93="Ready to Develop",$C93="7 PI Started",$C93="6 Epic Backlog",$C93="Done")),IFERROR(VLOOKUP($A93,INDIRECT("'"&amp;$T93&amp;"'"&amp;VLOOKUP($T93,Config!$B$4:$L$11,2)),VLOOKUP($T93,Config!$B$4:$L$11,5),FALSE),"-"),"-")</f>
        <v>-</v>
      </c>
      <c r="V93" s="1" t="str">
        <f ca="1">IF($C93="Done",IFERROR(VLOOKUP($A93,INDIRECT("'"&amp;$T93&amp;"'"&amp;VLOOKUP($T93,Config!$B$4:$L$11,2)),VLOOKUP($T93,Config!$B$4:$L$11,7),FALSE),"-"),"-")</f>
        <v>-</v>
      </c>
      <c r="W93" s="1" t="str">
        <f ca="1">IF(AND($E93&lt;&gt;"",OR($C93="Ready to Develop",$C93="7 PI Started",$C93="6 Epic Backlog",$C93="Done")),IFERROR(VLOOKUP($A93,INDIRECT("'"&amp;$T93&amp;"'"&amp;VLOOKUP($T93,Config!$B$4:$L$11,2)),VLOOKUP($T93,Config!$B$4:$L$11,9),FALSE),"-"),"-")</f>
        <v>-</v>
      </c>
      <c r="X93" s="1" t="str">
        <f ca="1">IF($C93="Done",IFERROR(VLOOKUP($A93,INDIRECT("'"&amp;$T93&amp;"'"&amp;VLOOKUP($T93,Config!$B$4:$L$11,2)),VLOOKUP($T93,Config!$B$4:$L$11,11),FALSE),"-"),"-")</f>
        <v>-</v>
      </c>
      <c r="Y93" s="1" t="str">
        <f ca="1">IF(AND($E93&lt;&gt;"",OR($C93="Ready to Develop",$C93="7 PI Started",$C93="6 Epic Backlog",$C93="Done")),IFERROR(VLOOKUP($A93,INDIRECT("'"&amp;$T93&amp;"'"&amp;VLOOKUP($T93,Config!$B$4:$P$11,2)),VLOOKUP($T93,Config!$B$4:$P$11,13),FALSE),"-"),"-")</f>
        <v>-</v>
      </c>
      <c r="Z93" s="1" t="str">
        <f ca="1">IF(AND($E93&lt;&gt;"",OR($C93="Ready to Develop",$C93="7 PI Started",$C93="6 Epic Backlog",$C93="Done")),IFERROR(VLOOKUP($A93,INDIRECT("'"&amp;$T93&amp;"'"&amp;VLOOKUP($T93,Config!$B$4:$P$11,2)),VLOOKUP($T93,Config!$B$4:$P$11,15),FALSE),"-"),"-")</f>
        <v>-</v>
      </c>
    </row>
    <row r="94" spans="1:26" x14ac:dyDescent="0.2">
      <c r="A94" s="405" t="s">
        <v>548</v>
      </c>
      <c r="B94" t="s">
        <v>549</v>
      </c>
      <c r="C94" t="s">
        <v>1</v>
      </c>
      <c r="D94" t="s">
        <v>206</v>
      </c>
      <c r="F94" s="19"/>
      <c r="G94" s="19"/>
      <c r="H94" s="19"/>
      <c r="I94" s="19"/>
      <c r="J94" s="19"/>
      <c r="K94" s="19" t="str">
        <f t="shared" si="18"/>
        <v>-</v>
      </c>
      <c r="L94" s="1" t="str">
        <f t="shared" si="19"/>
        <v>-</v>
      </c>
      <c r="M94" s="19" t="str">
        <f t="shared" ca="1" si="20"/>
        <v>-</v>
      </c>
      <c r="N94" s="1" t="str">
        <f t="shared" ca="1" si="21"/>
        <v>-</v>
      </c>
      <c r="O94" s="1" t="str">
        <f t="shared" ca="1" si="22"/>
        <v>-</v>
      </c>
      <c r="P94" s="1" t="str">
        <f t="shared" ca="1" si="23"/>
        <v>-</v>
      </c>
      <c r="Q94" s="1" t="str">
        <f t="shared" ca="1" si="24"/>
        <v>-</v>
      </c>
      <c r="R94" s="1" t="str">
        <f t="shared" ca="1" si="25"/>
        <v>-</v>
      </c>
      <c r="S94" s="1"/>
      <c r="T94" s="7" t="str">
        <f t="shared" si="17"/>
        <v/>
      </c>
      <c r="U94" s="1" t="str">
        <f ca="1">IF(AND($E94&lt;&gt;"",OR($C94="Ready to Develop",$C94="7 PI Started",$C94="6 Epic Backlog",$C94="Done")),IFERROR(VLOOKUP($A94,INDIRECT("'"&amp;$T94&amp;"'"&amp;VLOOKUP($T94,Config!$B$4:$L$11,2)),VLOOKUP($T94,Config!$B$4:$L$11,5),FALSE),"-"),"-")</f>
        <v>-</v>
      </c>
      <c r="V94" s="1" t="str">
        <f ca="1">IF($C94="Done",IFERROR(VLOOKUP($A94,INDIRECT("'"&amp;$T94&amp;"'"&amp;VLOOKUP($T94,Config!$B$4:$L$11,2)),VLOOKUP($T94,Config!$B$4:$L$11,7),FALSE),"-"),"-")</f>
        <v>-</v>
      </c>
      <c r="W94" s="1" t="str">
        <f ca="1">IF(AND($E94&lt;&gt;"",OR($C94="Ready to Develop",$C94="7 PI Started",$C94="6 Epic Backlog",$C94="Done")),IFERROR(VLOOKUP($A94,INDIRECT("'"&amp;$T94&amp;"'"&amp;VLOOKUP($T94,Config!$B$4:$L$11,2)),VLOOKUP($T94,Config!$B$4:$L$11,9),FALSE),"-"),"-")</f>
        <v>-</v>
      </c>
      <c r="X94" s="1" t="str">
        <f ca="1">IF($C94="Done",IFERROR(VLOOKUP($A94,INDIRECT("'"&amp;$T94&amp;"'"&amp;VLOOKUP($T94,Config!$B$4:$L$11,2)),VLOOKUP($T94,Config!$B$4:$L$11,11),FALSE),"-"),"-")</f>
        <v>-</v>
      </c>
      <c r="Y94" s="1" t="str">
        <f ca="1">IF(AND($E94&lt;&gt;"",OR($C94="Ready to Develop",$C94="7 PI Started",$C94="6 Epic Backlog",$C94="Done")),IFERROR(VLOOKUP($A94,INDIRECT("'"&amp;$T94&amp;"'"&amp;VLOOKUP($T94,Config!$B$4:$P$11,2)),VLOOKUP($T94,Config!$B$4:$P$11,13),FALSE),"-"),"-")</f>
        <v>-</v>
      </c>
      <c r="Z94" s="1" t="str">
        <f ca="1">IF(AND($E94&lt;&gt;"",OR($C94="Ready to Develop",$C94="7 PI Started",$C94="6 Epic Backlog",$C94="Done")),IFERROR(VLOOKUP($A94,INDIRECT("'"&amp;$T94&amp;"'"&amp;VLOOKUP($T94,Config!$B$4:$P$11,2)),VLOOKUP($T94,Config!$B$4:$P$11,15),FALSE),"-"),"-")</f>
        <v>-</v>
      </c>
    </row>
    <row r="95" spans="1:26" x14ac:dyDescent="0.2">
      <c r="A95" s="405" t="s">
        <v>550</v>
      </c>
      <c r="B95" t="s">
        <v>551</v>
      </c>
      <c r="C95" t="s">
        <v>527</v>
      </c>
      <c r="D95" t="s">
        <v>387</v>
      </c>
      <c r="F95" s="19"/>
      <c r="G95" s="19"/>
      <c r="H95" s="19"/>
      <c r="I95" s="19"/>
      <c r="J95" s="19"/>
      <c r="K95" s="19" t="str">
        <f t="shared" si="18"/>
        <v>-</v>
      </c>
      <c r="L95" s="1" t="str">
        <f t="shared" si="19"/>
        <v>-</v>
      </c>
      <c r="M95" s="19" t="str">
        <f t="shared" ca="1" si="20"/>
        <v>-</v>
      </c>
      <c r="N95" s="1" t="str">
        <f t="shared" ca="1" si="21"/>
        <v>-</v>
      </c>
      <c r="O95" s="1" t="str">
        <f t="shared" ca="1" si="22"/>
        <v>-</v>
      </c>
      <c r="P95" s="1" t="str">
        <f t="shared" ca="1" si="23"/>
        <v>-</v>
      </c>
      <c r="Q95" s="1" t="str">
        <f t="shared" ca="1" si="24"/>
        <v>-</v>
      </c>
      <c r="R95" s="1" t="str">
        <f t="shared" ca="1" si="25"/>
        <v>-</v>
      </c>
      <c r="S95" s="1"/>
      <c r="T95" s="7" t="str">
        <f t="shared" si="17"/>
        <v/>
      </c>
      <c r="U95" s="1" t="str">
        <f ca="1">IF(AND($E95&lt;&gt;"",OR($C95="Ready to Develop",$C95="7 PI Started",$C95="6 Epic Backlog",$C95="Done")),IFERROR(VLOOKUP($A95,INDIRECT("'"&amp;$T95&amp;"'"&amp;VLOOKUP($T95,Config!$B$4:$L$11,2)),VLOOKUP($T95,Config!$B$4:$L$11,5),FALSE),"-"),"-")</f>
        <v>-</v>
      </c>
      <c r="V95" s="1" t="str">
        <f ca="1">IF($C95="Done",IFERROR(VLOOKUP($A95,INDIRECT("'"&amp;$T95&amp;"'"&amp;VLOOKUP($T95,Config!$B$4:$L$11,2)),VLOOKUP($T95,Config!$B$4:$L$11,7),FALSE),"-"),"-")</f>
        <v>-</v>
      </c>
      <c r="W95" s="1" t="str">
        <f ca="1">IF(AND($E95&lt;&gt;"",OR($C95="Ready to Develop",$C95="7 PI Started",$C95="6 Epic Backlog",$C95="Done")),IFERROR(VLOOKUP($A95,INDIRECT("'"&amp;$T95&amp;"'"&amp;VLOOKUP($T95,Config!$B$4:$L$11,2)),VLOOKUP($T95,Config!$B$4:$L$11,9),FALSE),"-"),"-")</f>
        <v>-</v>
      </c>
      <c r="X95" s="1" t="str">
        <f ca="1">IF($C95="Done",IFERROR(VLOOKUP($A95,INDIRECT("'"&amp;$T95&amp;"'"&amp;VLOOKUP($T95,Config!$B$4:$L$11,2)),VLOOKUP($T95,Config!$B$4:$L$11,11),FALSE),"-"),"-")</f>
        <v>-</v>
      </c>
      <c r="Y95" s="1" t="str">
        <f ca="1">IF(AND($E95&lt;&gt;"",OR($C95="Ready to Develop",$C95="7 PI Started",$C95="6 Epic Backlog",$C95="Done")),IFERROR(VLOOKUP($A95,INDIRECT("'"&amp;$T95&amp;"'"&amp;VLOOKUP($T95,Config!$B$4:$P$11,2)),VLOOKUP($T95,Config!$B$4:$P$11,13),FALSE),"-"),"-")</f>
        <v>-</v>
      </c>
      <c r="Z95" s="1" t="str">
        <f ca="1">IF(AND($E95&lt;&gt;"",OR($C95="Ready to Develop",$C95="7 PI Started",$C95="6 Epic Backlog",$C95="Done")),IFERROR(VLOOKUP($A95,INDIRECT("'"&amp;$T95&amp;"'"&amp;VLOOKUP($T95,Config!$B$4:$P$11,2)),VLOOKUP($T95,Config!$B$4:$P$11,15),FALSE),"-"),"-")</f>
        <v>-</v>
      </c>
    </row>
    <row r="96" spans="1:26" x14ac:dyDescent="0.2">
      <c r="A96" s="405" t="s">
        <v>335</v>
      </c>
      <c r="B96" t="s">
        <v>552</v>
      </c>
      <c r="C96" t="s">
        <v>524</v>
      </c>
      <c r="D96" t="s">
        <v>387</v>
      </c>
      <c r="F96" s="19"/>
      <c r="G96" s="19"/>
      <c r="H96" s="19"/>
      <c r="I96" s="19"/>
      <c r="J96" s="19"/>
      <c r="K96" s="19" t="str">
        <f t="shared" si="18"/>
        <v>-</v>
      </c>
      <c r="L96" s="1" t="str">
        <f t="shared" si="19"/>
        <v>-</v>
      </c>
      <c r="M96" s="19" t="str">
        <f t="shared" ca="1" si="20"/>
        <v>-</v>
      </c>
      <c r="N96" s="1" t="str">
        <f t="shared" ca="1" si="21"/>
        <v>-</v>
      </c>
      <c r="O96" s="1" t="str">
        <f t="shared" ca="1" si="22"/>
        <v>-</v>
      </c>
      <c r="P96" s="1" t="str">
        <f t="shared" ca="1" si="23"/>
        <v>-</v>
      </c>
      <c r="Q96" s="1" t="str">
        <f t="shared" ca="1" si="24"/>
        <v>-</v>
      </c>
      <c r="R96" s="1" t="str">
        <f t="shared" ca="1" si="25"/>
        <v>-</v>
      </c>
      <c r="S96" s="1"/>
      <c r="T96" s="7" t="str">
        <f t="shared" si="17"/>
        <v/>
      </c>
      <c r="U96" s="1" t="str">
        <f ca="1">IF(AND($E96&lt;&gt;"",OR($C96="Ready to Develop",$C96="7 PI Started",$C96="6 Epic Backlog",$C96="Done")),IFERROR(VLOOKUP($A96,INDIRECT("'"&amp;$T96&amp;"'"&amp;VLOOKUP($T96,Config!$B$4:$L$11,2)),VLOOKUP($T96,Config!$B$4:$L$11,5),FALSE),"-"),"-")</f>
        <v>-</v>
      </c>
      <c r="V96" s="1" t="str">
        <f ca="1">IF($C96="Done",IFERROR(VLOOKUP($A96,INDIRECT("'"&amp;$T96&amp;"'"&amp;VLOOKUP($T96,Config!$B$4:$L$11,2)),VLOOKUP($T96,Config!$B$4:$L$11,7),FALSE),"-"),"-")</f>
        <v>-</v>
      </c>
      <c r="W96" s="1" t="str">
        <f ca="1">IF(AND($E96&lt;&gt;"",OR($C96="Ready to Develop",$C96="7 PI Started",$C96="6 Epic Backlog",$C96="Done")),IFERROR(VLOOKUP($A96,INDIRECT("'"&amp;$T96&amp;"'"&amp;VLOOKUP($T96,Config!$B$4:$L$11,2)),VLOOKUP($T96,Config!$B$4:$L$11,9),FALSE),"-"),"-")</f>
        <v>-</v>
      </c>
      <c r="X96" s="1" t="str">
        <f ca="1">IF($C96="Done",IFERROR(VLOOKUP($A96,INDIRECT("'"&amp;$T96&amp;"'"&amp;VLOOKUP($T96,Config!$B$4:$L$11,2)),VLOOKUP($T96,Config!$B$4:$L$11,11),FALSE),"-"),"-")</f>
        <v>-</v>
      </c>
      <c r="Y96" s="1" t="str">
        <f ca="1">IF(AND($E96&lt;&gt;"",OR($C96="Ready to Develop",$C96="7 PI Started",$C96="6 Epic Backlog",$C96="Done")),IFERROR(VLOOKUP($A96,INDIRECT("'"&amp;$T96&amp;"'"&amp;VLOOKUP($T96,Config!$B$4:$P$11,2)),VLOOKUP($T96,Config!$B$4:$P$11,13),FALSE),"-"),"-")</f>
        <v>-</v>
      </c>
      <c r="Z96" s="1" t="str">
        <f ca="1">IF(AND($E96&lt;&gt;"",OR($C96="Ready to Develop",$C96="7 PI Started",$C96="6 Epic Backlog",$C96="Done")),IFERROR(VLOOKUP($A96,INDIRECT("'"&amp;$T96&amp;"'"&amp;VLOOKUP($T96,Config!$B$4:$P$11,2)),VLOOKUP($T96,Config!$B$4:$P$11,15),FALSE),"-"),"-")</f>
        <v>-</v>
      </c>
    </row>
    <row r="97" spans="1:26" x14ac:dyDescent="0.2">
      <c r="A97" s="405" t="s">
        <v>337</v>
      </c>
      <c r="B97" t="s">
        <v>553</v>
      </c>
      <c r="C97" t="s">
        <v>461</v>
      </c>
      <c r="D97" t="s">
        <v>387</v>
      </c>
      <c r="F97" s="19"/>
      <c r="G97" s="19"/>
      <c r="H97" s="19"/>
      <c r="I97" s="19"/>
      <c r="J97" s="19"/>
      <c r="K97" s="19" t="str">
        <f t="shared" si="18"/>
        <v>-</v>
      </c>
      <c r="L97" s="1" t="str">
        <f t="shared" si="19"/>
        <v>-</v>
      </c>
      <c r="M97" s="19" t="str">
        <f t="shared" ca="1" si="20"/>
        <v>-</v>
      </c>
      <c r="N97" s="1" t="str">
        <f t="shared" ca="1" si="21"/>
        <v>-</v>
      </c>
      <c r="O97" s="1" t="str">
        <f t="shared" ca="1" si="22"/>
        <v>-</v>
      </c>
      <c r="P97" s="1" t="str">
        <f t="shared" ca="1" si="23"/>
        <v>-</v>
      </c>
      <c r="Q97" s="1" t="str">
        <f t="shared" ca="1" si="24"/>
        <v>-</v>
      </c>
      <c r="R97" s="1" t="str">
        <f t="shared" ca="1" si="25"/>
        <v>-</v>
      </c>
      <c r="S97" s="1"/>
      <c r="T97" s="7" t="str">
        <f t="shared" si="17"/>
        <v/>
      </c>
      <c r="U97" s="1" t="str">
        <f ca="1">IF(AND($E97&lt;&gt;"",OR($C97="Ready to Develop",$C97="7 PI Started",$C97="6 Epic Backlog",$C97="Done")),IFERROR(VLOOKUP($A97,INDIRECT("'"&amp;$T97&amp;"'"&amp;VLOOKUP($T97,Config!$B$4:$L$11,2)),VLOOKUP($T97,Config!$B$4:$L$11,5),FALSE),"-"),"-")</f>
        <v>-</v>
      </c>
      <c r="V97" s="1" t="str">
        <f ca="1">IF($C97="Done",IFERROR(VLOOKUP($A97,INDIRECT("'"&amp;$T97&amp;"'"&amp;VLOOKUP($T97,Config!$B$4:$L$11,2)),VLOOKUP($T97,Config!$B$4:$L$11,7),FALSE),"-"),"-")</f>
        <v>-</v>
      </c>
      <c r="W97" s="1" t="str">
        <f ca="1">IF(AND($E97&lt;&gt;"",OR($C97="Ready to Develop",$C97="7 PI Started",$C97="6 Epic Backlog",$C97="Done")),IFERROR(VLOOKUP($A97,INDIRECT("'"&amp;$T97&amp;"'"&amp;VLOOKUP($T97,Config!$B$4:$L$11,2)),VLOOKUP($T97,Config!$B$4:$L$11,9),FALSE),"-"),"-")</f>
        <v>-</v>
      </c>
      <c r="X97" s="1" t="str">
        <f ca="1">IF($C97="Done",IFERROR(VLOOKUP($A97,INDIRECT("'"&amp;$T97&amp;"'"&amp;VLOOKUP($T97,Config!$B$4:$L$11,2)),VLOOKUP($T97,Config!$B$4:$L$11,11),FALSE),"-"),"-")</f>
        <v>-</v>
      </c>
      <c r="Y97" s="1" t="str">
        <f ca="1">IF(AND($E97&lt;&gt;"",OR($C97="Ready to Develop",$C97="7 PI Started",$C97="6 Epic Backlog",$C97="Done")),IFERROR(VLOOKUP($A97,INDIRECT("'"&amp;$T97&amp;"'"&amp;VLOOKUP($T97,Config!$B$4:$P$11,2)),VLOOKUP($T97,Config!$B$4:$P$11,13),FALSE),"-"),"-")</f>
        <v>-</v>
      </c>
      <c r="Z97" s="1" t="str">
        <f ca="1">IF(AND($E97&lt;&gt;"",OR($C97="Ready to Develop",$C97="7 PI Started",$C97="6 Epic Backlog",$C97="Done")),IFERROR(VLOOKUP($A97,INDIRECT("'"&amp;$T97&amp;"'"&amp;VLOOKUP($T97,Config!$B$4:$P$11,2)),VLOOKUP($T97,Config!$B$4:$P$11,15),FALSE),"-"),"-")</f>
        <v>-</v>
      </c>
    </row>
    <row r="98" spans="1:26" x14ac:dyDescent="0.2">
      <c r="A98" s="405" t="s">
        <v>332</v>
      </c>
      <c r="B98" t="s">
        <v>554</v>
      </c>
      <c r="C98" t="s">
        <v>461</v>
      </c>
      <c r="D98" t="s">
        <v>387</v>
      </c>
      <c r="F98" s="19"/>
      <c r="G98" s="19"/>
      <c r="H98" s="19"/>
      <c r="I98" s="19"/>
      <c r="J98" s="19"/>
      <c r="K98" s="19" t="str">
        <f t="shared" si="18"/>
        <v>-</v>
      </c>
      <c r="L98" s="1" t="str">
        <f t="shared" si="19"/>
        <v>-</v>
      </c>
      <c r="M98" s="19" t="str">
        <f t="shared" ca="1" si="20"/>
        <v>-</v>
      </c>
      <c r="N98" s="1" t="str">
        <f t="shared" ca="1" si="21"/>
        <v>-</v>
      </c>
      <c r="O98" s="1" t="str">
        <f t="shared" ca="1" si="22"/>
        <v>-</v>
      </c>
      <c r="P98" s="1" t="str">
        <f t="shared" ca="1" si="23"/>
        <v>-</v>
      </c>
      <c r="Q98" s="1" t="str">
        <f t="shared" ca="1" si="24"/>
        <v>-</v>
      </c>
      <c r="R98" s="1" t="str">
        <f t="shared" ca="1" si="25"/>
        <v>-</v>
      </c>
      <c r="S98" s="1"/>
      <c r="T98" s="7" t="str">
        <f t="shared" si="17"/>
        <v/>
      </c>
      <c r="U98" s="1" t="str">
        <f ca="1">IF(AND($E98&lt;&gt;"",OR($C98="Ready to Develop",$C98="7 PI Started",$C98="6 Epic Backlog",$C98="Done")),IFERROR(VLOOKUP($A98,INDIRECT("'"&amp;$T98&amp;"'"&amp;VLOOKUP($T98,Config!$B$4:$L$11,2)),VLOOKUP($T98,Config!$B$4:$L$11,5),FALSE),"-"),"-")</f>
        <v>-</v>
      </c>
      <c r="V98" s="1" t="str">
        <f ca="1">IF($C98="Done",IFERROR(VLOOKUP($A98,INDIRECT("'"&amp;$T98&amp;"'"&amp;VLOOKUP($T98,Config!$B$4:$L$11,2)),VLOOKUP($T98,Config!$B$4:$L$11,7),FALSE),"-"),"-")</f>
        <v>-</v>
      </c>
      <c r="W98" s="1" t="str">
        <f ca="1">IF(AND($E98&lt;&gt;"",OR($C98="Ready to Develop",$C98="7 PI Started",$C98="6 Epic Backlog",$C98="Done")),IFERROR(VLOOKUP($A98,INDIRECT("'"&amp;$T98&amp;"'"&amp;VLOOKUP($T98,Config!$B$4:$L$11,2)),VLOOKUP($T98,Config!$B$4:$L$11,9),FALSE),"-"),"-")</f>
        <v>-</v>
      </c>
      <c r="X98" s="1" t="str">
        <f ca="1">IF($C98="Done",IFERROR(VLOOKUP($A98,INDIRECT("'"&amp;$T98&amp;"'"&amp;VLOOKUP($T98,Config!$B$4:$L$11,2)),VLOOKUP($T98,Config!$B$4:$L$11,11),FALSE),"-"),"-")</f>
        <v>-</v>
      </c>
      <c r="Y98" s="1" t="str">
        <f ca="1">IF(AND($E98&lt;&gt;"",OR($C98="Ready to Develop",$C98="7 PI Started",$C98="6 Epic Backlog",$C98="Done")),IFERROR(VLOOKUP($A98,INDIRECT("'"&amp;$T98&amp;"'"&amp;VLOOKUP($T98,Config!$B$4:$P$11,2)),VLOOKUP($T98,Config!$B$4:$P$11,13),FALSE),"-"),"-")</f>
        <v>-</v>
      </c>
      <c r="Z98" s="1" t="str">
        <f ca="1">IF(AND($E98&lt;&gt;"",OR($C98="Ready to Develop",$C98="7 PI Started",$C98="6 Epic Backlog",$C98="Done")),IFERROR(VLOOKUP($A98,INDIRECT("'"&amp;$T98&amp;"'"&amp;VLOOKUP($T98,Config!$B$4:$P$11,2)),VLOOKUP($T98,Config!$B$4:$P$11,15),FALSE),"-"),"-")</f>
        <v>-</v>
      </c>
    </row>
    <row r="99" spans="1:26" x14ac:dyDescent="0.2">
      <c r="A99" s="405" t="s">
        <v>555</v>
      </c>
      <c r="B99" t="s">
        <v>556</v>
      </c>
      <c r="C99" t="s">
        <v>393</v>
      </c>
      <c r="D99" t="s">
        <v>387</v>
      </c>
      <c r="F99" s="19"/>
      <c r="G99" s="19"/>
      <c r="H99" s="19"/>
      <c r="I99" s="19"/>
      <c r="J99" s="19"/>
      <c r="K99" s="19" t="str">
        <f t="shared" si="18"/>
        <v>-</v>
      </c>
      <c r="L99" s="1" t="str">
        <f t="shared" si="19"/>
        <v>-</v>
      </c>
      <c r="M99" s="19" t="str">
        <f t="shared" ca="1" si="20"/>
        <v>Archived</v>
      </c>
      <c r="N99" s="1" t="str">
        <f t="shared" ca="1" si="21"/>
        <v>-</v>
      </c>
      <c r="O99" s="1" t="str">
        <f t="shared" ca="1" si="22"/>
        <v>Archived</v>
      </c>
      <c r="P99" s="1" t="str">
        <f t="shared" ca="1" si="23"/>
        <v>-</v>
      </c>
      <c r="Q99" s="1" t="str">
        <f t="shared" ca="1" si="24"/>
        <v>-</v>
      </c>
      <c r="R99" s="1" t="str">
        <f t="shared" ca="1" si="25"/>
        <v>-</v>
      </c>
      <c r="S99" s="1"/>
      <c r="T99" s="7" t="str">
        <f t="shared" si="17"/>
        <v/>
      </c>
      <c r="U99" s="1" t="str">
        <f ca="1">IF(AND($E99&lt;&gt;"",OR($C99="Ready to Develop",$C99="7 PI Started",$C99="6 Epic Backlog",$C99="Done")),IFERROR(VLOOKUP($A99,INDIRECT("'"&amp;$T99&amp;"'"&amp;VLOOKUP($T99,Config!$B$4:$L$11,2)),VLOOKUP($T99,Config!$B$4:$L$11,5),FALSE),"-"),"-")</f>
        <v>-</v>
      </c>
      <c r="V99" s="1" t="str">
        <f ca="1">IF($C99="Done",IFERROR(VLOOKUP($A99,INDIRECT("'"&amp;$T99&amp;"'"&amp;VLOOKUP($T99,Config!$B$4:$L$11,2)),VLOOKUP($T99,Config!$B$4:$L$11,7),FALSE),"-"),"-")</f>
        <v>-</v>
      </c>
      <c r="W99" s="1" t="str">
        <f ca="1">IF(AND($E99&lt;&gt;"",OR($C99="Ready to Develop",$C99="7 PI Started",$C99="6 Epic Backlog",$C99="Done")),IFERROR(VLOOKUP($A99,INDIRECT("'"&amp;$T99&amp;"'"&amp;VLOOKUP($T99,Config!$B$4:$L$11,2)),VLOOKUP($T99,Config!$B$4:$L$11,9),FALSE),"-"),"-")</f>
        <v>-</v>
      </c>
      <c r="X99" s="1" t="str">
        <f ca="1">IF($C99="Done",IFERROR(VLOOKUP($A99,INDIRECT("'"&amp;$T99&amp;"'"&amp;VLOOKUP($T99,Config!$B$4:$L$11,2)),VLOOKUP($T99,Config!$B$4:$L$11,11),FALSE),"-"),"-")</f>
        <v>-</v>
      </c>
      <c r="Y99" s="1" t="str">
        <f ca="1">IF(AND($E99&lt;&gt;"",OR($C99="Ready to Develop",$C99="7 PI Started",$C99="6 Epic Backlog",$C99="Done")),IFERROR(VLOOKUP($A99,INDIRECT("'"&amp;$T99&amp;"'"&amp;VLOOKUP($T99,Config!$B$4:$P$11,2)),VLOOKUP($T99,Config!$B$4:$P$11,13),FALSE),"-"),"-")</f>
        <v>-</v>
      </c>
      <c r="Z99" s="1" t="str">
        <f ca="1">IF(AND($E99&lt;&gt;"",OR($C99="Ready to Develop",$C99="7 PI Started",$C99="6 Epic Backlog",$C99="Done")),IFERROR(VLOOKUP($A99,INDIRECT("'"&amp;$T99&amp;"'"&amp;VLOOKUP($T99,Config!$B$4:$P$11,2)),VLOOKUP($T99,Config!$B$4:$P$11,15),FALSE),"-"),"-")</f>
        <v>-</v>
      </c>
    </row>
    <row r="100" spans="1:26" x14ac:dyDescent="0.2">
      <c r="A100" s="405" t="s">
        <v>557</v>
      </c>
      <c r="B100" t="s">
        <v>558</v>
      </c>
      <c r="C100" t="s">
        <v>393</v>
      </c>
      <c r="D100" t="s">
        <v>389</v>
      </c>
      <c r="F100" s="19"/>
      <c r="G100" s="19"/>
      <c r="H100" s="19"/>
      <c r="I100" s="19"/>
      <c r="J100" s="19"/>
      <c r="K100" s="19" t="str">
        <f t="shared" si="18"/>
        <v>-</v>
      </c>
      <c r="L100" s="1" t="str">
        <f t="shared" si="19"/>
        <v>-</v>
      </c>
      <c r="M100" s="19" t="str">
        <f t="shared" ca="1" si="20"/>
        <v>Archived</v>
      </c>
      <c r="N100" s="1" t="str">
        <f t="shared" ca="1" si="21"/>
        <v>-</v>
      </c>
      <c r="O100" s="1" t="str">
        <f t="shared" ca="1" si="22"/>
        <v>Archived</v>
      </c>
      <c r="P100" s="1" t="str">
        <f t="shared" ca="1" si="23"/>
        <v>-</v>
      </c>
      <c r="Q100" s="1" t="str">
        <f t="shared" ca="1" si="24"/>
        <v>-</v>
      </c>
      <c r="R100" s="1" t="str">
        <f t="shared" ca="1" si="25"/>
        <v>-</v>
      </c>
      <c r="S100" s="1"/>
      <c r="T100" s="7" t="str">
        <f t="shared" si="17"/>
        <v/>
      </c>
      <c r="U100" s="1" t="str">
        <f ca="1">IF(AND($E100&lt;&gt;"",OR($C100="Ready to Develop",$C100="7 PI Started",$C100="6 Epic Backlog",$C100="Done")),IFERROR(VLOOKUP($A100,INDIRECT("'"&amp;$T100&amp;"'"&amp;VLOOKUP($T100,Config!$B$4:$L$11,2)),VLOOKUP($T100,Config!$B$4:$L$11,5),FALSE),"-"),"-")</f>
        <v>-</v>
      </c>
      <c r="V100" s="1" t="str">
        <f ca="1">IF($C100="Done",IFERROR(VLOOKUP($A100,INDIRECT("'"&amp;$T100&amp;"'"&amp;VLOOKUP($T100,Config!$B$4:$L$11,2)),VLOOKUP($T100,Config!$B$4:$L$11,7),FALSE),"-"),"-")</f>
        <v>-</v>
      </c>
      <c r="W100" s="1" t="str">
        <f ca="1">IF(AND($E100&lt;&gt;"",OR($C100="Ready to Develop",$C100="7 PI Started",$C100="6 Epic Backlog",$C100="Done")),IFERROR(VLOOKUP($A100,INDIRECT("'"&amp;$T100&amp;"'"&amp;VLOOKUP($T100,Config!$B$4:$L$11,2)),VLOOKUP($T100,Config!$B$4:$L$11,9),FALSE),"-"),"-")</f>
        <v>-</v>
      </c>
      <c r="X100" s="1" t="str">
        <f ca="1">IF($C100="Done",IFERROR(VLOOKUP($A100,INDIRECT("'"&amp;$T100&amp;"'"&amp;VLOOKUP($T100,Config!$B$4:$L$11,2)),VLOOKUP($T100,Config!$B$4:$L$11,11),FALSE),"-"),"-")</f>
        <v>-</v>
      </c>
      <c r="Y100" s="1" t="str">
        <f ca="1">IF(AND($E100&lt;&gt;"",OR($C100="Ready to Develop",$C100="7 PI Started",$C100="6 Epic Backlog",$C100="Done")),IFERROR(VLOOKUP($A100,INDIRECT("'"&amp;$T100&amp;"'"&amp;VLOOKUP($T100,Config!$B$4:$P$11,2)),VLOOKUP($T100,Config!$B$4:$P$11,13),FALSE),"-"),"-")</f>
        <v>-</v>
      </c>
      <c r="Z100" s="1" t="str">
        <f ca="1">IF(AND($E100&lt;&gt;"",OR($C100="Ready to Develop",$C100="7 PI Started",$C100="6 Epic Backlog",$C100="Done")),IFERROR(VLOOKUP($A100,INDIRECT("'"&amp;$T100&amp;"'"&amp;VLOOKUP($T100,Config!$B$4:$P$11,2)),VLOOKUP($T100,Config!$B$4:$P$11,15),FALSE),"-"),"-")</f>
        <v>-</v>
      </c>
    </row>
    <row r="101" spans="1:26" x14ac:dyDescent="0.2">
      <c r="A101" s="405" t="s">
        <v>246</v>
      </c>
      <c r="B101" t="s">
        <v>247</v>
      </c>
      <c r="C101" t="s">
        <v>507</v>
      </c>
      <c r="D101" t="s">
        <v>400</v>
      </c>
      <c r="F101" s="19"/>
      <c r="G101" s="19"/>
      <c r="H101" s="19"/>
      <c r="I101" s="19"/>
      <c r="J101" s="19"/>
      <c r="K101" s="19" t="str">
        <f t="shared" si="18"/>
        <v>-</v>
      </c>
      <c r="L101" s="1" t="str">
        <f t="shared" si="19"/>
        <v>-</v>
      </c>
      <c r="M101" s="19" t="str">
        <f t="shared" ca="1" si="20"/>
        <v>-</v>
      </c>
      <c r="N101" s="1" t="str">
        <f t="shared" ca="1" si="21"/>
        <v>-</v>
      </c>
      <c r="O101" s="1" t="str">
        <f t="shared" ca="1" si="22"/>
        <v>-</v>
      </c>
      <c r="P101" s="1" t="str">
        <f t="shared" ca="1" si="23"/>
        <v>-</v>
      </c>
      <c r="Q101" s="1" t="str">
        <f t="shared" ca="1" si="24"/>
        <v>-</v>
      </c>
      <c r="R101" s="1" t="str">
        <f t="shared" ca="1" si="25"/>
        <v>-</v>
      </c>
      <c r="S101" s="1"/>
      <c r="T101" s="7" t="str">
        <f t="shared" si="17"/>
        <v/>
      </c>
      <c r="U101" s="1" t="str">
        <f ca="1">IF(AND($E101&lt;&gt;"",OR($C101="Ready to Develop",$C101="7 PI Started",$C101="6 Epic Backlog",$C101="Done")),IFERROR(VLOOKUP($A101,INDIRECT("'"&amp;$T101&amp;"'"&amp;VLOOKUP($T101,Config!$B$4:$L$11,2)),VLOOKUP($T101,Config!$B$4:$L$11,5),FALSE),"-"),"-")</f>
        <v>-</v>
      </c>
      <c r="V101" s="1" t="str">
        <f ca="1">IF($C101="Done",IFERROR(VLOOKUP($A101,INDIRECT("'"&amp;$T101&amp;"'"&amp;VLOOKUP($T101,Config!$B$4:$L$11,2)),VLOOKUP($T101,Config!$B$4:$L$11,7),FALSE),"-"),"-")</f>
        <v>-</v>
      </c>
      <c r="W101" s="1" t="str">
        <f ca="1">IF(AND($E101&lt;&gt;"",OR($C101="Ready to Develop",$C101="7 PI Started",$C101="6 Epic Backlog",$C101="Done")),IFERROR(VLOOKUP($A101,INDIRECT("'"&amp;$T101&amp;"'"&amp;VLOOKUP($T101,Config!$B$4:$L$11,2)),VLOOKUP($T101,Config!$B$4:$L$11,9),FALSE),"-"),"-")</f>
        <v>-</v>
      </c>
      <c r="X101" s="1" t="str">
        <f ca="1">IF($C101="Done",IFERROR(VLOOKUP($A101,INDIRECT("'"&amp;$T101&amp;"'"&amp;VLOOKUP($T101,Config!$B$4:$L$11,2)),VLOOKUP($T101,Config!$B$4:$L$11,11),FALSE),"-"),"-")</f>
        <v>-</v>
      </c>
      <c r="Y101" s="1" t="str">
        <f ca="1">IF(AND($E101&lt;&gt;"",OR($C101="Ready to Develop",$C101="7 PI Started",$C101="6 Epic Backlog",$C101="Done")),IFERROR(VLOOKUP($A101,INDIRECT("'"&amp;$T101&amp;"'"&amp;VLOOKUP($T101,Config!$B$4:$P$11,2)),VLOOKUP($T101,Config!$B$4:$P$11,13),FALSE),"-"),"-")</f>
        <v>-</v>
      </c>
      <c r="Z101" s="1" t="str">
        <f ca="1">IF(AND($E101&lt;&gt;"",OR($C101="Ready to Develop",$C101="7 PI Started",$C101="6 Epic Backlog",$C101="Done")),IFERROR(VLOOKUP($A101,INDIRECT("'"&amp;$T101&amp;"'"&amp;VLOOKUP($T101,Config!$B$4:$P$11,2)),VLOOKUP($T101,Config!$B$4:$P$11,15),FALSE),"-"),"-")</f>
        <v>-</v>
      </c>
    </row>
    <row r="102" spans="1:26" x14ac:dyDescent="0.2">
      <c r="A102" s="405" t="s">
        <v>559</v>
      </c>
      <c r="B102" t="s">
        <v>560</v>
      </c>
      <c r="C102" t="s">
        <v>448</v>
      </c>
      <c r="D102" t="s">
        <v>387</v>
      </c>
      <c r="F102" s="19"/>
      <c r="G102" s="19"/>
      <c r="H102" s="19"/>
      <c r="I102" s="19"/>
      <c r="J102" s="19"/>
      <c r="K102" s="19" t="str">
        <f t="shared" si="18"/>
        <v>-</v>
      </c>
      <c r="L102" s="1" t="str">
        <f t="shared" si="19"/>
        <v>-</v>
      </c>
      <c r="M102" s="19" t="str">
        <f t="shared" ca="1" si="20"/>
        <v>-</v>
      </c>
      <c r="N102" s="1" t="str">
        <f t="shared" ca="1" si="21"/>
        <v>-</v>
      </c>
      <c r="O102" s="1" t="str">
        <f t="shared" ca="1" si="22"/>
        <v>-</v>
      </c>
      <c r="P102" s="1" t="str">
        <f t="shared" ca="1" si="23"/>
        <v>-</v>
      </c>
      <c r="Q102" s="1" t="str">
        <f t="shared" ca="1" si="24"/>
        <v>-</v>
      </c>
      <c r="R102" s="1" t="str">
        <f t="shared" ca="1" si="25"/>
        <v>-</v>
      </c>
      <c r="S102" s="1"/>
      <c r="T102" s="7" t="str">
        <f t="shared" si="17"/>
        <v/>
      </c>
      <c r="U102" s="1" t="str">
        <f ca="1">IF(AND($E102&lt;&gt;"",OR($C102="Ready to Develop",$C102="7 PI Started",$C102="6 Epic Backlog",$C102="Done")),IFERROR(VLOOKUP($A102,INDIRECT("'"&amp;$T102&amp;"'"&amp;VLOOKUP($T102,Config!$B$4:$L$11,2)),VLOOKUP($T102,Config!$B$4:$L$11,5),FALSE),"-"),"-")</f>
        <v>-</v>
      </c>
      <c r="V102" s="1" t="str">
        <f ca="1">IF($C102="Done",IFERROR(VLOOKUP($A102,INDIRECT("'"&amp;$T102&amp;"'"&amp;VLOOKUP($T102,Config!$B$4:$L$11,2)),VLOOKUP($T102,Config!$B$4:$L$11,7),FALSE),"-"),"-")</f>
        <v>-</v>
      </c>
      <c r="W102" s="1" t="str">
        <f ca="1">IF(AND($E102&lt;&gt;"",OR($C102="Ready to Develop",$C102="7 PI Started",$C102="6 Epic Backlog",$C102="Done")),IFERROR(VLOOKUP($A102,INDIRECT("'"&amp;$T102&amp;"'"&amp;VLOOKUP($T102,Config!$B$4:$L$11,2)),VLOOKUP($T102,Config!$B$4:$L$11,9),FALSE),"-"),"-")</f>
        <v>-</v>
      </c>
      <c r="X102" s="1" t="str">
        <f ca="1">IF($C102="Done",IFERROR(VLOOKUP($A102,INDIRECT("'"&amp;$T102&amp;"'"&amp;VLOOKUP($T102,Config!$B$4:$L$11,2)),VLOOKUP($T102,Config!$B$4:$L$11,11),FALSE),"-"),"-")</f>
        <v>-</v>
      </c>
      <c r="Y102" s="1" t="str">
        <f ca="1">IF(AND($E102&lt;&gt;"",OR($C102="Ready to Develop",$C102="7 PI Started",$C102="6 Epic Backlog",$C102="Done")),IFERROR(VLOOKUP($A102,INDIRECT("'"&amp;$T102&amp;"'"&amp;VLOOKUP($T102,Config!$B$4:$P$11,2)),VLOOKUP($T102,Config!$B$4:$P$11,13),FALSE),"-"),"-")</f>
        <v>-</v>
      </c>
      <c r="Z102" s="1" t="str">
        <f ca="1">IF(AND($E102&lt;&gt;"",OR($C102="Ready to Develop",$C102="7 PI Started",$C102="6 Epic Backlog",$C102="Done")),IFERROR(VLOOKUP($A102,INDIRECT("'"&amp;$T102&amp;"'"&amp;VLOOKUP($T102,Config!$B$4:$P$11,2)),VLOOKUP($T102,Config!$B$4:$P$11,15),FALSE),"-"),"-")</f>
        <v>-</v>
      </c>
    </row>
    <row r="103" spans="1:26" x14ac:dyDescent="0.2">
      <c r="A103" s="405" t="s">
        <v>146</v>
      </c>
      <c r="B103" t="s">
        <v>561</v>
      </c>
      <c r="C103" t="s">
        <v>461</v>
      </c>
      <c r="D103" t="s">
        <v>389</v>
      </c>
      <c r="F103" s="19"/>
      <c r="G103" s="19"/>
      <c r="H103" s="19"/>
      <c r="I103" s="19"/>
      <c r="J103" s="19"/>
      <c r="K103" s="19" t="str">
        <f t="shared" si="18"/>
        <v>-</v>
      </c>
      <c r="L103" s="1" t="str">
        <f t="shared" si="19"/>
        <v>-</v>
      </c>
      <c r="M103" s="19" t="str">
        <f t="shared" ca="1" si="20"/>
        <v>-</v>
      </c>
      <c r="N103" s="1" t="str">
        <f t="shared" ca="1" si="21"/>
        <v>-</v>
      </c>
      <c r="O103" s="1" t="str">
        <f t="shared" ca="1" si="22"/>
        <v>-</v>
      </c>
      <c r="P103" s="1" t="str">
        <f t="shared" ca="1" si="23"/>
        <v>-</v>
      </c>
      <c r="Q103" s="1" t="str">
        <f t="shared" ca="1" si="24"/>
        <v>-</v>
      </c>
      <c r="R103" s="1" t="str">
        <f t="shared" ca="1" si="25"/>
        <v>-</v>
      </c>
      <c r="S103" s="1"/>
      <c r="T103" s="7" t="str">
        <f t="shared" si="17"/>
        <v/>
      </c>
      <c r="U103" s="1" t="str">
        <f ca="1">IF(AND($E103&lt;&gt;"",OR($C103="Ready to Develop",$C103="7 PI Started",$C103="6 Epic Backlog",$C103="Done")),IFERROR(VLOOKUP($A103,INDIRECT("'"&amp;$T103&amp;"'"&amp;VLOOKUP($T103,Config!$B$4:$L$11,2)),VLOOKUP($T103,Config!$B$4:$L$11,5),FALSE),"-"),"-")</f>
        <v>-</v>
      </c>
      <c r="V103" s="1" t="str">
        <f ca="1">IF($C103="Done",IFERROR(VLOOKUP($A103,INDIRECT("'"&amp;$T103&amp;"'"&amp;VLOOKUP($T103,Config!$B$4:$L$11,2)),VLOOKUP($T103,Config!$B$4:$L$11,7),FALSE),"-"),"-")</f>
        <v>-</v>
      </c>
      <c r="W103" s="1" t="str">
        <f ca="1">IF(AND($E103&lt;&gt;"",OR($C103="Ready to Develop",$C103="7 PI Started",$C103="6 Epic Backlog",$C103="Done")),IFERROR(VLOOKUP($A103,INDIRECT("'"&amp;$T103&amp;"'"&amp;VLOOKUP($T103,Config!$B$4:$L$11,2)),VLOOKUP($T103,Config!$B$4:$L$11,9),FALSE),"-"),"-")</f>
        <v>-</v>
      </c>
      <c r="X103" s="1" t="str">
        <f ca="1">IF($C103="Done",IFERROR(VLOOKUP($A103,INDIRECT("'"&amp;$T103&amp;"'"&amp;VLOOKUP($T103,Config!$B$4:$L$11,2)),VLOOKUP($T103,Config!$B$4:$L$11,11),FALSE),"-"),"-")</f>
        <v>-</v>
      </c>
      <c r="Y103" s="1" t="str">
        <f ca="1">IF(AND($E103&lt;&gt;"",OR($C103="Ready to Develop",$C103="7 PI Started",$C103="6 Epic Backlog",$C103="Done")),IFERROR(VLOOKUP($A103,INDIRECT("'"&amp;$T103&amp;"'"&amp;VLOOKUP($T103,Config!$B$4:$P$11,2)),VLOOKUP($T103,Config!$B$4:$P$11,13),FALSE),"-"),"-")</f>
        <v>-</v>
      </c>
      <c r="Z103" s="1" t="str">
        <f ca="1">IF(AND($E103&lt;&gt;"",OR($C103="Ready to Develop",$C103="7 PI Started",$C103="6 Epic Backlog",$C103="Done")),IFERROR(VLOOKUP($A103,INDIRECT("'"&amp;$T103&amp;"'"&amp;VLOOKUP($T103,Config!$B$4:$P$11,2)),VLOOKUP($T103,Config!$B$4:$P$11,15),FALSE),"-"),"-")</f>
        <v>-</v>
      </c>
    </row>
    <row r="104" spans="1:26" x14ac:dyDescent="0.2">
      <c r="A104" s="405" t="s">
        <v>274</v>
      </c>
      <c r="B104" t="s">
        <v>562</v>
      </c>
      <c r="C104" t="s">
        <v>461</v>
      </c>
      <c r="D104" t="s">
        <v>206</v>
      </c>
      <c r="F104" s="19"/>
      <c r="G104" s="19"/>
      <c r="H104" s="19"/>
      <c r="I104" s="19"/>
      <c r="J104" s="19"/>
      <c r="K104" s="19" t="str">
        <f t="shared" si="18"/>
        <v>-</v>
      </c>
      <c r="L104" s="1" t="str">
        <f t="shared" si="19"/>
        <v>-</v>
      </c>
      <c r="M104" s="19" t="str">
        <f t="shared" ca="1" si="20"/>
        <v>-</v>
      </c>
      <c r="N104" s="1" t="str">
        <f t="shared" ca="1" si="21"/>
        <v>-</v>
      </c>
      <c r="O104" s="1" t="str">
        <f t="shared" ca="1" si="22"/>
        <v>-</v>
      </c>
      <c r="P104" s="1" t="str">
        <f t="shared" ca="1" si="23"/>
        <v>-</v>
      </c>
      <c r="Q104" s="1" t="str">
        <f t="shared" ca="1" si="24"/>
        <v>-</v>
      </c>
      <c r="R104" s="1" t="str">
        <f t="shared" ca="1" si="25"/>
        <v>-</v>
      </c>
      <c r="S104" s="1"/>
      <c r="T104" s="7" t="str">
        <f t="shared" si="17"/>
        <v/>
      </c>
      <c r="U104" s="1" t="str">
        <f ca="1">IF(AND($E104&lt;&gt;"",OR($C104="Ready to Develop",$C104="7 PI Started",$C104="6 Epic Backlog",$C104="Done")),IFERROR(VLOOKUP($A104,INDIRECT("'"&amp;$T104&amp;"'"&amp;VLOOKUP($T104,Config!$B$4:$L$11,2)),VLOOKUP($T104,Config!$B$4:$L$11,5),FALSE),"-"),"-")</f>
        <v>-</v>
      </c>
      <c r="V104" s="1" t="str">
        <f ca="1">IF($C104="Done",IFERROR(VLOOKUP($A104,INDIRECT("'"&amp;$T104&amp;"'"&amp;VLOOKUP($T104,Config!$B$4:$L$11,2)),VLOOKUP($T104,Config!$B$4:$L$11,7),FALSE),"-"),"-")</f>
        <v>-</v>
      </c>
      <c r="W104" s="1" t="str">
        <f ca="1">IF(AND($E104&lt;&gt;"",OR($C104="Ready to Develop",$C104="7 PI Started",$C104="6 Epic Backlog",$C104="Done")),IFERROR(VLOOKUP($A104,INDIRECT("'"&amp;$T104&amp;"'"&amp;VLOOKUP($T104,Config!$B$4:$L$11,2)),VLOOKUP($T104,Config!$B$4:$L$11,9),FALSE),"-"),"-")</f>
        <v>-</v>
      </c>
      <c r="X104" s="1" t="str">
        <f ca="1">IF($C104="Done",IFERROR(VLOOKUP($A104,INDIRECT("'"&amp;$T104&amp;"'"&amp;VLOOKUP($T104,Config!$B$4:$L$11,2)),VLOOKUP($T104,Config!$B$4:$L$11,11),FALSE),"-"),"-")</f>
        <v>-</v>
      </c>
      <c r="Y104" s="1" t="str">
        <f ca="1">IF(AND($E104&lt;&gt;"",OR($C104="Ready to Develop",$C104="7 PI Started",$C104="6 Epic Backlog",$C104="Done")),IFERROR(VLOOKUP($A104,INDIRECT("'"&amp;$T104&amp;"'"&amp;VLOOKUP($T104,Config!$B$4:$P$11,2)),VLOOKUP($T104,Config!$B$4:$P$11,13),FALSE),"-"),"-")</f>
        <v>-</v>
      </c>
      <c r="Z104" s="1" t="str">
        <f ca="1">IF(AND($E104&lt;&gt;"",OR($C104="Ready to Develop",$C104="7 PI Started",$C104="6 Epic Backlog",$C104="Done")),IFERROR(VLOOKUP($A104,INDIRECT("'"&amp;$T104&amp;"'"&amp;VLOOKUP($T104,Config!$B$4:$P$11,2)),VLOOKUP($T104,Config!$B$4:$P$11,15),FALSE),"-"),"-")</f>
        <v>-</v>
      </c>
    </row>
    <row r="105" spans="1:26" x14ac:dyDescent="0.2">
      <c r="A105" s="405" t="s">
        <v>563</v>
      </c>
      <c r="B105" t="s">
        <v>564</v>
      </c>
      <c r="C105" t="s">
        <v>1</v>
      </c>
      <c r="D105" t="s">
        <v>387</v>
      </c>
      <c r="F105" s="19"/>
      <c r="G105" s="19"/>
      <c r="H105" s="19"/>
      <c r="I105" s="19"/>
      <c r="J105" s="19"/>
      <c r="K105" s="19" t="str">
        <f t="shared" si="18"/>
        <v>-</v>
      </c>
      <c r="L105" s="1" t="str">
        <f t="shared" si="19"/>
        <v>-</v>
      </c>
      <c r="M105" s="19" t="str">
        <f t="shared" ca="1" si="20"/>
        <v>-</v>
      </c>
      <c r="N105" s="1" t="str">
        <f t="shared" ca="1" si="21"/>
        <v>-</v>
      </c>
      <c r="O105" s="1" t="str">
        <f t="shared" ca="1" si="22"/>
        <v>-</v>
      </c>
      <c r="P105" s="1" t="str">
        <f t="shared" ca="1" si="23"/>
        <v>-</v>
      </c>
      <c r="Q105" s="1" t="str">
        <f t="shared" ca="1" si="24"/>
        <v>-</v>
      </c>
      <c r="R105" s="1" t="str">
        <f t="shared" ca="1" si="25"/>
        <v>-</v>
      </c>
      <c r="S105" s="1"/>
      <c r="T105" s="7" t="str">
        <f t="shared" si="17"/>
        <v/>
      </c>
      <c r="U105" s="1" t="str">
        <f ca="1">IF(AND($E105&lt;&gt;"",OR($C105="Ready to Develop",$C105="7 PI Started",$C105="6 Epic Backlog",$C105="Done")),IFERROR(VLOOKUP($A105,INDIRECT("'"&amp;$T105&amp;"'"&amp;VLOOKUP($T105,Config!$B$4:$L$11,2)),VLOOKUP($T105,Config!$B$4:$L$11,5),FALSE),"-"),"-")</f>
        <v>-</v>
      </c>
      <c r="V105" s="1" t="str">
        <f ca="1">IF($C105="Done",IFERROR(VLOOKUP($A105,INDIRECT("'"&amp;$T105&amp;"'"&amp;VLOOKUP($T105,Config!$B$4:$L$11,2)),VLOOKUP($T105,Config!$B$4:$L$11,7),FALSE),"-"),"-")</f>
        <v>-</v>
      </c>
      <c r="W105" s="1" t="str">
        <f ca="1">IF(AND($E105&lt;&gt;"",OR($C105="Ready to Develop",$C105="7 PI Started",$C105="6 Epic Backlog",$C105="Done")),IFERROR(VLOOKUP($A105,INDIRECT("'"&amp;$T105&amp;"'"&amp;VLOOKUP($T105,Config!$B$4:$L$11,2)),VLOOKUP($T105,Config!$B$4:$L$11,9),FALSE),"-"),"-")</f>
        <v>-</v>
      </c>
      <c r="X105" s="1" t="str">
        <f ca="1">IF($C105="Done",IFERROR(VLOOKUP($A105,INDIRECT("'"&amp;$T105&amp;"'"&amp;VLOOKUP($T105,Config!$B$4:$L$11,2)),VLOOKUP($T105,Config!$B$4:$L$11,11),FALSE),"-"),"-")</f>
        <v>-</v>
      </c>
      <c r="Y105" s="1" t="str">
        <f ca="1">IF(AND($E105&lt;&gt;"",OR($C105="Ready to Develop",$C105="7 PI Started",$C105="6 Epic Backlog",$C105="Done")),IFERROR(VLOOKUP($A105,INDIRECT("'"&amp;$T105&amp;"'"&amp;VLOOKUP($T105,Config!$B$4:$P$11,2)),VLOOKUP($T105,Config!$B$4:$P$11,13),FALSE),"-"),"-")</f>
        <v>-</v>
      </c>
      <c r="Z105" s="1" t="str">
        <f ca="1">IF(AND($E105&lt;&gt;"",OR($C105="Ready to Develop",$C105="7 PI Started",$C105="6 Epic Backlog",$C105="Done")),IFERROR(VLOOKUP($A105,INDIRECT("'"&amp;$T105&amp;"'"&amp;VLOOKUP($T105,Config!$B$4:$P$11,2)),VLOOKUP($T105,Config!$B$4:$P$11,15),FALSE),"-"),"-")</f>
        <v>-</v>
      </c>
    </row>
    <row r="106" spans="1:26" x14ac:dyDescent="0.2">
      <c r="A106" s="405" t="s">
        <v>565</v>
      </c>
      <c r="B106" t="s">
        <v>566</v>
      </c>
      <c r="C106" t="s">
        <v>393</v>
      </c>
      <c r="F106" s="19"/>
      <c r="G106" s="19"/>
      <c r="H106" s="19"/>
      <c r="I106" s="19"/>
      <c r="J106" s="19"/>
      <c r="K106" s="19" t="str">
        <f t="shared" si="18"/>
        <v>-</v>
      </c>
      <c r="L106" s="1" t="str">
        <f t="shared" si="19"/>
        <v>-</v>
      </c>
      <c r="M106" s="19" t="str">
        <f t="shared" ca="1" si="20"/>
        <v>Archived</v>
      </c>
      <c r="N106" s="1" t="str">
        <f t="shared" ca="1" si="21"/>
        <v>-</v>
      </c>
      <c r="O106" s="1" t="str">
        <f t="shared" ca="1" si="22"/>
        <v>Archived</v>
      </c>
      <c r="P106" s="1" t="str">
        <f t="shared" ca="1" si="23"/>
        <v>-</v>
      </c>
      <c r="Q106" s="1" t="str">
        <f t="shared" ca="1" si="24"/>
        <v>-</v>
      </c>
      <c r="R106" s="1" t="str">
        <f t="shared" ca="1" si="25"/>
        <v>-</v>
      </c>
      <c r="S106" s="1"/>
      <c r="T106" s="7" t="str">
        <f t="shared" si="17"/>
        <v/>
      </c>
      <c r="U106" s="1" t="str">
        <f ca="1">IF(AND($E106&lt;&gt;"",OR($C106="Ready to Develop",$C106="7 PI Started",$C106="6 Epic Backlog",$C106="Done")),IFERROR(VLOOKUP($A106,INDIRECT("'"&amp;$T106&amp;"'"&amp;VLOOKUP($T106,Config!$B$4:$L$11,2)),VLOOKUP($T106,Config!$B$4:$L$11,5),FALSE),"-"),"-")</f>
        <v>-</v>
      </c>
      <c r="V106" s="1" t="str">
        <f ca="1">IF($C106="Done",IFERROR(VLOOKUP($A106,INDIRECT("'"&amp;$T106&amp;"'"&amp;VLOOKUP($T106,Config!$B$4:$L$11,2)),VLOOKUP($T106,Config!$B$4:$L$11,7),FALSE),"-"),"-")</f>
        <v>-</v>
      </c>
      <c r="W106" s="1" t="str">
        <f ca="1">IF(AND($E106&lt;&gt;"",OR($C106="Ready to Develop",$C106="7 PI Started",$C106="6 Epic Backlog",$C106="Done")),IFERROR(VLOOKUP($A106,INDIRECT("'"&amp;$T106&amp;"'"&amp;VLOOKUP($T106,Config!$B$4:$L$11,2)),VLOOKUP($T106,Config!$B$4:$L$11,9),FALSE),"-"),"-")</f>
        <v>-</v>
      </c>
      <c r="X106" s="1" t="str">
        <f ca="1">IF($C106="Done",IFERROR(VLOOKUP($A106,INDIRECT("'"&amp;$T106&amp;"'"&amp;VLOOKUP($T106,Config!$B$4:$L$11,2)),VLOOKUP($T106,Config!$B$4:$L$11,11),FALSE),"-"),"-")</f>
        <v>-</v>
      </c>
      <c r="Y106" s="1" t="str">
        <f ca="1">IF(AND($E106&lt;&gt;"",OR($C106="Ready to Develop",$C106="7 PI Started",$C106="6 Epic Backlog",$C106="Done")),IFERROR(VLOOKUP($A106,INDIRECT("'"&amp;$T106&amp;"'"&amp;VLOOKUP($T106,Config!$B$4:$P$11,2)),VLOOKUP($T106,Config!$B$4:$P$11,13),FALSE),"-"),"-")</f>
        <v>-</v>
      </c>
      <c r="Z106" s="1" t="str">
        <f ca="1">IF(AND($E106&lt;&gt;"",OR($C106="Ready to Develop",$C106="7 PI Started",$C106="6 Epic Backlog",$C106="Done")),IFERROR(VLOOKUP($A106,INDIRECT("'"&amp;$T106&amp;"'"&amp;VLOOKUP($T106,Config!$B$4:$P$11,2)),VLOOKUP($T106,Config!$B$4:$P$11,15),FALSE),"-"),"-")</f>
        <v>-</v>
      </c>
    </row>
    <row r="107" spans="1:26" x14ac:dyDescent="0.2">
      <c r="A107" s="405" t="s">
        <v>567</v>
      </c>
      <c r="B107" t="s">
        <v>568</v>
      </c>
      <c r="C107" t="s">
        <v>393</v>
      </c>
      <c r="F107" s="19"/>
      <c r="G107" s="19"/>
      <c r="H107" s="19"/>
      <c r="I107" s="19"/>
      <c r="J107" s="19"/>
      <c r="K107" s="19" t="str">
        <f t="shared" si="18"/>
        <v>-</v>
      </c>
      <c r="L107" s="1" t="str">
        <f t="shared" si="19"/>
        <v>-</v>
      </c>
      <c r="M107" s="19" t="str">
        <f t="shared" ca="1" si="20"/>
        <v>Archived</v>
      </c>
      <c r="N107" s="1" t="str">
        <f t="shared" ca="1" si="21"/>
        <v>-</v>
      </c>
      <c r="O107" s="1" t="str">
        <f t="shared" ca="1" si="22"/>
        <v>Archived</v>
      </c>
      <c r="P107" s="1" t="str">
        <f t="shared" ca="1" si="23"/>
        <v>-</v>
      </c>
      <c r="Q107" s="1" t="str">
        <f t="shared" ca="1" si="24"/>
        <v>-</v>
      </c>
      <c r="R107" s="1" t="str">
        <f t="shared" ca="1" si="25"/>
        <v>-</v>
      </c>
      <c r="S107" s="1"/>
      <c r="T107" s="7" t="str">
        <f t="shared" si="17"/>
        <v/>
      </c>
      <c r="U107" s="1" t="str">
        <f ca="1">IF(AND($E107&lt;&gt;"",OR($C107="Ready to Develop",$C107="7 PI Started",$C107="6 Epic Backlog",$C107="Done")),IFERROR(VLOOKUP($A107,INDIRECT("'"&amp;$T107&amp;"'"&amp;VLOOKUP($T107,Config!$B$4:$L$11,2)),VLOOKUP($T107,Config!$B$4:$L$11,5),FALSE),"-"),"-")</f>
        <v>-</v>
      </c>
      <c r="V107" s="1" t="str">
        <f ca="1">IF($C107="Done",IFERROR(VLOOKUP($A107,INDIRECT("'"&amp;$T107&amp;"'"&amp;VLOOKUP($T107,Config!$B$4:$L$11,2)),VLOOKUP($T107,Config!$B$4:$L$11,7),FALSE),"-"),"-")</f>
        <v>-</v>
      </c>
      <c r="W107" s="1" t="str">
        <f ca="1">IF(AND($E107&lt;&gt;"",OR($C107="Ready to Develop",$C107="7 PI Started",$C107="6 Epic Backlog",$C107="Done")),IFERROR(VLOOKUP($A107,INDIRECT("'"&amp;$T107&amp;"'"&amp;VLOOKUP($T107,Config!$B$4:$L$11,2)),VLOOKUP($T107,Config!$B$4:$L$11,9),FALSE),"-"),"-")</f>
        <v>-</v>
      </c>
      <c r="X107" s="1" t="str">
        <f ca="1">IF($C107="Done",IFERROR(VLOOKUP($A107,INDIRECT("'"&amp;$T107&amp;"'"&amp;VLOOKUP($T107,Config!$B$4:$L$11,2)),VLOOKUP($T107,Config!$B$4:$L$11,11),FALSE),"-"),"-")</f>
        <v>-</v>
      </c>
      <c r="Y107" s="1" t="str">
        <f ca="1">IF(AND($E107&lt;&gt;"",OR($C107="Ready to Develop",$C107="7 PI Started",$C107="6 Epic Backlog",$C107="Done")),IFERROR(VLOOKUP($A107,INDIRECT("'"&amp;$T107&amp;"'"&amp;VLOOKUP($T107,Config!$B$4:$P$11,2)),VLOOKUP($T107,Config!$B$4:$P$11,13),FALSE),"-"),"-")</f>
        <v>-</v>
      </c>
      <c r="Z107" s="1" t="str">
        <f ca="1">IF(AND($E107&lt;&gt;"",OR($C107="Ready to Develop",$C107="7 PI Started",$C107="6 Epic Backlog",$C107="Done")),IFERROR(VLOOKUP($A107,INDIRECT("'"&amp;$T107&amp;"'"&amp;VLOOKUP($T107,Config!$B$4:$P$11,2)),VLOOKUP($T107,Config!$B$4:$P$11,15),FALSE),"-"),"-")</f>
        <v>-</v>
      </c>
    </row>
    <row r="108" spans="1:26" x14ac:dyDescent="0.2">
      <c r="A108" s="405" t="s">
        <v>569</v>
      </c>
      <c r="B108" t="s">
        <v>570</v>
      </c>
      <c r="C108" t="s">
        <v>393</v>
      </c>
      <c r="F108" s="19"/>
      <c r="G108" s="19"/>
      <c r="H108" s="19">
        <v>45215</v>
      </c>
      <c r="I108" s="19"/>
      <c r="J108" s="19"/>
      <c r="K108" s="19" t="str">
        <f t="shared" si="18"/>
        <v>-</v>
      </c>
      <c r="L108" s="1" t="str">
        <f t="shared" si="19"/>
        <v>-</v>
      </c>
      <c r="M108" s="19" t="str">
        <f t="shared" ca="1" si="20"/>
        <v>Archived</v>
      </c>
      <c r="N108" s="1" t="str">
        <f t="shared" ca="1" si="21"/>
        <v>-</v>
      </c>
      <c r="O108" s="1" t="str">
        <f t="shared" ca="1" si="22"/>
        <v>Archived</v>
      </c>
      <c r="P108" s="1" t="str">
        <f t="shared" ca="1" si="23"/>
        <v>-</v>
      </c>
      <c r="Q108" s="1" t="str">
        <f t="shared" ca="1" si="24"/>
        <v>-</v>
      </c>
      <c r="R108" s="1" t="str">
        <f t="shared" ca="1" si="25"/>
        <v>-</v>
      </c>
      <c r="S108" s="1"/>
      <c r="T108" s="7" t="str">
        <f t="shared" si="17"/>
        <v/>
      </c>
      <c r="U108" s="1" t="str">
        <f ca="1">IF(AND($E108&lt;&gt;"",OR($C108="Ready to Develop",$C108="7 PI Started",$C108="6 Epic Backlog",$C108="Done")),IFERROR(VLOOKUP($A108,INDIRECT("'"&amp;$T108&amp;"'"&amp;VLOOKUP($T108,Config!$B$4:$L$11,2)),VLOOKUP($T108,Config!$B$4:$L$11,5),FALSE),"-"),"-")</f>
        <v>-</v>
      </c>
      <c r="V108" s="1" t="str">
        <f ca="1">IF($C108="Done",IFERROR(VLOOKUP($A108,INDIRECT("'"&amp;$T108&amp;"'"&amp;VLOOKUP($T108,Config!$B$4:$L$11,2)),VLOOKUP($T108,Config!$B$4:$L$11,7),FALSE),"-"),"-")</f>
        <v>-</v>
      </c>
      <c r="W108" s="1" t="str">
        <f ca="1">IF(AND($E108&lt;&gt;"",OR($C108="Ready to Develop",$C108="7 PI Started",$C108="6 Epic Backlog",$C108="Done")),IFERROR(VLOOKUP($A108,INDIRECT("'"&amp;$T108&amp;"'"&amp;VLOOKUP($T108,Config!$B$4:$L$11,2)),VLOOKUP($T108,Config!$B$4:$L$11,9),FALSE),"-"),"-")</f>
        <v>-</v>
      </c>
      <c r="X108" s="1" t="str">
        <f ca="1">IF($C108="Done",IFERROR(VLOOKUP($A108,INDIRECT("'"&amp;$T108&amp;"'"&amp;VLOOKUP($T108,Config!$B$4:$L$11,2)),VLOOKUP($T108,Config!$B$4:$L$11,11),FALSE),"-"),"-")</f>
        <v>-</v>
      </c>
      <c r="Y108" s="1" t="str">
        <f ca="1">IF(AND($E108&lt;&gt;"",OR($C108="Ready to Develop",$C108="7 PI Started",$C108="6 Epic Backlog",$C108="Done")),IFERROR(VLOOKUP($A108,INDIRECT("'"&amp;$T108&amp;"'"&amp;VLOOKUP($T108,Config!$B$4:$P$11,2)),VLOOKUP($T108,Config!$B$4:$P$11,13),FALSE),"-"),"-")</f>
        <v>-</v>
      </c>
      <c r="Z108" s="1" t="str">
        <f ca="1">IF(AND($E108&lt;&gt;"",OR($C108="Ready to Develop",$C108="7 PI Started",$C108="6 Epic Backlog",$C108="Done")),IFERROR(VLOOKUP($A108,INDIRECT("'"&amp;$T108&amp;"'"&amp;VLOOKUP($T108,Config!$B$4:$P$11,2)),VLOOKUP($T108,Config!$B$4:$P$11,15),FALSE),"-"),"-")</f>
        <v>-</v>
      </c>
    </row>
    <row r="109" spans="1:26" x14ac:dyDescent="0.2">
      <c r="A109" s="405" t="s">
        <v>571</v>
      </c>
      <c r="B109" t="s">
        <v>572</v>
      </c>
      <c r="C109" t="s">
        <v>393</v>
      </c>
      <c r="F109" s="19"/>
      <c r="G109" s="19"/>
      <c r="H109" s="19">
        <v>45236</v>
      </c>
      <c r="I109" s="19"/>
      <c r="J109" s="19"/>
      <c r="K109" s="19" t="str">
        <f t="shared" si="18"/>
        <v>-</v>
      </c>
      <c r="L109" s="1" t="str">
        <f t="shared" si="19"/>
        <v>-</v>
      </c>
      <c r="M109" s="19" t="str">
        <f t="shared" ca="1" si="20"/>
        <v>Archived</v>
      </c>
      <c r="N109" s="1" t="str">
        <f t="shared" ca="1" si="21"/>
        <v>-</v>
      </c>
      <c r="O109" s="1" t="str">
        <f t="shared" ca="1" si="22"/>
        <v>Archived</v>
      </c>
      <c r="P109" s="1" t="str">
        <f t="shared" ca="1" si="23"/>
        <v>-</v>
      </c>
      <c r="Q109" s="1" t="str">
        <f t="shared" ca="1" si="24"/>
        <v>-</v>
      </c>
      <c r="R109" s="1" t="str">
        <f t="shared" ca="1" si="25"/>
        <v>-</v>
      </c>
      <c r="S109" s="1"/>
      <c r="T109" s="7" t="str">
        <f t="shared" si="17"/>
        <v/>
      </c>
      <c r="U109" s="1" t="str">
        <f ca="1">IF(AND($E109&lt;&gt;"",OR($C109="Ready to Develop",$C109="7 PI Started",$C109="6 Epic Backlog",$C109="Done")),IFERROR(VLOOKUP($A109,INDIRECT("'"&amp;$T109&amp;"'"&amp;VLOOKUP($T109,Config!$B$4:$L$11,2)),VLOOKUP($T109,Config!$B$4:$L$11,5),FALSE),"-"),"-")</f>
        <v>-</v>
      </c>
      <c r="V109" s="1" t="str">
        <f ca="1">IF($C109="Done",IFERROR(VLOOKUP($A109,INDIRECT("'"&amp;$T109&amp;"'"&amp;VLOOKUP($T109,Config!$B$4:$L$11,2)),VLOOKUP($T109,Config!$B$4:$L$11,7),FALSE),"-"),"-")</f>
        <v>-</v>
      </c>
      <c r="W109" s="1" t="str">
        <f ca="1">IF(AND($E109&lt;&gt;"",OR($C109="Ready to Develop",$C109="7 PI Started",$C109="6 Epic Backlog",$C109="Done")),IFERROR(VLOOKUP($A109,INDIRECT("'"&amp;$T109&amp;"'"&amp;VLOOKUP($T109,Config!$B$4:$L$11,2)),VLOOKUP($T109,Config!$B$4:$L$11,9),FALSE),"-"),"-")</f>
        <v>-</v>
      </c>
      <c r="X109" s="1" t="str">
        <f ca="1">IF($C109="Done",IFERROR(VLOOKUP($A109,INDIRECT("'"&amp;$T109&amp;"'"&amp;VLOOKUP($T109,Config!$B$4:$L$11,2)),VLOOKUP($T109,Config!$B$4:$L$11,11),FALSE),"-"),"-")</f>
        <v>-</v>
      </c>
      <c r="Y109" s="1" t="str">
        <f ca="1">IF(AND($E109&lt;&gt;"",OR($C109="Ready to Develop",$C109="7 PI Started",$C109="6 Epic Backlog",$C109="Done")),IFERROR(VLOOKUP($A109,INDIRECT("'"&amp;$T109&amp;"'"&amp;VLOOKUP($T109,Config!$B$4:$P$11,2)),VLOOKUP($T109,Config!$B$4:$P$11,13),FALSE),"-"),"-")</f>
        <v>-</v>
      </c>
      <c r="Z109" s="1" t="str">
        <f ca="1">IF(AND($E109&lt;&gt;"",OR($C109="Ready to Develop",$C109="7 PI Started",$C109="6 Epic Backlog",$C109="Done")),IFERROR(VLOOKUP($A109,INDIRECT("'"&amp;$T109&amp;"'"&amp;VLOOKUP($T109,Config!$B$4:$P$11,2)),VLOOKUP($T109,Config!$B$4:$P$11,15),FALSE),"-"),"-")</f>
        <v>-</v>
      </c>
    </row>
    <row r="110" spans="1:26" x14ac:dyDescent="0.2">
      <c r="A110" s="405" t="s">
        <v>573</v>
      </c>
      <c r="B110" t="s">
        <v>574</v>
      </c>
      <c r="C110" t="s">
        <v>393</v>
      </c>
      <c r="K110" s="19" t="str">
        <f t="shared" ref="K110:K118" si="26">IF(AND(F110&lt;&gt;"", H110=""), "Not Started", IF(OR(H110="", F110=""), "-", IF(H110&lt;=F110, "On Time", "Delayed")))</f>
        <v>-</v>
      </c>
      <c r="L110" s="1" t="str">
        <f t="shared" ref="L110:L118" si="27">IF(OR(H110="",F110=""),"-",IF(H110&gt;F110,H110-F110,0))</f>
        <v>-</v>
      </c>
      <c r="M110" s="19" t="str">
        <f t="shared" ref="M110:M118" ca="1" si="28">IF(C110="Done","Delivered",IF(C110="11 Archived","Archived",IF(G110="","-",IF(C110&lt;&gt;"7 PI Started","Not Started",IF(NETWORKDAYS(TODAY(),G110)&gt;3,"On Track",IF(NETWORKDAYS(TODAY(),G110)=3,"Near End",IF(TODAY()&gt;G110,"Delayed","-")))))))</f>
        <v>Archived</v>
      </c>
      <c r="N110" s="1" t="str">
        <f t="shared" ref="N110:N118" ca="1" si="29">IF(OR(C110="11 Archived", G110=""), "-", IF(C110="Done", IF(J110&gt;G110, NETWORKDAYS(G110, J110), 0), IF(TODAY()&gt;G110, NETWORKDAYS(G110, TODAY()), 0)))</f>
        <v>-</v>
      </c>
      <c r="O110" s="1" t="str">
        <f t="shared" ref="O110:O118" ca="1" si="30">IF(C110="Done","Delivered",IF(C110="11 Archived","Archived",IF(I110="","-",IF(C110&lt;&gt;"7 PI Started","Not Started",IF(NETWORKDAYS(TODAY(),I110)&gt;3,"On Track",IF(NETWORKDAYS(TODAY(),I110)=3,"Near End",IF(TODAY()=I110,"Due Today",IF(TODAY()&gt;I110,"Delayed","-"))))))))</f>
        <v>Archived</v>
      </c>
      <c r="P110" s="1" t="str">
        <f t="shared" ref="P110:P118" ca="1" si="31">IF(OR(C110="11 Archived", I110="", J110=""), "-", IF(C110="Done", IF(J110&gt;I110, NETWORKDAYS(I110, J110), 0), IF(TODAY()&gt;I110, NETWORKDAYS(I110, TODAY()), 0)))</f>
        <v>-</v>
      </c>
      <c r="Q110" s="1" t="str">
        <f t="shared" ref="Q110:Q118" ca="1" si="32">IF(OR(C110="",C110="11 Archived"), "-", IF(AND(C110="Done", I110&lt;&gt;"", H110&lt;&gt;""), I110-H110, IF(H110="", "-", IF(AND(H110&lt;&gt;"", H110&lt;TODAY()), NETWORKDAYS(H110, TODAY()), 0))))</f>
        <v>-</v>
      </c>
      <c r="R110" s="1" t="str">
        <f t="shared" ref="R110:R118" ca="1" si="33">IF(I110="","-",IF(TODAY()&gt;I110,0,NETWORKDAYS(TODAY(),I110)))</f>
        <v>-</v>
      </c>
      <c r="S110" s="1"/>
      <c r="T110" s="7" t="str">
        <f t="shared" si="17"/>
        <v/>
      </c>
      <c r="U110" s="1" t="str">
        <f ca="1">IF(AND($E110&lt;&gt;"",OR($C110="Ready to Develop",$C110="7 PI Started",$C110="6 Epic Backlog",$C110="Done")),IFERROR(VLOOKUP($A110,INDIRECT("'"&amp;$T110&amp;"'"&amp;VLOOKUP($T110,Config!$B$4:$L$11,2)),VLOOKUP($T110,Config!$B$4:$L$11,5),FALSE),"-"),"-")</f>
        <v>-</v>
      </c>
      <c r="V110" s="1" t="str">
        <f ca="1">IF($C110="Done",IFERROR(VLOOKUP($A110,INDIRECT("'"&amp;$T110&amp;"'"&amp;VLOOKUP($T110,Config!$B$4:$L$11,2)),VLOOKUP($T110,Config!$B$4:$L$11,7),FALSE),"-"),"-")</f>
        <v>-</v>
      </c>
      <c r="W110" s="1" t="str">
        <f ca="1">IF(AND($E110&lt;&gt;"",OR($C110="Ready to Develop",$C110="7 PI Started",$C110="6 Epic Backlog",$C110="Done")),IFERROR(VLOOKUP($A110,INDIRECT("'"&amp;$T110&amp;"'"&amp;VLOOKUP($T110,Config!$B$4:$L$11,2)),VLOOKUP($T110,Config!$B$4:$L$11,9),FALSE),"-"),"-")</f>
        <v>-</v>
      </c>
      <c r="X110" s="1" t="str">
        <f ca="1">IF($C110="Done",IFERROR(VLOOKUP($A110,INDIRECT("'"&amp;$T110&amp;"'"&amp;VLOOKUP($T110,Config!$B$4:$L$11,2)),VLOOKUP($T110,Config!$B$4:$L$11,11),FALSE),"-"),"-")</f>
        <v>-</v>
      </c>
      <c r="Y110" s="1" t="str">
        <f ca="1">IF(AND($E110&lt;&gt;"",OR($C110="Ready to Develop",$C110="7 PI Started",$C110="6 Epic Backlog",$C110="Done")),IFERROR(VLOOKUP($A110,INDIRECT("'"&amp;$T110&amp;"'"&amp;VLOOKUP($T110,Config!$B$4:$P$11,2)),VLOOKUP($T110,Config!$B$4:$P$11,13),FALSE),"-"),"-")</f>
        <v>-</v>
      </c>
      <c r="Z110" s="1" t="str">
        <f ca="1">IF(AND($E110&lt;&gt;"",OR($C110="Ready to Develop",$C110="7 PI Started",$C110="6 Epic Backlog",$C110="Done")),IFERROR(VLOOKUP($A110,INDIRECT("'"&amp;$T110&amp;"'"&amp;VLOOKUP($T110,Config!$B$4:$P$11,2)),VLOOKUP($T110,Config!$B$4:$P$11,15),FALSE),"-"),"-")</f>
        <v>-</v>
      </c>
    </row>
    <row r="111" spans="1:26" x14ac:dyDescent="0.2">
      <c r="A111" s="405" t="s">
        <v>575</v>
      </c>
      <c r="B111" t="s">
        <v>576</v>
      </c>
      <c r="C111" t="s">
        <v>527</v>
      </c>
      <c r="D111" t="s">
        <v>389</v>
      </c>
      <c r="K111" s="19" t="str">
        <f t="shared" si="26"/>
        <v>-</v>
      </c>
      <c r="L111" s="1" t="str">
        <f t="shared" si="27"/>
        <v>-</v>
      </c>
      <c r="M111" s="19" t="str">
        <f t="shared" ca="1" si="28"/>
        <v>-</v>
      </c>
      <c r="N111" s="1" t="str">
        <f t="shared" ca="1" si="29"/>
        <v>-</v>
      </c>
      <c r="O111" s="1" t="str">
        <f t="shared" ca="1" si="30"/>
        <v>-</v>
      </c>
      <c r="P111" s="1" t="str">
        <f t="shared" ca="1" si="31"/>
        <v>-</v>
      </c>
      <c r="Q111" s="1" t="str">
        <f t="shared" ca="1" si="32"/>
        <v>-</v>
      </c>
      <c r="R111" s="1" t="str">
        <f t="shared" ca="1" si="33"/>
        <v>-</v>
      </c>
      <c r="S111" s="1"/>
      <c r="T111" s="7" t="str">
        <f t="shared" si="17"/>
        <v/>
      </c>
      <c r="U111" s="1" t="str">
        <f ca="1">IF(AND($E111&lt;&gt;"",OR($C111="Ready to Develop",$C111="7 PI Started",$C111="6 Epic Backlog",$C111="Done")),IFERROR(VLOOKUP($A111,INDIRECT("'"&amp;$T111&amp;"'"&amp;VLOOKUP($T111,Config!$B$4:$L$11,2)),VLOOKUP($T111,Config!$B$4:$L$11,5),FALSE),"-"),"-")</f>
        <v>-</v>
      </c>
      <c r="V111" s="1" t="str">
        <f ca="1">IF($C111="Done",IFERROR(VLOOKUP($A111,INDIRECT("'"&amp;$T111&amp;"'"&amp;VLOOKUP($T111,Config!$B$4:$L$11,2)),VLOOKUP($T111,Config!$B$4:$L$11,7),FALSE),"-"),"-")</f>
        <v>-</v>
      </c>
      <c r="W111" s="1" t="str">
        <f ca="1">IF(AND($E111&lt;&gt;"",OR($C111="Ready to Develop",$C111="7 PI Started",$C111="6 Epic Backlog",$C111="Done")),IFERROR(VLOOKUP($A111,INDIRECT("'"&amp;$T111&amp;"'"&amp;VLOOKUP($T111,Config!$B$4:$L$11,2)),VLOOKUP($T111,Config!$B$4:$L$11,9),FALSE),"-"),"-")</f>
        <v>-</v>
      </c>
      <c r="X111" s="1" t="str">
        <f ca="1">IF($C111="Done",IFERROR(VLOOKUP($A111,INDIRECT("'"&amp;$T111&amp;"'"&amp;VLOOKUP($T111,Config!$B$4:$L$11,2)),VLOOKUP($T111,Config!$B$4:$L$11,11),FALSE),"-"),"-")</f>
        <v>-</v>
      </c>
      <c r="Y111" s="1" t="str">
        <f ca="1">IF(AND($E111&lt;&gt;"",OR($C111="Ready to Develop",$C111="7 PI Started",$C111="6 Epic Backlog",$C111="Done")),IFERROR(VLOOKUP($A111,INDIRECT("'"&amp;$T111&amp;"'"&amp;VLOOKUP($T111,Config!$B$4:$P$11,2)),VLOOKUP($T111,Config!$B$4:$P$11,13),FALSE),"-"),"-")</f>
        <v>-</v>
      </c>
      <c r="Z111" s="1" t="str">
        <f ca="1">IF(AND($E111&lt;&gt;"",OR($C111="Ready to Develop",$C111="7 PI Started",$C111="6 Epic Backlog",$C111="Done")),IFERROR(VLOOKUP($A111,INDIRECT("'"&amp;$T111&amp;"'"&amp;VLOOKUP($T111,Config!$B$4:$P$11,2)),VLOOKUP($T111,Config!$B$4:$P$11,15),FALSE),"-"),"-")</f>
        <v>-</v>
      </c>
    </row>
    <row r="112" spans="1:26" x14ac:dyDescent="0.2">
      <c r="A112" s="405" t="s">
        <v>577</v>
      </c>
      <c r="B112" t="s">
        <v>578</v>
      </c>
      <c r="C112" t="s">
        <v>393</v>
      </c>
      <c r="K112" s="19" t="str">
        <f t="shared" si="26"/>
        <v>-</v>
      </c>
      <c r="L112" s="1" t="str">
        <f t="shared" si="27"/>
        <v>-</v>
      </c>
      <c r="M112" s="19" t="str">
        <f t="shared" ca="1" si="28"/>
        <v>Archived</v>
      </c>
      <c r="N112" s="1" t="str">
        <f t="shared" ca="1" si="29"/>
        <v>-</v>
      </c>
      <c r="O112" s="1" t="str">
        <f t="shared" ca="1" si="30"/>
        <v>Archived</v>
      </c>
      <c r="P112" s="1" t="str">
        <f t="shared" ca="1" si="31"/>
        <v>-</v>
      </c>
      <c r="Q112" s="1" t="str">
        <f t="shared" ca="1" si="32"/>
        <v>-</v>
      </c>
      <c r="R112" s="1" t="str">
        <f t="shared" ca="1" si="33"/>
        <v>-</v>
      </c>
      <c r="S112" s="1"/>
      <c r="T112" s="7" t="str">
        <f t="shared" si="17"/>
        <v/>
      </c>
      <c r="U112" s="1" t="str">
        <f ca="1">IF(AND($E112&lt;&gt;"",OR($C112="Ready to Develop",$C112="7 PI Started",$C112="6 Epic Backlog",$C112="Done")),IFERROR(VLOOKUP($A112,INDIRECT("'"&amp;$T112&amp;"'"&amp;VLOOKUP($T112,Config!$B$4:$L$11,2)),VLOOKUP($T112,Config!$B$4:$L$11,5),FALSE),"-"),"-")</f>
        <v>-</v>
      </c>
      <c r="V112" s="1" t="str">
        <f ca="1">IF($C112="Done",IFERROR(VLOOKUP($A112,INDIRECT("'"&amp;$T112&amp;"'"&amp;VLOOKUP($T112,Config!$B$4:$L$11,2)),VLOOKUP($T112,Config!$B$4:$L$11,7),FALSE),"-"),"-")</f>
        <v>-</v>
      </c>
      <c r="W112" s="1" t="str">
        <f ca="1">IF(AND($E112&lt;&gt;"",OR($C112="Ready to Develop",$C112="7 PI Started",$C112="6 Epic Backlog",$C112="Done")),IFERROR(VLOOKUP($A112,INDIRECT("'"&amp;$T112&amp;"'"&amp;VLOOKUP($T112,Config!$B$4:$L$11,2)),VLOOKUP($T112,Config!$B$4:$L$11,9),FALSE),"-"),"-")</f>
        <v>-</v>
      </c>
      <c r="X112" s="1" t="str">
        <f ca="1">IF($C112="Done",IFERROR(VLOOKUP($A112,INDIRECT("'"&amp;$T112&amp;"'"&amp;VLOOKUP($T112,Config!$B$4:$L$11,2)),VLOOKUP($T112,Config!$B$4:$L$11,11),FALSE),"-"),"-")</f>
        <v>-</v>
      </c>
      <c r="Y112" s="1" t="str">
        <f ca="1">IF(AND($E112&lt;&gt;"",OR($C112="Ready to Develop",$C112="7 PI Started",$C112="6 Epic Backlog",$C112="Done")),IFERROR(VLOOKUP($A112,INDIRECT("'"&amp;$T112&amp;"'"&amp;VLOOKUP($T112,Config!$B$4:$P$11,2)),VLOOKUP($T112,Config!$B$4:$P$11,13),FALSE),"-"),"-")</f>
        <v>-</v>
      </c>
      <c r="Z112" s="1" t="str">
        <f ca="1">IF(AND($E112&lt;&gt;"",OR($C112="Ready to Develop",$C112="7 PI Started",$C112="6 Epic Backlog",$C112="Done")),IFERROR(VLOOKUP($A112,INDIRECT("'"&amp;$T112&amp;"'"&amp;VLOOKUP($T112,Config!$B$4:$P$11,2)),VLOOKUP($T112,Config!$B$4:$P$11,15),FALSE),"-"),"-")</f>
        <v>-</v>
      </c>
    </row>
    <row r="113" spans="1:26" x14ac:dyDescent="0.2">
      <c r="A113" s="405" t="s">
        <v>579</v>
      </c>
      <c r="B113" t="s">
        <v>580</v>
      </c>
      <c r="C113" t="s">
        <v>393</v>
      </c>
      <c r="K113" s="19" t="str">
        <f t="shared" si="26"/>
        <v>-</v>
      </c>
      <c r="L113" s="1" t="str">
        <f t="shared" si="27"/>
        <v>-</v>
      </c>
      <c r="M113" s="19" t="str">
        <f t="shared" ca="1" si="28"/>
        <v>Archived</v>
      </c>
      <c r="N113" s="1" t="str">
        <f t="shared" ca="1" si="29"/>
        <v>-</v>
      </c>
      <c r="O113" s="1" t="str">
        <f t="shared" ca="1" si="30"/>
        <v>Archived</v>
      </c>
      <c r="P113" s="1" t="str">
        <f t="shared" ca="1" si="31"/>
        <v>-</v>
      </c>
      <c r="Q113" s="1" t="str">
        <f t="shared" ca="1" si="32"/>
        <v>-</v>
      </c>
      <c r="R113" s="1" t="str">
        <f t="shared" ca="1" si="33"/>
        <v>-</v>
      </c>
      <c r="S113" s="1"/>
      <c r="T113" s="7" t="str">
        <f t="shared" si="17"/>
        <v/>
      </c>
      <c r="U113" s="1" t="str">
        <f ca="1">IF(AND($E113&lt;&gt;"",OR($C113="Ready to Develop",$C113="7 PI Started",$C113="6 Epic Backlog",$C113="Done")),IFERROR(VLOOKUP($A113,INDIRECT("'"&amp;$T113&amp;"'"&amp;VLOOKUP($T113,Config!$B$4:$L$11,2)),VLOOKUP($T113,Config!$B$4:$L$11,5),FALSE),"-"),"-")</f>
        <v>-</v>
      </c>
      <c r="V113" s="1" t="str">
        <f ca="1">IF($C113="Done",IFERROR(VLOOKUP($A113,INDIRECT("'"&amp;$T113&amp;"'"&amp;VLOOKUP($T113,Config!$B$4:$L$11,2)),VLOOKUP($T113,Config!$B$4:$L$11,7),FALSE),"-"),"-")</f>
        <v>-</v>
      </c>
      <c r="W113" s="1" t="str">
        <f ca="1">IF(AND($E113&lt;&gt;"",OR($C113="Ready to Develop",$C113="7 PI Started",$C113="6 Epic Backlog",$C113="Done")),IFERROR(VLOOKUP($A113,INDIRECT("'"&amp;$T113&amp;"'"&amp;VLOOKUP($T113,Config!$B$4:$L$11,2)),VLOOKUP($T113,Config!$B$4:$L$11,9),FALSE),"-"),"-")</f>
        <v>-</v>
      </c>
      <c r="X113" s="1" t="str">
        <f ca="1">IF($C113="Done",IFERROR(VLOOKUP($A113,INDIRECT("'"&amp;$T113&amp;"'"&amp;VLOOKUP($T113,Config!$B$4:$L$11,2)),VLOOKUP($T113,Config!$B$4:$L$11,11),FALSE),"-"),"-")</f>
        <v>-</v>
      </c>
      <c r="Y113" s="1" t="str">
        <f ca="1">IF(AND($E113&lt;&gt;"",OR($C113="Ready to Develop",$C113="7 PI Started",$C113="6 Epic Backlog",$C113="Done")),IFERROR(VLOOKUP($A113,INDIRECT("'"&amp;$T113&amp;"'"&amp;VLOOKUP($T113,Config!$B$4:$P$11,2)),VLOOKUP($T113,Config!$B$4:$P$11,13),FALSE),"-"),"-")</f>
        <v>-</v>
      </c>
      <c r="Z113" s="1" t="str">
        <f ca="1">IF(AND($E113&lt;&gt;"",OR($C113="Ready to Develop",$C113="7 PI Started",$C113="6 Epic Backlog",$C113="Done")),IFERROR(VLOOKUP($A113,INDIRECT("'"&amp;$T113&amp;"'"&amp;VLOOKUP($T113,Config!$B$4:$P$11,2)),VLOOKUP($T113,Config!$B$4:$P$11,15),FALSE),"-"),"-")</f>
        <v>-</v>
      </c>
    </row>
    <row r="114" spans="1:26" x14ac:dyDescent="0.2">
      <c r="A114" s="405" t="s">
        <v>581</v>
      </c>
      <c r="B114" t="s">
        <v>582</v>
      </c>
      <c r="C114" t="s">
        <v>527</v>
      </c>
      <c r="K114" s="19" t="str">
        <f t="shared" si="26"/>
        <v>-</v>
      </c>
      <c r="L114" s="1" t="str">
        <f t="shared" si="27"/>
        <v>-</v>
      </c>
      <c r="M114" s="19" t="str">
        <f t="shared" ca="1" si="28"/>
        <v>-</v>
      </c>
      <c r="N114" s="1" t="str">
        <f t="shared" ca="1" si="29"/>
        <v>-</v>
      </c>
      <c r="O114" s="1" t="str">
        <f t="shared" ca="1" si="30"/>
        <v>-</v>
      </c>
      <c r="P114" s="1" t="str">
        <f t="shared" ca="1" si="31"/>
        <v>-</v>
      </c>
      <c r="Q114" s="1" t="str">
        <f t="shared" ca="1" si="32"/>
        <v>-</v>
      </c>
      <c r="R114" s="1" t="str">
        <f t="shared" ca="1" si="33"/>
        <v>-</v>
      </c>
      <c r="S114" s="1"/>
      <c r="T114" s="7" t="str">
        <f t="shared" si="17"/>
        <v/>
      </c>
      <c r="U114" s="1" t="str">
        <f ca="1">IF(AND($E114&lt;&gt;"",OR($C114="Ready to Develop",$C114="7 PI Started",$C114="6 Epic Backlog",$C114="Done")),IFERROR(VLOOKUP($A114,INDIRECT("'"&amp;$T114&amp;"'"&amp;VLOOKUP($T114,Config!$B$4:$L$11,2)),VLOOKUP($T114,Config!$B$4:$L$11,5),FALSE),"-"),"-")</f>
        <v>-</v>
      </c>
      <c r="V114" s="1" t="str">
        <f ca="1">IF($C114="Done",IFERROR(VLOOKUP($A114,INDIRECT("'"&amp;$T114&amp;"'"&amp;VLOOKUP($T114,Config!$B$4:$L$11,2)),VLOOKUP($T114,Config!$B$4:$L$11,7),FALSE),"-"),"-")</f>
        <v>-</v>
      </c>
      <c r="W114" s="1" t="str">
        <f ca="1">IF(AND($E114&lt;&gt;"",OR($C114="Ready to Develop",$C114="7 PI Started",$C114="6 Epic Backlog",$C114="Done")),IFERROR(VLOOKUP($A114,INDIRECT("'"&amp;$T114&amp;"'"&amp;VLOOKUP($T114,Config!$B$4:$L$11,2)),VLOOKUP($T114,Config!$B$4:$L$11,9),FALSE),"-"),"-")</f>
        <v>-</v>
      </c>
      <c r="X114" s="1" t="str">
        <f ca="1">IF($C114="Done",IFERROR(VLOOKUP($A114,INDIRECT("'"&amp;$T114&amp;"'"&amp;VLOOKUP($T114,Config!$B$4:$L$11,2)),VLOOKUP($T114,Config!$B$4:$L$11,11),FALSE),"-"),"-")</f>
        <v>-</v>
      </c>
      <c r="Y114" s="1" t="str">
        <f ca="1">IF(AND($E114&lt;&gt;"",OR($C114="Ready to Develop",$C114="7 PI Started",$C114="6 Epic Backlog",$C114="Done")),IFERROR(VLOOKUP($A114,INDIRECT("'"&amp;$T114&amp;"'"&amp;VLOOKUP($T114,Config!$B$4:$P$11,2)),VLOOKUP($T114,Config!$B$4:$P$11,13),FALSE),"-"),"-")</f>
        <v>-</v>
      </c>
      <c r="Z114" s="1" t="str">
        <f ca="1">IF(AND($E114&lt;&gt;"",OR($C114="Ready to Develop",$C114="7 PI Started",$C114="6 Epic Backlog",$C114="Done")),IFERROR(VLOOKUP($A114,INDIRECT("'"&amp;$T114&amp;"'"&amp;VLOOKUP($T114,Config!$B$4:$P$11,2)),VLOOKUP($T114,Config!$B$4:$P$11,15),FALSE),"-"),"-")</f>
        <v>-</v>
      </c>
    </row>
    <row r="115" spans="1:26" x14ac:dyDescent="0.2">
      <c r="A115" s="405" t="s">
        <v>583</v>
      </c>
      <c r="B115" t="s">
        <v>584</v>
      </c>
      <c r="C115" t="s">
        <v>1</v>
      </c>
      <c r="D115" t="s">
        <v>387</v>
      </c>
      <c r="K115" s="19" t="str">
        <f t="shared" si="26"/>
        <v>-</v>
      </c>
      <c r="L115" s="1" t="str">
        <f t="shared" si="27"/>
        <v>-</v>
      </c>
      <c r="M115" s="19" t="str">
        <f t="shared" ca="1" si="28"/>
        <v>-</v>
      </c>
      <c r="N115" s="1" t="str">
        <f t="shared" ca="1" si="29"/>
        <v>-</v>
      </c>
      <c r="O115" s="1" t="str">
        <f t="shared" ca="1" si="30"/>
        <v>-</v>
      </c>
      <c r="P115" s="1" t="str">
        <f t="shared" ca="1" si="31"/>
        <v>-</v>
      </c>
      <c r="Q115" s="1" t="str">
        <f t="shared" ca="1" si="32"/>
        <v>-</v>
      </c>
      <c r="R115" s="1" t="str">
        <f t="shared" ca="1" si="33"/>
        <v>-</v>
      </c>
      <c r="S115" s="1"/>
      <c r="T115" s="7" t="str">
        <f t="shared" si="17"/>
        <v/>
      </c>
      <c r="U115" s="1" t="str">
        <f ca="1">IF(AND($E115&lt;&gt;"",OR($C115="Ready to Develop",$C115="7 PI Started",$C115="6 Epic Backlog",$C115="Done")),IFERROR(VLOOKUP($A115,INDIRECT("'"&amp;$T115&amp;"'"&amp;VLOOKUP($T115,Config!$B$4:$L$11,2)),VLOOKUP($T115,Config!$B$4:$L$11,5),FALSE),"-"),"-")</f>
        <v>-</v>
      </c>
      <c r="V115" s="1" t="str">
        <f ca="1">IF($C115="Done",IFERROR(VLOOKUP($A115,INDIRECT("'"&amp;$T115&amp;"'"&amp;VLOOKUP($T115,Config!$B$4:$L$11,2)),VLOOKUP($T115,Config!$B$4:$L$11,7),FALSE),"-"),"-")</f>
        <v>-</v>
      </c>
      <c r="W115" s="1" t="str">
        <f ca="1">IF(AND($E115&lt;&gt;"",OR($C115="Ready to Develop",$C115="7 PI Started",$C115="6 Epic Backlog",$C115="Done")),IFERROR(VLOOKUP($A115,INDIRECT("'"&amp;$T115&amp;"'"&amp;VLOOKUP($T115,Config!$B$4:$L$11,2)),VLOOKUP($T115,Config!$B$4:$L$11,9),FALSE),"-"),"-")</f>
        <v>-</v>
      </c>
      <c r="X115" s="1" t="str">
        <f ca="1">IF($C115="Done",IFERROR(VLOOKUP($A115,INDIRECT("'"&amp;$T115&amp;"'"&amp;VLOOKUP($T115,Config!$B$4:$L$11,2)),VLOOKUP($T115,Config!$B$4:$L$11,11),FALSE),"-"),"-")</f>
        <v>-</v>
      </c>
      <c r="Y115" s="1" t="str">
        <f ca="1">IF(AND($E115&lt;&gt;"",OR($C115="Ready to Develop",$C115="7 PI Started",$C115="6 Epic Backlog",$C115="Done")),IFERROR(VLOOKUP($A115,INDIRECT("'"&amp;$T115&amp;"'"&amp;VLOOKUP($T115,Config!$B$4:$P$11,2)),VLOOKUP($T115,Config!$B$4:$P$11,13),FALSE),"-"),"-")</f>
        <v>-</v>
      </c>
      <c r="Z115" s="1" t="str">
        <f ca="1">IF(AND($E115&lt;&gt;"",OR($C115="Ready to Develop",$C115="7 PI Started",$C115="6 Epic Backlog",$C115="Done")),IFERROR(VLOOKUP($A115,INDIRECT("'"&amp;$T115&amp;"'"&amp;VLOOKUP($T115,Config!$B$4:$P$11,2)),VLOOKUP($T115,Config!$B$4:$P$11,15),FALSE),"-"),"-")</f>
        <v>-</v>
      </c>
    </row>
    <row r="116" spans="1:26" x14ac:dyDescent="0.2">
      <c r="A116" s="405" t="s">
        <v>585</v>
      </c>
      <c r="B116" t="s">
        <v>586</v>
      </c>
      <c r="C116" t="s">
        <v>461</v>
      </c>
      <c r="D116" t="s">
        <v>389</v>
      </c>
      <c r="K116" s="19" t="str">
        <f t="shared" si="26"/>
        <v>-</v>
      </c>
      <c r="L116" s="1" t="str">
        <f t="shared" si="27"/>
        <v>-</v>
      </c>
      <c r="M116" s="19" t="str">
        <f t="shared" ca="1" si="28"/>
        <v>-</v>
      </c>
      <c r="N116" s="1" t="str">
        <f t="shared" ca="1" si="29"/>
        <v>-</v>
      </c>
      <c r="O116" s="1" t="str">
        <f t="shared" ca="1" si="30"/>
        <v>-</v>
      </c>
      <c r="P116" s="1" t="str">
        <f t="shared" ca="1" si="31"/>
        <v>-</v>
      </c>
      <c r="Q116" s="1" t="str">
        <f t="shared" ca="1" si="32"/>
        <v>-</v>
      </c>
      <c r="R116" s="1" t="str">
        <f t="shared" ca="1" si="33"/>
        <v>-</v>
      </c>
      <c r="S116" s="1"/>
      <c r="T116" s="7" t="str">
        <f t="shared" si="17"/>
        <v/>
      </c>
      <c r="U116" s="1" t="str">
        <f ca="1">IF(AND($E116&lt;&gt;"",OR($C116="Ready to Develop",$C116="7 PI Started",$C116="6 Epic Backlog",$C116="Done")),IFERROR(VLOOKUP($A116,INDIRECT("'"&amp;$T116&amp;"'"&amp;VLOOKUP($T116,Config!$B$4:$L$11,2)),VLOOKUP($T116,Config!$B$4:$L$11,5),FALSE),"-"),"-")</f>
        <v>-</v>
      </c>
      <c r="V116" s="1" t="str">
        <f ca="1">IF($C116="Done",IFERROR(VLOOKUP($A116,INDIRECT("'"&amp;$T116&amp;"'"&amp;VLOOKUP($T116,Config!$B$4:$L$11,2)),VLOOKUP($T116,Config!$B$4:$L$11,7),FALSE),"-"),"-")</f>
        <v>-</v>
      </c>
      <c r="W116" s="1" t="str">
        <f ca="1">IF(AND($E116&lt;&gt;"",OR($C116="Ready to Develop",$C116="7 PI Started",$C116="6 Epic Backlog",$C116="Done")),IFERROR(VLOOKUP($A116,INDIRECT("'"&amp;$T116&amp;"'"&amp;VLOOKUP($T116,Config!$B$4:$L$11,2)),VLOOKUP($T116,Config!$B$4:$L$11,9),FALSE),"-"),"-")</f>
        <v>-</v>
      </c>
      <c r="X116" s="1" t="str">
        <f ca="1">IF($C116="Done",IFERROR(VLOOKUP($A116,INDIRECT("'"&amp;$T116&amp;"'"&amp;VLOOKUP($T116,Config!$B$4:$L$11,2)),VLOOKUP($T116,Config!$B$4:$L$11,11),FALSE),"-"),"-")</f>
        <v>-</v>
      </c>
      <c r="Y116" s="1" t="str">
        <f ca="1">IF(AND($E116&lt;&gt;"",OR($C116="Ready to Develop",$C116="7 PI Started",$C116="6 Epic Backlog",$C116="Done")),IFERROR(VLOOKUP($A116,INDIRECT("'"&amp;$T116&amp;"'"&amp;VLOOKUP($T116,Config!$B$4:$P$11,2)),VLOOKUP($T116,Config!$B$4:$P$11,13),FALSE),"-"),"-")</f>
        <v>-</v>
      </c>
      <c r="Z116" s="1" t="str">
        <f ca="1">IF(AND($E116&lt;&gt;"",OR($C116="Ready to Develop",$C116="7 PI Started",$C116="6 Epic Backlog",$C116="Done")),IFERROR(VLOOKUP($A116,INDIRECT("'"&amp;$T116&amp;"'"&amp;VLOOKUP($T116,Config!$B$4:$P$11,2)),VLOOKUP($T116,Config!$B$4:$P$11,15),FALSE),"-"),"-")</f>
        <v>-</v>
      </c>
    </row>
    <row r="117" spans="1:26" x14ac:dyDescent="0.2">
      <c r="A117" s="405" t="s">
        <v>587</v>
      </c>
      <c r="B117" t="s">
        <v>588</v>
      </c>
      <c r="C117" t="s">
        <v>393</v>
      </c>
      <c r="K117" s="19" t="str">
        <f t="shared" si="26"/>
        <v>-</v>
      </c>
      <c r="L117" s="1" t="str">
        <f t="shared" si="27"/>
        <v>-</v>
      </c>
      <c r="M117" s="19" t="str">
        <f t="shared" ca="1" si="28"/>
        <v>Archived</v>
      </c>
      <c r="N117" s="1" t="str">
        <f t="shared" ca="1" si="29"/>
        <v>-</v>
      </c>
      <c r="O117" s="1" t="str">
        <f t="shared" ca="1" si="30"/>
        <v>Archived</v>
      </c>
      <c r="P117" s="1" t="str">
        <f t="shared" ca="1" si="31"/>
        <v>-</v>
      </c>
      <c r="Q117" s="1" t="str">
        <f t="shared" ca="1" si="32"/>
        <v>-</v>
      </c>
      <c r="R117" s="1" t="str">
        <f t="shared" ca="1" si="33"/>
        <v>-</v>
      </c>
      <c r="S117" s="1"/>
      <c r="T117" s="7" t="str">
        <f t="shared" si="17"/>
        <v/>
      </c>
      <c r="U117" s="1" t="str">
        <f ca="1">IF(AND($E117&lt;&gt;"",OR($C117="Ready to Develop",$C117="7 PI Started",$C117="6 Epic Backlog",$C117="Done")),IFERROR(VLOOKUP($A117,INDIRECT("'"&amp;$T117&amp;"'"&amp;VLOOKUP($T117,Config!$B$4:$L$11,2)),VLOOKUP($T117,Config!$B$4:$L$11,5),FALSE),"-"),"-")</f>
        <v>-</v>
      </c>
      <c r="V117" s="1" t="str">
        <f ca="1">IF($C117="Done",IFERROR(VLOOKUP($A117,INDIRECT("'"&amp;$T117&amp;"'"&amp;VLOOKUP($T117,Config!$B$4:$L$11,2)),VLOOKUP($T117,Config!$B$4:$L$11,7),FALSE),"-"),"-")</f>
        <v>-</v>
      </c>
      <c r="W117" s="1" t="str">
        <f ca="1">IF(AND($E117&lt;&gt;"",OR($C117="Ready to Develop",$C117="7 PI Started",$C117="6 Epic Backlog",$C117="Done")),IFERROR(VLOOKUP($A117,INDIRECT("'"&amp;$T117&amp;"'"&amp;VLOOKUP($T117,Config!$B$4:$L$11,2)),VLOOKUP($T117,Config!$B$4:$L$11,9),FALSE),"-"),"-")</f>
        <v>-</v>
      </c>
      <c r="X117" s="1" t="str">
        <f ca="1">IF($C117="Done",IFERROR(VLOOKUP($A117,INDIRECT("'"&amp;$T117&amp;"'"&amp;VLOOKUP($T117,Config!$B$4:$L$11,2)),VLOOKUP($T117,Config!$B$4:$L$11,11),FALSE),"-"),"-")</f>
        <v>-</v>
      </c>
      <c r="Y117" s="1" t="str">
        <f ca="1">IF(AND($E117&lt;&gt;"",OR($C117="Ready to Develop",$C117="7 PI Started",$C117="6 Epic Backlog",$C117="Done")),IFERROR(VLOOKUP($A117,INDIRECT("'"&amp;$T117&amp;"'"&amp;VLOOKUP($T117,Config!$B$4:$P$11,2)),VLOOKUP($T117,Config!$B$4:$P$11,13),FALSE),"-"),"-")</f>
        <v>-</v>
      </c>
      <c r="Z117" s="1" t="str">
        <f ca="1">IF(AND($E117&lt;&gt;"",OR($C117="Ready to Develop",$C117="7 PI Started",$C117="6 Epic Backlog",$C117="Done")),IFERROR(VLOOKUP($A117,INDIRECT("'"&amp;$T117&amp;"'"&amp;VLOOKUP($T117,Config!$B$4:$P$11,2)),VLOOKUP($T117,Config!$B$4:$P$11,15),FALSE),"-"),"-")</f>
        <v>-</v>
      </c>
    </row>
    <row r="118" spans="1:26" x14ac:dyDescent="0.2">
      <c r="A118" s="405" t="s">
        <v>589</v>
      </c>
      <c r="B118" t="s">
        <v>590</v>
      </c>
      <c r="C118" t="s">
        <v>527</v>
      </c>
      <c r="D118" t="s">
        <v>591</v>
      </c>
      <c r="K118" s="19" t="str">
        <f t="shared" si="26"/>
        <v>-</v>
      </c>
      <c r="L118" s="1" t="str">
        <f t="shared" si="27"/>
        <v>-</v>
      </c>
      <c r="M118" s="19" t="str">
        <f t="shared" ca="1" si="28"/>
        <v>-</v>
      </c>
      <c r="N118" s="1" t="str">
        <f t="shared" ca="1" si="29"/>
        <v>-</v>
      </c>
      <c r="O118" s="1" t="str">
        <f t="shared" ca="1" si="30"/>
        <v>-</v>
      </c>
      <c r="P118" s="1" t="str">
        <f t="shared" ca="1" si="31"/>
        <v>-</v>
      </c>
      <c r="Q118" s="1" t="str">
        <f t="shared" ca="1" si="32"/>
        <v>-</v>
      </c>
      <c r="R118" s="1" t="str">
        <f t="shared" ca="1" si="33"/>
        <v>-</v>
      </c>
      <c r="S118" s="1"/>
      <c r="T118" s="7" t="str">
        <f t="shared" si="17"/>
        <v/>
      </c>
      <c r="U118" s="1" t="str">
        <f ca="1">IF(AND($E118&lt;&gt;"",OR($C118="Ready to Develop",$C118="7 PI Started",$C118="6 Epic Backlog",$C118="Done")),IFERROR(VLOOKUP($A118,INDIRECT("'"&amp;$T118&amp;"'"&amp;VLOOKUP($T118,Config!$B$4:$L$11,2)),VLOOKUP($T118,Config!$B$4:$L$11,5),FALSE),"-"),"-")</f>
        <v>-</v>
      </c>
      <c r="V118" s="1" t="str">
        <f ca="1">IF($C118="Done",IFERROR(VLOOKUP($A118,INDIRECT("'"&amp;$T118&amp;"'"&amp;VLOOKUP($T118,Config!$B$4:$L$11,2)),VLOOKUP($T118,Config!$B$4:$L$11,7),FALSE),"-"),"-")</f>
        <v>-</v>
      </c>
      <c r="W118" s="1" t="str">
        <f ca="1">IF(AND($E118&lt;&gt;"",OR($C118="Ready to Develop",$C118="7 PI Started",$C118="6 Epic Backlog",$C118="Done")),IFERROR(VLOOKUP($A118,INDIRECT("'"&amp;$T118&amp;"'"&amp;VLOOKUP($T118,Config!$B$4:$L$11,2)),VLOOKUP($T118,Config!$B$4:$L$11,9),FALSE),"-"),"-")</f>
        <v>-</v>
      </c>
      <c r="X118" s="1" t="str">
        <f ca="1">IF($C118="Done",IFERROR(VLOOKUP($A118,INDIRECT("'"&amp;$T118&amp;"'"&amp;VLOOKUP($T118,Config!$B$4:$L$11,2)),VLOOKUP($T118,Config!$B$4:$L$11,11),FALSE),"-"),"-")</f>
        <v>-</v>
      </c>
      <c r="Y118" s="1" t="str">
        <f ca="1">IF(AND($E118&lt;&gt;"",OR($C118="Ready to Develop",$C118="7 PI Started",$C118="6 Epic Backlog",$C118="Done")),IFERROR(VLOOKUP($A118,INDIRECT("'"&amp;$T118&amp;"'"&amp;VLOOKUP($T118,Config!$B$4:$P$11,2)),VLOOKUP($T118,Config!$B$4:$P$11,13),FALSE),"-"),"-")</f>
        <v>-</v>
      </c>
      <c r="Z118" s="1" t="str">
        <f ca="1">IF(AND($E118&lt;&gt;"",OR($C118="Ready to Develop",$C118="7 PI Started",$C118="6 Epic Backlog",$C118="Done")),IFERROR(VLOOKUP($A118,INDIRECT("'"&amp;$T118&amp;"'"&amp;VLOOKUP($T118,Config!$B$4:$P$11,2)),VLOOKUP($T118,Config!$B$4:$P$11,15),FALSE),"-"),"-")</f>
        <v>-</v>
      </c>
    </row>
    <row r="119" spans="1:26" x14ac:dyDescent="0.2">
      <c r="A119" s="405"/>
    </row>
    <row r="120" spans="1:26" x14ac:dyDescent="0.2">
      <c r="A120" s="405"/>
    </row>
    <row r="121" spans="1:26" x14ac:dyDescent="0.2">
      <c r="A121" s="405"/>
    </row>
    <row r="122" spans="1:26" x14ac:dyDescent="0.2">
      <c r="A122" s="405"/>
    </row>
    <row r="123" spans="1:26" x14ac:dyDescent="0.2">
      <c r="A123" s="405"/>
    </row>
    <row r="124" spans="1:26" x14ac:dyDescent="0.2">
      <c r="A124" s="405"/>
    </row>
    <row r="125" spans="1:26" x14ac:dyDescent="0.2">
      <c r="A125" s="405"/>
    </row>
    <row r="126" spans="1:26" x14ac:dyDescent="0.2">
      <c r="A126" s="405"/>
    </row>
    <row r="127" spans="1:26" x14ac:dyDescent="0.2">
      <c r="A127" s="405"/>
    </row>
    <row r="128" spans="1:26" x14ac:dyDescent="0.2">
      <c r="A128" s="405"/>
    </row>
    <row r="129" spans="1:1" x14ac:dyDescent="0.2">
      <c r="A129" s="405"/>
    </row>
    <row r="130" spans="1:1" x14ac:dyDescent="0.2">
      <c r="A130" s="405"/>
    </row>
    <row r="131" spans="1:1" x14ac:dyDescent="0.2">
      <c r="A131" s="405"/>
    </row>
    <row r="132" spans="1:1" x14ac:dyDescent="0.2">
      <c r="A132" s="405"/>
    </row>
    <row r="133" spans="1:1" x14ac:dyDescent="0.2">
      <c r="A133" s="405"/>
    </row>
    <row r="134" spans="1:1" x14ac:dyDescent="0.2">
      <c r="A134" s="405"/>
    </row>
    <row r="135" spans="1:1" x14ac:dyDescent="0.2">
      <c r="A135" s="405"/>
    </row>
    <row r="136" spans="1:1" x14ac:dyDescent="0.2">
      <c r="A136" s="405"/>
    </row>
    <row r="137" spans="1:1" x14ac:dyDescent="0.2">
      <c r="A137" s="405"/>
    </row>
    <row r="138" spans="1:1" x14ac:dyDescent="0.2">
      <c r="A138" s="405"/>
    </row>
    <row r="139" spans="1:1" x14ac:dyDescent="0.2">
      <c r="A139" s="405"/>
    </row>
    <row r="140" spans="1:1" x14ac:dyDescent="0.2">
      <c r="A140" s="405"/>
    </row>
    <row r="141" spans="1:1" x14ac:dyDescent="0.2">
      <c r="A141" s="405"/>
    </row>
    <row r="142" spans="1:1" x14ac:dyDescent="0.2">
      <c r="A142" s="405"/>
    </row>
    <row r="143" spans="1:1" x14ac:dyDescent="0.2">
      <c r="A143" s="405"/>
    </row>
    <row r="144" spans="1:1" x14ac:dyDescent="0.2">
      <c r="A144" s="405"/>
    </row>
    <row r="145" spans="1:9" x14ac:dyDescent="0.2">
      <c r="A145" s="405"/>
    </row>
    <row r="146" spans="1:9" x14ac:dyDescent="0.2">
      <c r="A146" s="405"/>
    </row>
    <row r="147" spans="1:9" x14ac:dyDescent="0.2">
      <c r="A147" s="405"/>
    </row>
    <row r="148" spans="1:9" x14ac:dyDescent="0.2">
      <c r="A148" s="405"/>
    </row>
    <row r="149" spans="1:9" x14ac:dyDescent="0.2">
      <c r="A149" s="405"/>
    </row>
    <row r="150" spans="1:9" x14ac:dyDescent="0.2">
      <c r="A150" s="405"/>
    </row>
    <row r="151" spans="1:9" x14ac:dyDescent="0.2">
      <c r="A151" s="405"/>
    </row>
    <row r="152" spans="1:9" x14ac:dyDescent="0.2">
      <c r="A152" s="405"/>
    </row>
    <row r="153" spans="1:9" x14ac:dyDescent="0.2">
      <c r="A153" s="405"/>
    </row>
    <row r="154" spans="1:9" x14ac:dyDescent="0.2">
      <c r="A154" s="405"/>
    </row>
    <row r="155" spans="1:9" x14ac:dyDescent="0.2">
      <c r="A155" s="405"/>
    </row>
    <row r="156" spans="1:9" x14ac:dyDescent="0.2">
      <c r="A156" s="405"/>
    </row>
    <row r="157" spans="1:9" x14ac:dyDescent="0.2">
      <c r="A157" s="405"/>
    </row>
    <row r="158" spans="1:9" x14ac:dyDescent="0.2">
      <c r="A158" s="405"/>
      <c r="I158" s="19"/>
    </row>
    <row r="159" spans="1:9" x14ac:dyDescent="0.2">
      <c r="A159" s="405"/>
    </row>
    <row r="160" spans="1:9" x14ac:dyDescent="0.2">
      <c r="A160" s="405"/>
    </row>
    <row r="161" spans="1:9" x14ac:dyDescent="0.2">
      <c r="A161" s="405"/>
    </row>
    <row r="162" spans="1:9" x14ac:dyDescent="0.2">
      <c r="A162" s="405"/>
    </row>
    <row r="163" spans="1:9" x14ac:dyDescent="0.2">
      <c r="A163" s="405"/>
    </row>
    <row r="164" spans="1:9" x14ac:dyDescent="0.2">
      <c r="A164" s="405"/>
    </row>
    <row r="165" spans="1:9" x14ac:dyDescent="0.2">
      <c r="A165" s="405"/>
    </row>
    <row r="166" spans="1:9" x14ac:dyDescent="0.2">
      <c r="A166" s="405"/>
      <c r="I166" s="19"/>
    </row>
    <row r="167" spans="1:9" x14ac:dyDescent="0.2">
      <c r="A167" s="405"/>
    </row>
    <row r="168" spans="1:9" x14ac:dyDescent="0.2">
      <c r="A168" s="405"/>
    </row>
    <row r="169" spans="1:9" x14ac:dyDescent="0.2">
      <c r="A169" s="405"/>
    </row>
    <row r="170" spans="1:9" x14ac:dyDescent="0.2">
      <c r="A170" s="405"/>
    </row>
    <row r="171" spans="1:9" x14ac:dyDescent="0.2">
      <c r="A171" s="405"/>
    </row>
    <row r="172" spans="1:9" x14ac:dyDescent="0.2">
      <c r="A172" s="405"/>
    </row>
    <row r="173" spans="1:9" x14ac:dyDescent="0.2">
      <c r="A173" s="405"/>
    </row>
    <row r="174" spans="1:9" x14ac:dyDescent="0.2">
      <c r="A174" s="405"/>
    </row>
    <row r="175" spans="1:9" x14ac:dyDescent="0.2">
      <c r="A175" s="405"/>
    </row>
    <row r="176" spans="1:9" x14ac:dyDescent="0.2">
      <c r="A176" s="405"/>
    </row>
    <row r="177" spans="1:8" x14ac:dyDescent="0.2">
      <c r="A177" s="405"/>
    </row>
    <row r="178" spans="1:8" x14ac:dyDescent="0.2">
      <c r="A178" s="405"/>
    </row>
    <row r="179" spans="1:8" x14ac:dyDescent="0.2">
      <c r="A179" s="405"/>
    </row>
    <row r="180" spans="1:8" x14ac:dyDescent="0.2">
      <c r="A180" s="405"/>
    </row>
    <row r="181" spans="1:8" x14ac:dyDescent="0.2">
      <c r="A181" s="405"/>
    </row>
    <row r="182" spans="1:8" x14ac:dyDescent="0.2">
      <c r="A182" s="405"/>
    </row>
    <row r="183" spans="1:8" x14ac:dyDescent="0.2">
      <c r="A183" s="405"/>
    </row>
    <row r="184" spans="1:8" x14ac:dyDescent="0.2">
      <c r="A184" s="405"/>
    </row>
    <row r="185" spans="1:8" x14ac:dyDescent="0.2">
      <c r="A185" s="405"/>
    </row>
    <row r="186" spans="1:8" x14ac:dyDescent="0.2">
      <c r="A186" s="405"/>
    </row>
    <row r="187" spans="1:8" x14ac:dyDescent="0.2">
      <c r="A187" s="405"/>
      <c r="H187" s="19"/>
    </row>
    <row r="188" spans="1:8" x14ac:dyDescent="0.2">
      <c r="A188" s="405"/>
    </row>
    <row r="189" spans="1:8" x14ac:dyDescent="0.2">
      <c r="A189" s="405"/>
    </row>
    <row r="190" spans="1:8" x14ac:dyDescent="0.2">
      <c r="A190" s="405"/>
    </row>
    <row r="191" spans="1:8" x14ac:dyDescent="0.2">
      <c r="A191" s="405"/>
    </row>
    <row r="192" spans="1:8" x14ac:dyDescent="0.2">
      <c r="A192" s="405"/>
    </row>
    <row r="193" spans="1:8" x14ac:dyDescent="0.2">
      <c r="A193" s="405"/>
    </row>
    <row r="194" spans="1:8" x14ac:dyDescent="0.2">
      <c r="A194" s="405"/>
    </row>
    <row r="195" spans="1:8" x14ac:dyDescent="0.2">
      <c r="A195" s="405"/>
      <c r="H195" s="19"/>
    </row>
    <row r="196" spans="1:8" x14ac:dyDescent="0.2">
      <c r="A196" s="405"/>
    </row>
    <row r="197" spans="1:8" x14ac:dyDescent="0.2">
      <c r="A197" s="405"/>
    </row>
    <row r="198" spans="1:8" x14ac:dyDescent="0.2">
      <c r="A198" s="405"/>
    </row>
    <row r="199" spans="1:8" x14ac:dyDescent="0.2">
      <c r="A199" s="405"/>
    </row>
    <row r="200" spans="1:8" x14ac:dyDescent="0.2">
      <c r="A200" s="405"/>
    </row>
    <row r="201" spans="1:8" x14ac:dyDescent="0.2">
      <c r="A201" s="405"/>
    </row>
    <row r="202" spans="1:8" x14ac:dyDescent="0.2">
      <c r="A202" s="405"/>
    </row>
    <row r="203" spans="1:8" x14ac:dyDescent="0.2">
      <c r="A203" s="405"/>
    </row>
    <row r="204" spans="1:8" x14ac:dyDescent="0.2">
      <c r="A204" s="405"/>
    </row>
    <row r="205" spans="1:8" x14ac:dyDescent="0.2">
      <c r="A205" s="405"/>
    </row>
    <row r="206" spans="1:8" x14ac:dyDescent="0.2">
      <c r="A206" s="405"/>
    </row>
    <row r="207" spans="1:8" x14ac:dyDescent="0.2">
      <c r="A207" s="405"/>
    </row>
    <row r="208" spans="1:8" x14ac:dyDescent="0.2">
      <c r="A208" s="405"/>
    </row>
    <row r="209" spans="1:1" x14ac:dyDescent="0.2">
      <c r="A209" s="405"/>
    </row>
    <row r="210" spans="1:1" x14ac:dyDescent="0.2">
      <c r="A210" s="405"/>
    </row>
    <row r="211" spans="1:1" x14ac:dyDescent="0.2">
      <c r="A211" s="405"/>
    </row>
    <row r="212" spans="1:1" x14ac:dyDescent="0.2">
      <c r="A212" s="405"/>
    </row>
    <row r="213" spans="1:1" x14ac:dyDescent="0.2">
      <c r="A213" s="405"/>
    </row>
    <row r="214" spans="1:1" x14ac:dyDescent="0.2">
      <c r="A214" s="405"/>
    </row>
    <row r="215" spans="1:1" x14ac:dyDescent="0.2">
      <c r="A215" s="405"/>
    </row>
    <row r="216" spans="1:1" x14ac:dyDescent="0.2">
      <c r="A216" s="405"/>
    </row>
    <row r="217" spans="1:1" x14ac:dyDescent="0.2">
      <c r="A217" s="405"/>
    </row>
    <row r="218" spans="1:1" x14ac:dyDescent="0.2">
      <c r="A218" s="405"/>
    </row>
    <row r="219" spans="1:1" x14ac:dyDescent="0.2">
      <c r="A219" s="405"/>
    </row>
    <row r="220" spans="1:1" x14ac:dyDescent="0.2">
      <c r="A220" s="405"/>
    </row>
    <row r="221" spans="1:1" x14ac:dyDescent="0.2">
      <c r="A221" s="405"/>
    </row>
    <row r="222" spans="1:1" x14ac:dyDescent="0.2">
      <c r="A222" s="405"/>
    </row>
    <row r="223" spans="1:1" x14ac:dyDescent="0.2">
      <c r="A223" s="405"/>
    </row>
    <row r="224" spans="1:1" x14ac:dyDescent="0.2">
      <c r="A224" s="405"/>
    </row>
    <row r="225" spans="1:9" x14ac:dyDescent="0.2">
      <c r="A225" s="405"/>
    </row>
    <row r="226" spans="1:9" x14ac:dyDescent="0.2">
      <c r="A226" s="405"/>
    </row>
    <row r="227" spans="1:9" x14ac:dyDescent="0.2">
      <c r="A227" s="405"/>
      <c r="I227" s="19"/>
    </row>
    <row r="228" spans="1:9" x14ac:dyDescent="0.2">
      <c r="A228" s="405"/>
    </row>
    <row r="229" spans="1:9" x14ac:dyDescent="0.2">
      <c r="A229" s="405"/>
    </row>
    <row r="230" spans="1:9" x14ac:dyDescent="0.2">
      <c r="A230" s="405"/>
    </row>
    <row r="231" spans="1:9" x14ac:dyDescent="0.2">
      <c r="A231" s="405"/>
    </row>
    <row r="232" spans="1:9" x14ac:dyDescent="0.2">
      <c r="A232" s="405"/>
    </row>
    <row r="233" spans="1:9" x14ac:dyDescent="0.2">
      <c r="A233" s="405"/>
    </row>
    <row r="234" spans="1:9" x14ac:dyDescent="0.2">
      <c r="A234" s="405"/>
    </row>
    <row r="235" spans="1:9" x14ac:dyDescent="0.2">
      <c r="A235" s="405"/>
      <c r="I235" s="19"/>
    </row>
    <row r="236" spans="1:9" x14ac:dyDescent="0.2">
      <c r="A236" s="405"/>
    </row>
    <row r="237" spans="1:9" x14ac:dyDescent="0.2">
      <c r="A237" s="405"/>
    </row>
    <row r="238" spans="1:9" x14ac:dyDescent="0.2">
      <c r="A238" s="405"/>
    </row>
    <row r="239" spans="1:9" x14ac:dyDescent="0.2">
      <c r="A239" s="405"/>
    </row>
    <row r="240" spans="1:9" x14ac:dyDescent="0.2">
      <c r="A240" s="405"/>
    </row>
    <row r="241" spans="1:9" x14ac:dyDescent="0.2">
      <c r="A241" s="405"/>
    </row>
    <row r="242" spans="1:9" x14ac:dyDescent="0.2">
      <c r="A242" s="405"/>
    </row>
    <row r="243" spans="1:9" x14ac:dyDescent="0.2">
      <c r="A243" s="405"/>
    </row>
    <row r="244" spans="1:9" x14ac:dyDescent="0.2">
      <c r="A244" s="405"/>
    </row>
    <row r="245" spans="1:9" x14ac:dyDescent="0.2">
      <c r="A245" s="405"/>
    </row>
    <row r="246" spans="1:9" x14ac:dyDescent="0.2">
      <c r="A246" s="405"/>
    </row>
    <row r="247" spans="1:9" x14ac:dyDescent="0.2">
      <c r="A247" s="405"/>
    </row>
    <row r="248" spans="1:9" x14ac:dyDescent="0.2">
      <c r="A248" s="405"/>
    </row>
    <row r="249" spans="1:9" x14ac:dyDescent="0.2">
      <c r="A249" s="405"/>
    </row>
    <row r="250" spans="1:9" x14ac:dyDescent="0.2">
      <c r="A250" s="405"/>
    </row>
    <row r="251" spans="1:9" x14ac:dyDescent="0.2">
      <c r="A251" s="405"/>
    </row>
    <row r="252" spans="1:9" x14ac:dyDescent="0.2">
      <c r="A252" s="405"/>
    </row>
    <row r="253" spans="1:9" x14ac:dyDescent="0.2">
      <c r="A253" s="405"/>
      <c r="H253" s="19"/>
      <c r="I253" s="19"/>
    </row>
    <row r="254" spans="1:9" x14ac:dyDescent="0.2">
      <c r="A254" s="405"/>
    </row>
    <row r="255" spans="1:9" x14ac:dyDescent="0.2">
      <c r="A255" s="405"/>
    </row>
    <row r="256" spans="1:9" x14ac:dyDescent="0.2">
      <c r="A256" s="405"/>
    </row>
    <row r="257" spans="1:9" x14ac:dyDescent="0.2">
      <c r="A257" s="405"/>
    </row>
    <row r="258" spans="1:9" x14ac:dyDescent="0.2">
      <c r="A258" s="405"/>
    </row>
    <row r="259" spans="1:9" x14ac:dyDescent="0.2">
      <c r="A259" s="405"/>
    </row>
    <row r="260" spans="1:9" x14ac:dyDescent="0.2">
      <c r="A260" s="405"/>
    </row>
    <row r="261" spans="1:9" x14ac:dyDescent="0.2">
      <c r="A261" s="405"/>
      <c r="H261" s="19"/>
      <c r="I261" s="19"/>
    </row>
    <row r="262" spans="1:9" x14ac:dyDescent="0.2">
      <c r="A262" s="405"/>
    </row>
    <row r="263" spans="1:9" x14ac:dyDescent="0.2">
      <c r="A263" s="405"/>
    </row>
    <row r="264" spans="1:9" x14ac:dyDescent="0.2">
      <c r="A264" s="405"/>
    </row>
    <row r="265" spans="1:9" x14ac:dyDescent="0.2">
      <c r="A265" s="405"/>
    </row>
    <row r="266" spans="1:9" x14ac:dyDescent="0.2">
      <c r="A266" s="405"/>
    </row>
    <row r="267" spans="1:9" x14ac:dyDescent="0.2">
      <c r="A267" s="405"/>
    </row>
    <row r="268" spans="1:9" x14ac:dyDescent="0.2">
      <c r="A268" s="405"/>
    </row>
    <row r="269" spans="1:9" x14ac:dyDescent="0.2">
      <c r="A269" s="405"/>
      <c r="H269" s="19"/>
    </row>
    <row r="270" spans="1:9" x14ac:dyDescent="0.2">
      <c r="A270" s="405"/>
    </row>
    <row r="271" spans="1:9" x14ac:dyDescent="0.2">
      <c r="A271" s="405"/>
    </row>
    <row r="272" spans="1:9" x14ac:dyDescent="0.2">
      <c r="A272" s="405"/>
    </row>
    <row r="273" spans="1:8" x14ac:dyDescent="0.2">
      <c r="A273" s="405"/>
    </row>
    <row r="274" spans="1:8" x14ac:dyDescent="0.2">
      <c r="A274" s="405"/>
    </row>
    <row r="275" spans="1:8" x14ac:dyDescent="0.2">
      <c r="A275" s="405"/>
    </row>
    <row r="276" spans="1:8" x14ac:dyDescent="0.2">
      <c r="A276" s="405"/>
    </row>
    <row r="277" spans="1:8" x14ac:dyDescent="0.2">
      <c r="A277" s="405"/>
      <c r="H277" s="19"/>
    </row>
    <row r="278" spans="1:8" x14ac:dyDescent="0.2">
      <c r="A278" s="405"/>
    </row>
    <row r="279" spans="1:8" x14ac:dyDescent="0.2">
      <c r="A279" s="405"/>
    </row>
    <row r="280" spans="1:8" x14ac:dyDescent="0.2">
      <c r="A280" s="405"/>
    </row>
    <row r="281" spans="1:8" x14ac:dyDescent="0.2">
      <c r="A281" s="405"/>
      <c r="H281" s="19"/>
    </row>
    <row r="282" spans="1:8" x14ac:dyDescent="0.2">
      <c r="A282" s="405"/>
    </row>
    <row r="283" spans="1:8" x14ac:dyDescent="0.2">
      <c r="A283" s="405"/>
    </row>
    <row r="284" spans="1:8" x14ac:dyDescent="0.2">
      <c r="A284" s="405"/>
    </row>
    <row r="285" spans="1:8" x14ac:dyDescent="0.2">
      <c r="A285" s="405"/>
    </row>
    <row r="286" spans="1:8" x14ac:dyDescent="0.2">
      <c r="A286" s="405"/>
    </row>
    <row r="287" spans="1:8" x14ac:dyDescent="0.2">
      <c r="A287" s="405"/>
    </row>
    <row r="288" spans="1:8" x14ac:dyDescent="0.2">
      <c r="A288" s="405"/>
    </row>
    <row r="289" spans="1:8" x14ac:dyDescent="0.2">
      <c r="A289" s="405"/>
      <c r="H289" s="19"/>
    </row>
    <row r="290" spans="1:8" x14ac:dyDescent="0.2">
      <c r="A290" s="405"/>
    </row>
    <row r="291" spans="1:8" x14ac:dyDescent="0.2">
      <c r="A291" s="405"/>
    </row>
    <row r="292" spans="1:8" x14ac:dyDescent="0.2">
      <c r="A292" s="405"/>
    </row>
    <row r="293" spans="1:8" x14ac:dyDescent="0.2">
      <c r="A293" s="405"/>
    </row>
    <row r="294" spans="1:8" x14ac:dyDescent="0.2">
      <c r="A294" s="405"/>
    </row>
    <row r="295" spans="1:8" x14ac:dyDescent="0.2">
      <c r="A295" s="405"/>
    </row>
    <row r="296" spans="1:8" x14ac:dyDescent="0.2">
      <c r="A296" s="405"/>
    </row>
    <row r="297" spans="1:8" x14ac:dyDescent="0.2">
      <c r="A297" s="405"/>
      <c r="H297" s="19"/>
    </row>
    <row r="298" spans="1:8" x14ac:dyDescent="0.2">
      <c r="A298" s="405"/>
    </row>
    <row r="299" spans="1:8" x14ac:dyDescent="0.2">
      <c r="A299" s="405"/>
    </row>
    <row r="300" spans="1:8" x14ac:dyDescent="0.2">
      <c r="A300" s="405"/>
    </row>
    <row r="301" spans="1:8" x14ac:dyDescent="0.2">
      <c r="A301" s="405"/>
    </row>
    <row r="302" spans="1:8" x14ac:dyDescent="0.2">
      <c r="A302" s="405"/>
    </row>
    <row r="303" spans="1:8" x14ac:dyDescent="0.2">
      <c r="A303" s="405"/>
    </row>
    <row r="304" spans="1:8" x14ac:dyDescent="0.2">
      <c r="A304" s="405"/>
    </row>
    <row r="305" spans="1:9" x14ac:dyDescent="0.2">
      <c r="A305" s="405"/>
      <c r="H305" s="19"/>
      <c r="I305" s="19"/>
    </row>
    <row r="306" spans="1:9" x14ac:dyDescent="0.2">
      <c r="A306" s="405"/>
    </row>
    <row r="307" spans="1:9" x14ac:dyDescent="0.2">
      <c r="A307" s="405"/>
    </row>
    <row r="308" spans="1:9" x14ac:dyDescent="0.2">
      <c r="A308" s="405"/>
    </row>
    <row r="309" spans="1:9" x14ac:dyDescent="0.2">
      <c r="A309" s="405"/>
    </row>
    <row r="310" spans="1:9" x14ac:dyDescent="0.2">
      <c r="A310" s="405"/>
    </row>
    <row r="311" spans="1:9" x14ac:dyDescent="0.2">
      <c r="A311" s="405"/>
    </row>
    <row r="312" spans="1:9" x14ac:dyDescent="0.2">
      <c r="A312" s="405"/>
    </row>
    <row r="313" spans="1:9" x14ac:dyDescent="0.2">
      <c r="A313" s="405"/>
      <c r="H313" s="19"/>
      <c r="I313" s="19"/>
    </row>
    <row r="314" spans="1:9" x14ac:dyDescent="0.2">
      <c r="A314" s="405"/>
    </row>
    <row r="315" spans="1:9" x14ac:dyDescent="0.2">
      <c r="A315" s="405"/>
    </row>
    <row r="316" spans="1:9" x14ac:dyDescent="0.2">
      <c r="A316" s="405"/>
    </row>
    <row r="317" spans="1:9" x14ac:dyDescent="0.2">
      <c r="A317" s="405"/>
    </row>
    <row r="318" spans="1:9" x14ac:dyDescent="0.2">
      <c r="A318" s="405"/>
    </row>
    <row r="319" spans="1:9" x14ac:dyDescent="0.2">
      <c r="A319" s="405"/>
      <c r="H319" s="19"/>
    </row>
    <row r="320" spans="1:9" x14ac:dyDescent="0.2">
      <c r="A320" s="405"/>
    </row>
    <row r="321" spans="1:8" x14ac:dyDescent="0.2">
      <c r="A321" s="405"/>
    </row>
    <row r="322" spans="1:8" x14ac:dyDescent="0.2">
      <c r="A322" s="405"/>
    </row>
    <row r="323" spans="1:8" x14ac:dyDescent="0.2">
      <c r="A323" s="405"/>
    </row>
    <row r="324" spans="1:8" x14ac:dyDescent="0.2">
      <c r="A324" s="405"/>
    </row>
    <row r="325" spans="1:8" x14ac:dyDescent="0.2">
      <c r="A325" s="405"/>
    </row>
    <row r="326" spans="1:8" x14ac:dyDescent="0.2">
      <c r="A326" s="405"/>
    </row>
    <row r="327" spans="1:8" x14ac:dyDescent="0.2">
      <c r="A327" s="405"/>
      <c r="H327" s="19"/>
    </row>
    <row r="328" spans="1:8" x14ac:dyDescent="0.2">
      <c r="A328" s="405"/>
    </row>
    <row r="329" spans="1:8" x14ac:dyDescent="0.2">
      <c r="A329" s="405"/>
    </row>
    <row r="330" spans="1:8" x14ac:dyDescent="0.2">
      <c r="A330" s="405"/>
    </row>
    <row r="331" spans="1:8" x14ac:dyDescent="0.2">
      <c r="A331" s="405"/>
    </row>
    <row r="332" spans="1:8" x14ac:dyDescent="0.2">
      <c r="A332" s="405"/>
    </row>
    <row r="333" spans="1:8" x14ac:dyDescent="0.2">
      <c r="A333" s="405"/>
    </row>
    <row r="334" spans="1:8" x14ac:dyDescent="0.2">
      <c r="A334" s="405"/>
      <c r="H334" s="19"/>
    </row>
    <row r="335" spans="1:8" x14ac:dyDescent="0.2">
      <c r="A335" s="405"/>
    </row>
    <row r="336" spans="1:8" x14ac:dyDescent="0.2">
      <c r="A336" s="405"/>
    </row>
    <row r="337" spans="1:9" x14ac:dyDescent="0.2">
      <c r="A337" s="405"/>
    </row>
    <row r="338" spans="1:9" x14ac:dyDescent="0.2">
      <c r="A338" s="405"/>
    </row>
    <row r="339" spans="1:9" x14ac:dyDescent="0.2">
      <c r="A339" s="405"/>
    </row>
    <row r="340" spans="1:9" x14ac:dyDescent="0.2">
      <c r="A340" s="405"/>
    </row>
    <row r="341" spans="1:9" x14ac:dyDescent="0.2">
      <c r="A341" s="405"/>
      <c r="H341" s="19"/>
    </row>
    <row r="342" spans="1:9" x14ac:dyDescent="0.2">
      <c r="A342" s="405"/>
      <c r="H342" s="19"/>
      <c r="I342" s="19"/>
    </row>
    <row r="343" spans="1:9" x14ac:dyDescent="0.2">
      <c r="A343" s="405"/>
    </row>
    <row r="344" spans="1:9" x14ac:dyDescent="0.2">
      <c r="A344" s="405"/>
    </row>
    <row r="345" spans="1:9" x14ac:dyDescent="0.2">
      <c r="A345" s="405"/>
      <c r="H345" s="19"/>
    </row>
    <row r="346" spans="1:9" x14ac:dyDescent="0.2">
      <c r="A346" s="405"/>
    </row>
    <row r="347" spans="1:9" x14ac:dyDescent="0.2">
      <c r="A347" s="405"/>
    </row>
    <row r="348" spans="1:9" x14ac:dyDescent="0.2">
      <c r="A348" s="405"/>
    </row>
    <row r="349" spans="1:9" x14ac:dyDescent="0.2">
      <c r="A349" s="405"/>
      <c r="H349" s="19"/>
    </row>
    <row r="350" spans="1:9" x14ac:dyDescent="0.2">
      <c r="A350" s="405"/>
      <c r="I350" s="19"/>
    </row>
    <row r="351" spans="1:9" x14ac:dyDescent="0.2">
      <c r="A351" s="405"/>
    </row>
    <row r="352" spans="1:9" x14ac:dyDescent="0.2">
      <c r="A352" s="405"/>
    </row>
    <row r="353" spans="1:9" x14ac:dyDescent="0.2">
      <c r="A353" s="405"/>
      <c r="H353" s="19"/>
    </row>
    <row r="354" spans="1:9" x14ac:dyDescent="0.2">
      <c r="A354" s="405"/>
    </row>
    <row r="355" spans="1:9" x14ac:dyDescent="0.2">
      <c r="A355" s="405"/>
    </row>
    <row r="356" spans="1:9" x14ac:dyDescent="0.2">
      <c r="A356" s="405"/>
    </row>
    <row r="357" spans="1:9" x14ac:dyDescent="0.2">
      <c r="A357" s="405"/>
      <c r="H357" s="19"/>
    </row>
    <row r="358" spans="1:9" x14ac:dyDescent="0.2">
      <c r="A358" s="405"/>
    </row>
    <row r="359" spans="1:9" x14ac:dyDescent="0.2">
      <c r="A359" s="405"/>
    </row>
    <row r="360" spans="1:9" x14ac:dyDescent="0.2">
      <c r="A360" s="405"/>
      <c r="I360" s="19"/>
    </row>
    <row r="361" spans="1:9" x14ac:dyDescent="0.2">
      <c r="A361" s="405"/>
    </row>
    <row r="362" spans="1:9" x14ac:dyDescent="0.2">
      <c r="A362" s="405"/>
    </row>
    <row r="363" spans="1:9" x14ac:dyDescent="0.2">
      <c r="A363" s="405"/>
    </row>
    <row r="364" spans="1:9" x14ac:dyDescent="0.2">
      <c r="A364" s="405"/>
    </row>
    <row r="365" spans="1:9" x14ac:dyDescent="0.2">
      <c r="A365" s="405"/>
    </row>
    <row r="366" spans="1:9" x14ac:dyDescent="0.2">
      <c r="A366" s="405"/>
    </row>
    <row r="367" spans="1:9" x14ac:dyDescent="0.2">
      <c r="A367" s="405"/>
    </row>
    <row r="368" spans="1:9" x14ac:dyDescent="0.2">
      <c r="A368" s="405"/>
      <c r="I368" s="19"/>
    </row>
    <row r="369" spans="1:1" x14ac:dyDescent="0.2">
      <c r="A369" s="405"/>
    </row>
    <row r="370" spans="1:1" x14ac:dyDescent="0.2">
      <c r="A370" s="405"/>
    </row>
    <row r="371" spans="1:1" x14ac:dyDescent="0.2">
      <c r="A371" s="405"/>
    </row>
    <row r="372" spans="1:1" x14ac:dyDescent="0.2">
      <c r="A372" s="405"/>
    </row>
    <row r="373" spans="1:1" x14ac:dyDescent="0.2">
      <c r="A373" s="405"/>
    </row>
    <row r="374" spans="1:1" x14ac:dyDescent="0.2">
      <c r="A374" s="405"/>
    </row>
    <row r="375" spans="1:1" x14ac:dyDescent="0.2">
      <c r="A375" s="405"/>
    </row>
    <row r="376" spans="1:1" x14ac:dyDescent="0.2">
      <c r="A376" s="405"/>
    </row>
    <row r="377" spans="1:1" x14ac:dyDescent="0.2">
      <c r="A377" s="405"/>
    </row>
    <row r="378" spans="1:1" x14ac:dyDescent="0.2">
      <c r="A378" s="405"/>
    </row>
    <row r="379" spans="1:1" x14ac:dyDescent="0.2">
      <c r="A379" s="405"/>
    </row>
    <row r="380" spans="1:1" x14ac:dyDescent="0.2">
      <c r="A380" s="405"/>
    </row>
    <row r="381" spans="1:1" x14ac:dyDescent="0.2">
      <c r="A381" s="405"/>
    </row>
    <row r="382" spans="1:1" x14ac:dyDescent="0.2">
      <c r="A382" s="405"/>
    </row>
    <row r="383" spans="1:1" x14ac:dyDescent="0.2">
      <c r="A383" s="405"/>
    </row>
    <row r="384" spans="1:1" x14ac:dyDescent="0.2">
      <c r="A384" s="405"/>
    </row>
    <row r="385" spans="1:1" x14ac:dyDescent="0.2">
      <c r="A385" s="405"/>
    </row>
    <row r="386" spans="1:1" x14ac:dyDescent="0.2">
      <c r="A386" s="405"/>
    </row>
    <row r="387" spans="1:1" x14ac:dyDescent="0.2">
      <c r="A387" s="405"/>
    </row>
    <row r="388" spans="1:1" x14ac:dyDescent="0.2">
      <c r="A388" s="405"/>
    </row>
    <row r="389" spans="1:1" x14ac:dyDescent="0.2">
      <c r="A389" s="405"/>
    </row>
    <row r="390" spans="1:1" x14ac:dyDescent="0.2">
      <c r="A390" s="405"/>
    </row>
    <row r="391" spans="1:1" x14ac:dyDescent="0.2">
      <c r="A391" s="405"/>
    </row>
    <row r="392" spans="1:1" x14ac:dyDescent="0.2">
      <c r="A392" s="405"/>
    </row>
    <row r="393" spans="1:1" x14ac:dyDescent="0.2">
      <c r="A393" s="405"/>
    </row>
    <row r="394" spans="1:1" x14ac:dyDescent="0.2">
      <c r="A394" s="405"/>
    </row>
    <row r="395" spans="1:1" x14ac:dyDescent="0.2">
      <c r="A395" s="405"/>
    </row>
    <row r="396" spans="1:1" x14ac:dyDescent="0.2">
      <c r="A396" s="405"/>
    </row>
    <row r="397" spans="1:1" x14ac:dyDescent="0.2">
      <c r="A397" s="405"/>
    </row>
    <row r="398" spans="1:1" x14ac:dyDescent="0.2">
      <c r="A398" s="405"/>
    </row>
    <row r="399" spans="1:1" x14ac:dyDescent="0.2">
      <c r="A399" s="405"/>
    </row>
    <row r="400" spans="1:1" x14ac:dyDescent="0.2">
      <c r="A400" s="405"/>
    </row>
    <row r="401" spans="1:9" x14ac:dyDescent="0.2">
      <c r="A401" s="405"/>
    </row>
    <row r="402" spans="1:9" x14ac:dyDescent="0.2">
      <c r="A402" s="405"/>
    </row>
    <row r="403" spans="1:9" x14ac:dyDescent="0.2">
      <c r="A403" s="405"/>
    </row>
    <row r="404" spans="1:9" x14ac:dyDescent="0.2">
      <c r="A404" s="405"/>
    </row>
    <row r="405" spans="1:9" x14ac:dyDescent="0.2">
      <c r="A405" s="405"/>
      <c r="I405" s="19"/>
    </row>
    <row r="406" spans="1:9" x14ac:dyDescent="0.2">
      <c r="A406" s="405"/>
    </row>
    <row r="407" spans="1:9" x14ac:dyDescent="0.2">
      <c r="A407" s="405"/>
    </row>
    <row r="408" spans="1:9" x14ac:dyDescent="0.2">
      <c r="A408" s="405"/>
    </row>
    <row r="409" spans="1:9" x14ac:dyDescent="0.2">
      <c r="A409" s="405"/>
    </row>
    <row r="410" spans="1:9" x14ac:dyDescent="0.2">
      <c r="A410" s="405"/>
    </row>
    <row r="411" spans="1:9" x14ac:dyDescent="0.2">
      <c r="A411" s="405"/>
    </row>
    <row r="412" spans="1:9" x14ac:dyDescent="0.2">
      <c r="A412" s="405"/>
    </row>
    <row r="413" spans="1:9" x14ac:dyDescent="0.2">
      <c r="A413" s="405"/>
      <c r="I413" s="19"/>
    </row>
    <row r="414" spans="1:9" x14ac:dyDescent="0.2">
      <c r="A414" s="405"/>
      <c r="H414" s="19"/>
      <c r="I414" s="19"/>
    </row>
    <row r="415" spans="1:9" x14ac:dyDescent="0.2">
      <c r="A415" s="405"/>
      <c r="H415" s="19"/>
      <c r="I415" s="19"/>
    </row>
    <row r="416" spans="1:9" x14ac:dyDescent="0.2">
      <c r="A416" s="405"/>
      <c r="H416" s="19"/>
      <c r="I416" s="19"/>
    </row>
    <row r="417" spans="1:9" x14ac:dyDescent="0.2">
      <c r="A417" s="405"/>
      <c r="H417" s="19"/>
      <c r="I417" s="19"/>
    </row>
    <row r="418" spans="1:9" x14ac:dyDescent="0.2">
      <c r="A418" s="405"/>
    </row>
    <row r="419" spans="1:9" x14ac:dyDescent="0.2">
      <c r="A419" s="405"/>
    </row>
    <row r="420" spans="1:9" x14ac:dyDescent="0.2">
      <c r="A420" s="405"/>
      <c r="I420" s="19"/>
    </row>
    <row r="421" spans="1:9" x14ac:dyDescent="0.2">
      <c r="A421" s="405"/>
      <c r="I421" s="19"/>
    </row>
    <row r="422" spans="1:9" x14ac:dyDescent="0.2">
      <c r="A422" s="405"/>
      <c r="H422" s="19"/>
      <c r="I422" s="19"/>
    </row>
    <row r="423" spans="1:9" x14ac:dyDescent="0.2">
      <c r="A423" s="405"/>
      <c r="H423" s="19"/>
      <c r="I423" s="19"/>
    </row>
    <row r="424" spans="1:9" x14ac:dyDescent="0.2">
      <c r="A424" s="405"/>
      <c r="H424" s="19"/>
      <c r="I424" s="19"/>
    </row>
    <row r="425" spans="1:9" x14ac:dyDescent="0.2">
      <c r="A425" s="405"/>
      <c r="H425" s="19"/>
      <c r="I425" s="19"/>
    </row>
    <row r="426" spans="1:9" x14ac:dyDescent="0.2">
      <c r="A426" s="405"/>
    </row>
    <row r="427" spans="1:9" x14ac:dyDescent="0.2">
      <c r="A427" s="405"/>
    </row>
    <row r="428" spans="1:9" x14ac:dyDescent="0.2">
      <c r="A428" s="405"/>
      <c r="I428" s="19"/>
    </row>
    <row r="429" spans="1:9" x14ac:dyDescent="0.2">
      <c r="A429" s="405"/>
      <c r="I429" s="19"/>
    </row>
    <row r="430" spans="1:9" x14ac:dyDescent="0.2">
      <c r="A430" s="405"/>
      <c r="H430" s="19"/>
      <c r="I430" s="19"/>
    </row>
    <row r="431" spans="1:9" x14ac:dyDescent="0.2">
      <c r="A431" s="405"/>
    </row>
    <row r="432" spans="1:9" x14ac:dyDescent="0.2">
      <c r="A432" s="405"/>
    </row>
    <row r="433" spans="1:9" x14ac:dyDescent="0.2">
      <c r="A433" s="405"/>
    </row>
    <row r="434" spans="1:9" x14ac:dyDescent="0.2">
      <c r="A434" s="405"/>
    </row>
    <row r="435" spans="1:9" x14ac:dyDescent="0.2">
      <c r="A435" s="405"/>
    </row>
    <row r="436" spans="1:9" x14ac:dyDescent="0.2">
      <c r="A436" s="405"/>
      <c r="H436" s="19"/>
    </row>
    <row r="437" spans="1:9" x14ac:dyDescent="0.2">
      <c r="A437" s="405"/>
    </row>
    <row r="438" spans="1:9" x14ac:dyDescent="0.2">
      <c r="A438" s="405"/>
      <c r="H438" s="19"/>
      <c r="I438" s="19"/>
    </row>
    <row r="439" spans="1:9" x14ac:dyDescent="0.2">
      <c r="A439" s="405"/>
      <c r="I439" s="19"/>
    </row>
    <row r="440" spans="1:9" x14ac:dyDescent="0.2">
      <c r="A440" s="405"/>
    </row>
    <row r="441" spans="1:9" x14ac:dyDescent="0.2">
      <c r="A441" s="405"/>
      <c r="H441" s="19"/>
      <c r="I441" s="19"/>
    </row>
    <row r="442" spans="1:9" x14ac:dyDescent="0.2">
      <c r="A442" s="405"/>
    </row>
    <row r="443" spans="1:9" x14ac:dyDescent="0.2">
      <c r="A443" s="405"/>
    </row>
    <row r="444" spans="1:9" x14ac:dyDescent="0.2">
      <c r="A444" s="405"/>
      <c r="H444" s="19"/>
    </row>
    <row r="445" spans="1:9" x14ac:dyDescent="0.2">
      <c r="A445" s="405"/>
      <c r="I445" s="19"/>
    </row>
    <row r="446" spans="1:9" x14ac:dyDescent="0.2">
      <c r="A446" s="405"/>
      <c r="I446" s="19"/>
    </row>
    <row r="447" spans="1:9" x14ac:dyDescent="0.2">
      <c r="A447" s="405"/>
      <c r="H447" s="19"/>
      <c r="I447" s="19"/>
    </row>
    <row r="448" spans="1:9" x14ac:dyDescent="0.2">
      <c r="A448" s="405"/>
    </row>
    <row r="449" spans="1:9" x14ac:dyDescent="0.2">
      <c r="A449" s="405"/>
      <c r="H449" s="19"/>
      <c r="I449" s="19"/>
    </row>
    <row r="450" spans="1:9" x14ac:dyDescent="0.2">
      <c r="A450" s="405"/>
      <c r="I450" s="19"/>
    </row>
    <row r="451" spans="1:9" x14ac:dyDescent="0.2">
      <c r="A451" s="405"/>
      <c r="I451" s="19"/>
    </row>
    <row r="452" spans="1:9" x14ac:dyDescent="0.2">
      <c r="A452" s="405"/>
    </row>
    <row r="453" spans="1:9" x14ac:dyDescent="0.2">
      <c r="A453" s="405"/>
      <c r="I453" s="19"/>
    </row>
    <row r="454" spans="1:9" x14ac:dyDescent="0.2">
      <c r="A454" s="405"/>
      <c r="I454" s="19"/>
    </row>
    <row r="455" spans="1:9" x14ac:dyDescent="0.2">
      <c r="A455" s="405"/>
      <c r="H455" s="19"/>
      <c r="I455" s="19"/>
    </row>
    <row r="456" spans="1:9" x14ac:dyDescent="0.2">
      <c r="A456" s="405"/>
      <c r="H456" s="19"/>
      <c r="I456" s="19"/>
    </row>
    <row r="457" spans="1:9" x14ac:dyDescent="0.2">
      <c r="A457" s="405"/>
      <c r="I457" s="19"/>
    </row>
    <row r="458" spans="1:9" x14ac:dyDescent="0.2">
      <c r="A458" s="405"/>
      <c r="I458" s="19"/>
    </row>
    <row r="459" spans="1:9" x14ac:dyDescent="0.2">
      <c r="A459" s="405"/>
      <c r="I459" s="19"/>
    </row>
    <row r="460" spans="1:9" x14ac:dyDescent="0.2">
      <c r="A460" s="405"/>
    </row>
    <row r="461" spans="1:9" x14ac:dyDescent="0.2">
      <c r="A461" s="405"/>
      <c r="I461" s="19"/>
    </row>
    <row r="462" spans="1:9" x14ac:dyDescent="0.2">
      <c r="A462" s="405"/>
      <c r="I462" s="19"/>
    </row>
    <row r="463" spans="1:9" x14ac:dyDescent="0.2">
      <c r="A463" s="405"/>
      <c r="I463" s="19"/>
    </row>
    <row r="464" spans="1:9" x14ac:dyDescent="0.2">
      <c r="A464" s="405"/>
      <c r="H464" s="19"/>
      <c r="I464" s="19"/>
    </row>
    <row r="465" spans="1:1" x14ac:dyDescent="0.2">
      <c r="A465" s="405"/>
    </row>
    <row r="466" spans="1:1" x14ac:dyDescent="0.2">
      <c r="A466" s="405"/>
    </row>
    <row r="467" spans="1:1" x14ac:dyDescent="0.2">
      <c r="A467" s="405"/>
    </row>
    <row r="468" spans="1:1" x14ac:dyDescent="0.2">
      <c r="A468" s="405"/>
    </row>
    <row r="469" spans="1:1" x14ac:dyDescent="0.2">
      <c r="A469" s="405"/>
    </row>
    <row r="470" spans="1:1" x14ac:dyDescent="0.2">
      <c r="A470" s="405"/>
    </row>
    <row r="471" spans="1:1" x14ac:dyDescent="0.2">
      <c r="A471" s="405"/>
    </row>
    <row r="472" spans="1:1" x14ac:dyDescent="0.2">
      <c r="A472" s="405"/>
    </row>
    <row r="473" spans="1:1" x14ac:dyDescent="0.2">
      <c r="A473" s="405"/>
    </row>
    <row r="474" spans="1:1" x14ac:dyDescent="0.2">
      <c r="A474" s="405"/>
    </row>
    <row r="475" spans="1:1" x14ac:dyDescent="0.2">
      <c r="A475" s="405"/>
    </row>
    <row r="476" spans="1:1" x14ac:dyDescent="0.2">
      <c r="A476" s="405"/>
    </row>
    <row r="477" spans="1:1" x14ac:dyDescent="0.2">
      <c r="A477" s="405"/>
    </row>
    <row r="478" spans="1:1" x14ac:dyDescent="0.2">
      <c r="A478" s="405"/>
    </row>
    <row r="479" spans="1:1" x14ac:dyDescent="0.2">
      <c r="A479" s="405"/>
    </row>
    <row r="480" spans="1:1" x14ac:dyDescent="0.2">
      <c r="A480" s="405"/>
    </row>
    <row r="481" spans="1:8" x14ac:dyDescent="0.2">
      <c r="A481" s="405"/>
    </row>
    <row r="482" spans="1:8" x14ac:dyDescent="0.2">
      <c r="A482" s="405"/>
      <c r="H482" s="19"/>
    </row>
    <row r="483" spans="1:8" x14ac:dyDescent="0.2">
      <c r="A483" s="405"/>
    </row>
    <row r="484" spans="1:8" x14ac:dyDescent="0.2">
      <c r="A484" s="405"/>
      <c r="H484" s="19"/>
    </row>
    <row r="485" spans="1:8" x14ac:dyDescent="0.2">
      <c r="A485" s="405"/>
    </row>
    <row r="486" spans="1:8" x14ac:dyDescent="0.2">
      <c r="A486" s="405"/>
    </row>
    <row r="487" spans="1:8" x14ac:dyDescent="0.2">
      <c r="A487" s="405"/>
    </row>
    <row r="488" spans="1:8" x14ac:dyDescent="0.2">
      <c r="A488" s="405"/>
    </row>
    <row r="489" spans="1:8" x14ac:dyDescent="0.2">
      <c r="A489" s="405"/>
    </row>
    <row r="490" spans="1:8" x14ac:dyDescent="0.2">
      <c r="A490" s="405"/>
      <c r="H490" s="19"/>
    </row>
    <row r="491" spans="1:8" x14ac:dyDescent="0.2">
      <c r="A491" s="405"/>
    </row>
    <row r="492" spans="1:8" x14ac:dyDescent="0.2">
      <c r="A492" s="405"/>
      <c r="H492" s="19"/>
    </row>
    <row r="493" spans="1:8" x14ac:dyDescent="0.2">
      <c r="A493" s="405"/>
    </row>
    <row r="494" spans="1:8" x14ac:dyDescent="0.2">
      <c r="A494" s="405"/>
    </row>
    <row r="495" spans="1:8" x14ac:dyDescent="0.2">
      <c r="A495" s="405"/>
    </row>
    <row r="496" spans="1:8" x14ac:dyDescent="0.2">
      <c r="A496" s="405"/>
    </row>
    <row r="497" spans="1:8" x14ac:dyDescent="0.2">
      <c r="A497" s="405"/>
    </row>
    <row r="498" spans="1:8" x14ac:dyDescent="0.2">
      <c r="A498" s="405"/>
    </row>
    <row r="499" spans="1:8" x14ac:dyDescent="0.2">
      <c r="A499" s="405"/>
      <c r="H499" s="19"/>
    </row>
    <row r="500" spans="1:8" x14ac:dyDescent="0.2">
      <c r="A500" s="405"/>
    </row>
    <row r="501" spans="1:8" x14ac:dyDescent="0.2">
      <c r="A501" s="405"/>
    </row>
    <row r="502" spans="1:8" x14ac:dyDescent="0.2">
      <c r="A502" s="405"/>
    </row>
    <row r="503" spans="1:8" x14ac:dyDescent="0.2">
      <c r="A503" s="405"/>
    </row>
    <row r="504" spans="1:8" x14ac:dyDescent="0.2">
      <c r="A504" s="405"/>
    </row>
    <row r="505" spans="1:8" x14ac:dyDescent="0.2">
      <c r="A505" s="405"/>
    </row>
    <row r="506" spans="1:8" x14ac:dyDescent="0.2">
      <c r="A506" s="405"/>
    </row>
    <row r="507" spans="1:8" x14ac:dyDescent="0.2">
      <c r="A507" s="405"/>
      <c r="H507" s="19"/>
    </row>
    <row r="508" spans="1:8" x14ac:dyDescent="0.2">
      <c r="A508" s="405"/>
    </row>
    <row r="509" spans="1:8" x14ac:dyDescent="0.2">
      <c r="A509" s="405"/>
    </row>
    <row r="510" spans="1:8" x14ac:dyDescent="0.2">
      <c r="A510" s="405"/>
    </row>
    <row r="511" spans="1:8" x14ac:dyDescent="0.2">
      <c r="A511" s="405"/>
    </row>
    <row r="512" spans="1:8" x14ac:dyDescent="0.2">
      <c r="A512" s="405"/>
    </row>
    <row r="513" spans="1:9" x14ac:dyDescent="0.2">
      <c r="A513" s="405"/>
    </row>
    <row r="514" spans="1:9" x14ac:dyDescent="0.2">
      <c r="A514" s="405"/>
    </row>
    <row r="515" spans="1:9" x14ac:dyDescent="0.2">
      <c r="A515" s="405"/>
    </row>
    <row r="516" spans="1:9" x14ac:dyDescent="0.2">
      <c r="A516" s="405"/>
    </row>
    <row r="517" spans="1:9" x14ac:dyDescent="0.2">
      <c r="A517" s="405"/>
    </row>
    <row r="518" spans="1:9" x14ac:dyDescent="0.2">
      <c r="A518" s="405"/>
      <c r="H518" s="19"/>
      <c r="I518" s="19"/>
    </row>
    <row r="519" spans="1:9" x14ac:dyDescent="0.2">
      <c r="A519" s="405"/>
      <c r="H519" s="19"/>
      <c r="I519" s="19"/>
    </row>
    <row r="520" spans="1:9" x14ac:dyDescent="0.2">
      <c r="A520" s="405"/>
    </row>
    <row r="521" spans="1:9" x14ac:dyDescent="0.2">
      <c r="A521" s="405"/>
    </row>
    <row r="522" spans="1:9" x14ac:dyDescent="0.2">
      <c r="A522" s="405"/>
    </row>
    <row r="523" spans="1:9" x14ac:dyDescent="0.2">
      <c r="A523" s="405"/>
    </row>
    <row r="524" spans="1:9" x14ac:dyDescent="0.2">
      <c r="A524" s="405"/>
    </row>
    <row r="525" spans="1:9" x14ac:dyDescent="0.2">
      <c r="A525" s="405"/>
    </row>
    <row r="526" spans="1:9" x14ac:dyDescent="0.2">
      <c r="A526" s="405"/>
      <c r="H526" s="19"/>
      <c r="I526" s="19"/>
    </row>
    <row r="527" spans="1:9" x14ac:dyDescent="0.2">
      <c r="A527" s="405"/>
      <c r="H527" s="19"/>
      <c r="I527" s="19"/>
    </row>
    <row r="528" spans="1:9" x14ac:dyDescent="0.2">
      <c r="A528" s="405"/>
    </row>
    <row r="529" spans="1:9" x14ac:dyDescent="0.2">
      <c r="A529" s="405"/>
    </row>
    <row r="530" spans="1:9" x14ac:dyDescent="0.2">
      <c r="A530" s="405"/>
    </row>
    <row r="531" spans="1:9" x14ac:dyDescent="0.2">
      <c r="A531" s="405"/>
    </row>
    <row r="532" spans="1:9" x14ac:dyDescent="0.2">
      <c r="A532" s="405"/>
    </row>
    <row r="533" spans="1:9" x14ac:dyDescent="0.2">
      <c r="A533" s="405"/>
      <c r="H533" s="19"/>
      <c r="I533" s="19"/>
    </row>
    <row r="534" spans="1:9" x14ac:dyDescent="0.2">
      <c r="A534" s="405"/>
    </row>
    <row r="535" spans="1:9" x14ac:dyDescent="0.2">
      <c r="A535" s="405"/>
      <c r="H535" s="19"/>
    </row>
    <row r="536" spans="1:9" x14ac:dyDescent="0.2">
      <c r="A536" s="405"/>
      <c r="H536" s="19"/>
    </row>
    <row r="537" spans="1:9" x14ac:dyDescent="0.2">
      <c r="A537" s="405"/>
    </row>
    <row r="538" spans="1:9" x14ac:dyDescent="0.2">
      <c r="A538" s="405"/>
    </row>
    <row r="539" spans="1:9" x14ac:dyDescent="0.2">
      <c r="A539" s="405"/>
    </row>
    <row r="540" spans="1:9" x14ac:dyDescent="0.2">
      <c r="A540" s="405"/>
    </row>
    <row r="541" spans="1:9" x14ac:dyDescent="0.2">
      <c r="A541" s="405"/>
      <c r="H541" s="19"/>
      <c r="I541" s="19"/>
    </row>
    <row r="542" spans="1:9" x14ac:dyDescent="0.2">
      <c r="A542" s="405"/>
    </row>
    <row r="543" spans="1:9" x14ac:dyDescent="0.2">
      <c r="A543" s="405"/>
      <c r="H543" s="19"/>
    </row>
    <row r="544" spans="1:9" x14ac:dyDescent="0.2">
      <c r="A544" s="405"/>
      <c r="H544" s="19"/>
    </row>
    <row r="545" spans="1:8" x14ac:dyDescent="0.2">
      <c r="A545" s="405"/>
    </row>
    <row r="546" spans="1:8" x14ac:dyDescent="0.2">
      <c r="A546" s="405"/>
    </row>
    <row r="547" spans="1:8" x14ac:dyDescent="0.2">
      <c r="A547" s="405"/>
    </row>
    <row r="548" spans="1:8" x14ac:dyDescent="0.2">
      <c r="A548" s="405"/>
      <c r="H548" s="19"/>
    </row>
    <row r="549" spans="1:8" x14ac:dyDescent="0.2">
      <c r="A549" s="405"/>
    </row>
    <row r="550" spans="1:8" x14ac:dyDescent="0.2">
      <c r="A550" s="405"/>
    </row>
    <row r="551" spans="1:8" x14ac:dyDescent="0.2">
      <c r="A551" s="405"/>
    </row>
    <row r="552" spans="1:8" x14ac:dyDescent="0.2">
      <c r="A552" s="405"/>
    </row>
    <row r="553" spans="1:8" x14ac:dyDescent="0.2">
      <c r="A553" s="405"/>
    </row>
    <row r="554" spans="1:8" x14ac:dyDescent="0.2">
      <c r="A554" s="405"/>
    </row>
    <row r="555" spans="1:8" x14ac:dyDescent="0.2">
      <c r="A555" s="405"/>
    </row>
    <row r="556" spans="1:8" x14ac:dyDescent="0.2">
      <c r="A556" s="405"/>
      <c r="H556" s="19"/>
    </row>
    <row r="557" spans="1:8" x14ac:dyDescent="0.2">
      <c r="A557" s="405"/>
    </row>
    <row r="558" spans="1:8" x14ac:dyDescent="0.2">
      <c r="A558" s="405"/>
    </row>
    <row r="559" spans="1:8" x14ac:dyDescent="0.2">
      <c r="A559" s="405"/>
    </row>
    <row r="560" spans="1:8" x14ac:dyDescent="0.2">
      <c r="A560" s="405"/>
    </row>
    <row r="561" spans="1:8" x14ac:dyDescent="0.2">
      <c r="A561" s="405"/>
    </row>
    <row r="562" spans="1:8" x14ac:dyDescent="0.2">
      <c r="A562" s="405"/>
    </row>
    <row r="563" spans="1:8" x14ac:dyDescent="0.2">
      <c r="A563" s="405"/>
      <c r="H563" s="19"/>
    </row>
    <row r="564" spans="1:8" x14ac:dyDescent="0.2">
      <c r="A564" s="405"/>
    </row>
    <row r="565" spans="1:8" x14ac:dyDescent="0.2">
      <c r="A565" s="405"/>
    </row>
    <row r="566" spans="1:8" x14ac:dyDescent="0.2">
      <c r="A566" s="405"/>
    </row>
    <row r="567" spans="1:8" x14ac:dyDescent="0.2">
      <c r="A567" s="405"/>
    </row>
    <row r="568" spans="1:8" x14ac:dyDescent="0.2">
      <c r="A568" s="405"/>
    </row>
    <row r="569" spans="1:8" x14ac:dyDescent="0.2">
      <c r="A569" s="405"/>
    </row>
    <row r="570" spans="1:8" x14ac:dyDescent="0.2">
      <c r="A570" s="405"/>
    </row>
    <row r="571" spans="1:8" x14ac:dyDescent="0.2">
      <c r="A571" s="405"/>
      <c r="H571" s="19"/>
    </row>
    <row r="572" spans="1:8" x14ac:dyDescent="0.2">
      <c r="A572" s="405"/>
    </row>
    <row r="573" spans="1:8" x14ac:dyDescent="0.2">
      <c r="A573" s="405"/>
    </row>
    <row r="574" spans="1:8" x14ac:dyDescent="0.2">
      <c r="A574" s="405"/>
    </row>
    <row r="575" spans="1:8" x14ac:dyDescent="0.2">
      <c r="A575" s="405"/>
    </row>
    <row r="576" spans="1:8" x14ac:dyDescent="0.2">
      <c r="A576" s="405"/>
    </row>
    <row r="577" spans="1:8" x14ac:dyDescent="0.2">
      <c r="A577" s="405"/>
    </row>
    <row r="578" spans="1:8" x14ac:dyDescent="0.2">
      <c r="A578" s="405"/>
    </row>
    <row r="579" spans="1:8" x14ac:dyDescent="0.2">
      <c r="A579" s="405"/>
    </row>
    <row r="580" spans="1:8" x14ac:dyDescent="0.2">
      <c r="A580" s="405"/>
    </row>
    <row r="581" spans="1:8" x14ac:dyDescent="0.2">
      <c r="A581" s="405"/>
    </row>
    <row r="582" spans="1:8" x14ac:dyDescent="0.2">
      <c r="A582" s="405"/>
    </row>
    <row r="583" spans="1:8" x14ac:dyDescent="0.2">
      <c r="A583" s="405"/>
    </row>
    <row r="584" spans="1:8" x14ac:dyDescent="0.2">
      <c r="A584" s="405"/>
    </row>
    <row r="585" spans="1:8" x14ac:dyDescent="0.2">
      <c r="A585" s="405"/>
    </row>
    <row r="586" spans="1:8" x14ac:dyDescent="0.2">
      <c r="A586" s="405"/>
    </row>
    <row r="587" spans="1:8" x14ac:dyDescent="0.2">
      <c r="A587" s="405"/>
    </row>
    <row r="588" spans="1:8" x14ac:dyDescent="0.2">
      <c r="A588" s="405"/>
      <c r="H588" s="19"/>
    </row>
    <row r="589" spans="1:8" x14ac:dyDescent="0.2">
      <c r="A589" s="405"/>
    </row>
    <row r="590" spans="1:8" x14ac:dyDescent="0.2">
      <c r="A590" s="405"/>
    </row>
    <row r="591" spans="1:8" x14ac:dyDescent="0.2">
      <c r="A591" s="405"/>
    </row>
    <row r="592" spans="1:8" x14ac:dyDescent="0.2">
      <c r="A592" s="405"/>
    </row>
    <row r="593" spans="1:8" x14ac:dyDescent="0.2">
      <c r="A593" s="405"/>
    </row>
    <row r="594" spans="1:8" x14ac:dyDescent="0.2">
      <c r="A594" s="405"/>
    </row>
    <row r="595" spans="1:8" x14ac:dyDescent="0.2">
      <c r="A595" s="405"/>
    </row>
    <row r="596" spans="1:8" x14ac:dyDescent="0.2">
      <c r="A596" s="405"/>
      <c r="H596" s="19"/>
    </row>
    <row r="597" spans="1:8" x14ac:dyDescent="0.2">
      <c r="A597" s="405"/>
    </row>
    <row r="598" spans="1:8" x14ac:dyDescent="0.2">
      <c r="A598" s="405"/>
    </row>
    <row r="599" spans="1:8" x14ac:dyDescent="0.2">
      <c r="A599" s="405"/>
    </row>
    <row r="600" spans="1:8" x14ac:dyDescent="0.2">
      <c r="A600" s="405"/>
    </row>
    <row r="601" spans="1:8" x14ac:dyDescent="0.2">
      <c r="A601" s="405"/>
    </row>
    <row r="602" spans="1:8" x14ac:dyDescent="0.2">
      <c r="A602" s="405"/>
    </row>
    <row r="603" spans="1:8" x14ac:dyDescent="0.2">
      <c r="A603" s="405"/>
    </row>
    <row r="604" spans="1:8" x14ac:dyDescent="0.2">
      <c r="A604" s="405"/>
    </row>
    <row r="605" spans="1:8" x14ac:dyDescent="0.2">
      <c r="A605" s="405"/>
    </row>
    <row r="606" spans="1:8" x14ac:dyDescent="0.2">
      <c r="A606" s="405"/>
    </row>
    <row r="607" spans="1:8" x14ac:dyDescent="0.2">
      <c r="A607" s="405"/>
    </row>
    <row r="608" spans="1:8" x14ac:dyDescent="0.2">
      <c r="A608" s="405"/>
    </row>
    <row r="609" spans="1:1" x14ac:dyDescent="0.2">
      <c r="A609" s="405"/>
    </row>
    <row r="610" spans="1:1" x14ac:dyDescent="0.2">
      <c r="A610" s="405"/>
    </row>
    <row r="611" spans="1:1" x14ac:dyDescent="0.2">
      <c r="A611" s="405"/>
    </row>
    <row r="612" spans="1:1" x14ac:dyDescent="0.2">
      <c r="A612" s="405"/>
    </row>
    <row r="613" spans="1:1" x14ac:dyDescent="0.2">
      <c r="A613" s="405"/>
    </row>
    <row r="614" spans="1:1" x14ac:dyDescent="0.2">
      <c r="A614" s="405"/>
    </row>
    <row r="615" spans="1:1" x14ac:dyDescent="0.2">
      <c r="A615" s="405"/>
    </row>
    <row r="616" spans="1:1" x14ac:dyDescent="0.2">
      <c r="A616" s="405"/>
    </row>
    <row r="617" spans="1:1" x14ac:dyDescent="0.2">
      <c r="A617" s="405"/>
    </row>
    <row r="618" spans="1:1" x14ac:dyDescent="0.2">
      <c r="A618" s="405"/>
    </row>
    <row r="619" spans="1:1" x14ac:dyDescent="0.2">
      <c r="A619" s="405"/>
    </row>
    <row r="620" spans="1:1" x14ac:dyDescent="0.2">
      <c r="A620" s="405"/>
    </row>
    <row r="621" spans="1:1" x14ac:dyDescent="0.2">
      <c r="A621" s="405"/>
    </row>
    <row r="622" spans="1:1" x14ac:dyDescent="0.2">
      <c r="A622" s="405"/>
    </row>
    <row r="623" spans="1:1" x14ac:dyDescent="0.2">
      <c r="A623" s="405"/>
    </row>
    <row r="624" spans="1:1" x14ac:dyDescent="0.2">
      <c r="A624" s="405"/>
    </row>
    <row r="625" spans="1:8" x14ac:dyDescent="0.2">
      <c r="A625" s="405"/>
    </row>
    <row r="626" spans="1:8" x14ac:dyDescent="0.2">
      <c r="A626" s="405"/>
    </row>
    <row r="627" spans="1:8" x14ac:dyDescent="0.2">
      <c r="A627" s="405"/>
    </row>
    <row r="628" spans="1:8" x14ac:dyDescent="0.2">
      <c r="A628" s="405"/>
    </row>
    <row r="629" spans="1:8" x14ac:dyDescent="0.2">
      <c r="A629" s="405"/>
    </row>
    <row r="630" spans="1:8" x14ac:dyDescent="0.2">
      <c r="A630" s="405"/>
    </row>
    <row r="631" spans="1:8" x14ac:dyDescent="0.2">
      <c r="A631" s="405"/>
    </row>
    <row r="632" spans="1:8" x14ac:dyDescent="0.2">
      <c r="A632" s="405"/>
    </row>
    <row r="633" spans="1:8" x14ac:dyDescent="0.2">
      <c r="A633" s="405"/>
    </row>
    <row r="634" spans="1:8" x14ac:dyDescent="0.2">
      <c r="A634" s="405"/>
      <c r="H634" s="19"/>
    </row>
    <row r="635" spans="1:8" x14ac:dyDescent="0.2">
      <c r="A635" s="405"/>
    </row>
    <row r="636" spans="1:8" x14ac:dyDescent="0.2">
      <c r="A636" s="405"/>
    </row>
    <row r="637" spans="1:8" x14ac:dyDescent="0.2">
      <c r="A637" s="405"/>
    </row>
    <row r="638" spans="1:8" x14ac:dyDescent="0.2">
      <c r="A638" s="405"/>
    </row>
    <row r="639" spans="1:8" x14ac:dyDescent="0.2">
      <c r="A639" s="405"/>
    </row>
    <row r="640" spans="1:8" x14ac:dyDescent="0.2">
      <c r="A640" s="405"/>
    </row>
    <row r="641" spans="1:8" x14ac:dyDescent="0.2">
      <c r="A641" s="405"/>
    </row>
    <row r="642" spans="1:8" x14ac:dyDescent="0.2">
      <c r="A642" s="405"/>
      <c r="H642" s="19"/>
    </row>
    <row r="643" spans="1:8" x14ac:dyDescent="0.2">
      <c r="A643" s="405"/>
    </row>
    <row r="644" spans="1:8" x14ac:dyDescent="0.2">
      <c r="A644" s="405"/>
    </row>
    <row r="645" spans="1:8" x14ac:dyDescent="0.2">
      <c r="A645" s="405"/>
    </row>
    <row r="646" spans="1:8" x14ac:dyDescent="0.2">
      <c r="A646" s="405"/>
    </row>
    <row r="647" spans="1:8" x14ac:dyDescent="0.2">
      <c r="A647" s="405"/>
    </row>
    <row r="648" spans="1:8" x14ac:dyDescent="0.2">
      <c r="A648" s="405"/>
    </row>
    <row r="649" spans="1:8" x14ac:dyDescent="0.2">
      <c r="A649" s="405"/>
    </row>
    <row r="650" spans="1:8" x14ac:dyDescent="0.2">
      <c r="A650" s="405"/>
    </row>
    <row r="651" spans="1:8" x14ac:dyDescent="0.2">
      <c r="A651" s="405"/>
    </row>
    <row r="652" spans="1:8" x14ac:dyDescent="0.2">
      <c r="A652" s="405"/>
    </row>
    <row r="653" spans="1:8" x14ac:dyDescent="0.2">
      <c r="A653" s="405"/>
    </row>
    <row r="654" spans="1:8" x14ac:dyDescent="0.2">
      <c r="A654" s="405"/>
    </row>
    <row r="655" spans="1:8" x14ac:dyDescent="0.2">
      <c r="A655" s="405"/>
    </row>
    <row r="656" spans="1:8" x14ac:dyDescent="0.2">
      <c r="A656" s="405"/>
    </row>
    <row r="657" spans="1:8" x14ac:dyDescent="0.2">
      <c r="A657" s="405"/>
    </row>
    <row r="658" spans="1:8" x14ac:dyDescent="0.2">
      <c r="A658" s="405"/>
    </row>
    <row r="659" spans="1:8" x14ac:dyDescent="0.2">
      <c r="A659" s="405"/>
    </row>
    <row r="660" spans="1:8" x14ac:dyDescent="0.2">
      <c r="A660" s="405"/>
    </row>
    <row r="661" spans="1:8" x14ac:dyDescent="0.2">
      <c r="A661" s="405"/>
    </row>
    <row r="662" spans="1:8" x14ac:dyDescent="0.2">
      <c r="A662" s="405"/>
    </row>
    <row r="663" spans="1:8" x14ac:dyDescent="0.2">
      <c r="A663" s="405"/>
    </row>
    <row r="664" spans="1:8" x14ac:dyDescent="0.2">
      <c r="A664" s="405"/>
    </row>
    <row r="665" spans="1:8" x14ac:dyDescent="0.2">
      <c r="A665" s="405"/>
    </row>
    <row r="666" spans="1:8" x14ac:dyDescent="0.2">
      <c r="A666" s="405"/>
    </row>
    <row r="667" spans="1:8" x14ac:dyDescent="0.2">
      <c r="A667" s="405"/>
    </row>
    <row r="668" spans="1:8" x14ac:dyDescent="0.2">
      <c r="A668" s="405"/>
    </row>
    <row r="669" spans="1:8" x14ac:dyDescent="0.2">
      <c r="A669" s="405"/>
    </row>
    <row r="670" spans="1:8" x14ac:dyDescent="0.2">
      <c r="A670" s="405"/>
      <c r="H670" s="19"/>
    </row>
    <row r="671" spans="1:8" x14ac:dyDescent="0.2">
      <c r="A671" s="405"/>
      <c r="H671" s="19"/>
    </row>
    <row r="672" spans="1:8" x14ac:dyDescent="0.2">
      <c r="A672" s="405"/>
    </row>
    <row r="673" spans="1:8" x14ac:dyDescent="0.2">
      <c r="A673" s="405"/>
    </row>
    <row r="674" spans="1:8" x14ac:dyDescent="0.2">
      <c r="A674" s="405"/>
    </row>
    <row r="675" spans="1:8" x14ac:dyDescent="0.2">
      <c r="A675" s="405"/>
    </row>
    <row r="676" spans="1:8" x14ac:dyDescent="0.2">
      <c r="A676" s="405"/>
    </row>
    <row r="677" spans="1:8" x14ac:dyDescent="0.2">
      <c r="A677" s="405"/>
    </row>
    <row r="678" spans="1:8" x14ac:dyDescent="0.2">
      <c r="A678" s="405"/>
      <c r="H678" s="19"/>
    </row>
    <row r="679" spans="1:8" x14ac:dyDescent="0.2">
      <c r="A679" s="405"/>
      <c r="H679" s="19"/>
    </row>
    <row r="680" spans="1:8" x14ac:dyDescent="0.2">
      <c r="A680" s="405"/>
      <c r="H680" s="19"/>
    </row>
    <row r="681" spans="1:8" x14ac:dyDescent="0.2">
      <c r="A681" s="405"/>
    </row>
    <row r="682" spans="1:8" x14ac:dyDescent="0.2">
      <c r="A682" s="405"/>
    </row>
    <row r="683" spans="1:8" x14ac:dyDescent="0.2">
      <c r="A683" s="405"/>
      <c r="H683" s="19"/>
    </row>
    <row r="684" spans="1:8" x14ac:dyDescent="0.2">
      <c r="A684" s="405"/>
      <c r="H684" s="19"/>
    </row>
    <row r="685" spans="1:8" x14ac:dyDescent="0.2">
      <c r="A685" s="405"/>
      <c r="H685" s="19"/>
    </row>
    <row r="686" spans="1:8" x14ac:dyDescent="0.2">
      <c r="A686" s="405"/>
    </row>
    <row r="687" spans="1:8" x14ac:dyDescent="0.2">
      <c r="A687" s="405"/>
      <c r="H687" s="19"/>
    </row>
    <row r="688" spans="1:8" x14ac:dyDescent="0.2">
      <c r="A688" s="405"/>
      <c r="H688" s="19"/>
    </row>
    <row r="689" spans="1:8" x14ac:dyDescent="0.2">
      <c r="A689" s="405"/>
    </row>
    <row r="690" spans="1:8" x14ac:dyDescent="0.2">
      <c r="A690" s="405"/>
    </row>
    <row r="691" spans="1:8" x14ac:dyDescent="0.2">
      <c r="A691" s="405"/>
      <c r="H691" s="19"/>
    </row>
    <row r="692" spans="1:8" x14ac:dyDescent="0.2">
      <c r="A692" s="405"/>
      <c r="H692" s="19"/>
    </row>
    <row r="693" spans="1:8" x14ac:dyDescent="0.2">
      <c r="A693" s="405"/>
      <c r="H693" s="19"/>
    </row>
    <row r="694" spans="1:8" x14ac:dyDescent="0.2">
      <c r="A694" s="405"/>
    </row>
    <row r="695" spans="1:8" x14ac:dyDescent="0.2">
      <c r="A695" s="405"/>
      <c r="H695" s="19"/>
    </row>
    <row r="696" spans="1:8" x14ac:dyDescent="0.2">
      <c r="A696" s="405"/>
      <c r="H696" s="19"/>
    </row>
    <row r="697" spans="1:8" x14ac:dyDescent="0.2">
      <c r="A697" s="405"/>
    </row>
    <row r="698" spans="1:8" x14ac:dyDescent="0.2">
      <c r="A698" s="405"/>
    </row>
    <row r="699" spans="1:8" x14ac:dyDescent="0.2">
      <c r="A699" s="405"/>
    </row>
    <row r="700" spans="1:8" x14ac:dyDescent="0.2">
      <c r="A700" s="405"/>
    </row>
    <row r="701" spans="1:8" x14ac:dyDescent="0.2">
      <c r="A701" s="405"/>
      <c r="H701" s="19"/>
    </row>
    <row r="702" spans="1:8" x14ac:dyDescent="0.2">
      <c r="A702" s="405"/>
    </row>
    <row r="703" spans="1:8" x14ac:dyDescent="0.2">
      <c r="A703" s="405"/>
    </row>
    <row r="704" spans="1:8" x14ac:dyDescent="0.2">
      <c r="A704" s="405"/>
      <c r="H704" s="19"/>
    </row>
    <row r="705" spans="1:8" x14ac:dyDescent="0.2">
      <c r="A705" s="405"/>
    </row>
    <row r="706" spans="1:8" x14ac:dyDescent="0.2">
      <c r="A706" s="405"/>
    </row>
    <row r="707" spans="1:8" x14ac:dyDescent="0.2">
      <c r="A707" s="405"/>
    </row>
    <row r="708" spans="1:8" x14ac:dyDescent="0.2">
      <c r="A708" s="405"/>
    </row>
    <row r="709" spans="1:8" x14ac:dyDescent="0.2">
      <c r="A709" s="405"/>
    </row>
    <row r="710" spans="1:8" x14ac:dyDescent="0.2">
      <c r="A710" s="405"/>
    </row>
    <row r="711" spans="1:8" x14ac:dyDescent="0.2">
      <c r="A711" s="405"/>
    </row>
    <row r="712" spans="1:8" x14ac:dyDescent="0.2">
      <c r="A712" s="405"/>
      <c r="H712" s="19"/>
    </row>
    <row r="713" spans="1:8" x14ac:dyDescent="0.2">
      <c r="A713" s="405"/>
    </row>
    <row r="714" spans="1:8" x14ac:dyDescent="0.2">
      <c r="A714" s="405"/>
    </row>
    <row r="715" spans="1:8" x14ac:dyDescent="0.2">
      <c r="A715" s="405"/>
    </row>
    <row r="716" spans="1:8" x14ac:dyDescent="0.2">
      <c r="A716" s="405"/>
    </row>
    <row r="717" spans="1:8" x14ac:dyDescent="0.2">
      <c r="A717" s="405"/>
    </row>
    <row r="718" spans="1:8" x14ac:dyDescent="0.2">
      <c r="A718" s="405"/>
    </row>
    <row r="719" spans="1:8" x14ac:dyDescent="0.2">
      <c r="A719" s="405"/>
    </row>
    <row r="720" spans="1:8" x14ac:dyDescent="0.2">
      <c r="A720" s="405"/>
    </row>
    <row r="721" spans="1:8" x14ac:dyDescent="0.2">
      <c r="A721" s="405"/>
    </row>
    <row r="722" spans="1:8" x14ac:dyDescent="0.2">
      <c r="A722" s="405"/>
    </row>
    <row r="723" spans="1:8" x14ac:dyDescent="0.2">
      <c r="A723" s="405"/>
    </row>
    <row r="724" spans="1:8" x14ac:dyDescent="0.2">
      <c r="A724" s="405"/>
    </row>
    <row r="725" spans="1:8" x14ac:dyDescent="0.2">
      <c r="A725" s="405"/>
      <c r="H725" s="19"/>
    </row>
    <row r="726" spans="1:8" x14ac:dyDescent="0.2">
      <c r="A726" s="405"/>
      <c r="H726" s="19"/>
    </row>
    <row r="727" spans="1:8" x14ac:dyDescent="0.2">
      <c r="A727" s="405"/>
      <c r="H727" s="19"/>
    </row>
    <row r="728" spans="1:8" x14ac:dyDescent="0.2">
      <c r="A728" s="405"/>
    </row>
    <row r="729" spans="1:8" x14ac:dyDescent="0.2">
      <c r="A729" s="405"/>
    </row>
    <row r="730" spans="1:8" x14ac:dyDescent="0.2">
      <c r="A730" s="405"/>
    </row>
    <row r="731" spans="1:8" x14ac:dyDescent="0.2">
      <c r="A731" s="405"/>
    </row>
    <row r="732" spans="1:8" x14ac:dyDescent="0.2">
      <c r="A732" s="405"/>
    </row>
    <row r="733" spans="1:8" x14ac:dyDescent="0.2">
      <c r="A733" s="405"/>
      <c r="H733" s="19"/>
    </row>
    <row r="734" spans="1:8" x14ac:dyDescent="0.2">
      <c r="A734" s="405"/>
      <c r="H734" s="19"/>
    </row>
    <row r="735" spans="1:8" x14ac:dyDescent="0.2">
      <c r="A735" s="405"/>
      <c r="H735" s="19"/>
    </row>
    <row r="736" spans="1:8" x14ac:dyDescent="0.2">
      <c r="A736" s="405"/>
    </row>
    <row r="737" spans="1:9" x14ac:dyDescent="0.2">
      <c r="A737" s="405"/>
      <c r="H737" s="19"/>
    </row>
    <row r="738" spans="1:9" x14ac:dyDescent="0.2">
      <c r="A738" s="405"/>
      <c r="H738" s="19"/>
    </row>
    <row r="739" spans="1:9" x14ac:dyDescent="0.2">
      <c r="A739" s="405"/>
    </row>
    <row r="740" spans="1:9" x14ac:dyDescent="0.2">
      <c r="A740" s="405"/>
    </row>
    <row r="741" spans="1:9" x14ac:dyDescent="0.2">
      <c r="A741" s="405"/>
    </row>
    <row r="742" spans="1:9" x14ac:dyDescent="0.2">
      <c r="A742" s="405"/>
    </row>
    <row r="743" spans="1:9" x14ac:dyDescent="0.2">
      <c r="A743" s="405"/>
    </row>
    <row r="744" spans="1:9" x14ac:dyDescent="0.2">
      <c r="A744" s="405"/>
    </row>
    <row r="745" spans="1:9" x14ac:dyDescent="0.2">
      <c r="A745" s="405"/>
      <c r="H745" s="19"/>
    </row>
    <row r="746" spans="1:9" x14ac:dyDescent="0.2">
      <c r="A746" s="405"/>
      <c r="H746" s="19"/>
    </row>
    <row r="747" spans="1:9" x14ac:dyDescent="0.2">
      <c r="A747" s="405"/>
      <c r="H747" s="19"/>
    </row>
    <row r="748" spans="1:9" x14ac:dyDescent="0.2">
      <c r="A748" s="405"/>
    </row>
    <row r="749" spans="1:9" x14ac:dyDescent="0.2">
      <c r="A749" s="405"/>
    </row>
    <row r="750" spans="1:9" x14ac:dyDescent="0.2">
      <c r="A750" s="405"/>
      <c r="I750" s="19"/>
    </row>
    <row r="751" spans="1:9" x14ac:dyDescent="0.2">
      <c r="A751" s="405"/>
      <c r="H751" s="19"/>
    </row>
    <row r="752" spans="1:9" x14ac:dyDescent="0.2">
      <c r="A752" s="405"/>
      <c r="H752" s="19"/>
      <c r="I752" s="19"/>
    </row>
    <row r="753" spans="1:9" x14ac:dyDescent="0.2">
      <c r="A753" s="405"/>
      <c r="H753" s="19"/>
    </row>
    <row r="754" spans="1:9" x14ac:dyDescent="0.2">
      <c r="A754" s="405"/>
      <c r="H754" s="19"/>
    </row>
    <row r="755" spans="1:9" x14ac:dyDescent="0.2">
      <c r="A755" s="405"/>
      <c r="H755" s="19"/>
    </row>
    <row r="756" spans="1:9" x14ac:dyDescent="0.2">
      <c r="A756" s="405"/>
    </row>
    <row r="757" spans="1:9" x14ac:dyDescent="0.2">
      <c r="A757" s="405"/>
    </row>
    <row r="758" spans="1:9" x14ac:dyDescent="0.2">
      <c r="A758" s="405"/>
      <c r="I758" s="19"/>
    </row>
    <row r="759" spans="1:9" x14ac:dyDescent="0.2">
      <c r="A759" s="405"/>
      <c r="H759" s="19"/>
    </row>
    <row r="760" spans="1:9" x14ac:dyDescent="0.2">
      <c r="A760" s="405"/>
      <c r="H760" s="19"/>
      <c r="I760" s="19"/>
    </row>
    <row r="761" spans="1:9" x14ac:dyDescent="0.2">
      <c r="A761" s="405"/>
    </row>
    <row r="762" spans="1:9" x14ac:dyDescent="0.2">
      <c r="A762" s="405"/>
    </row>
    <row r="763" spans="1:9" x14ac:dyDescent="0.2">
      <c r="A763" s="405"/>
    </row>
    <row r="764" spans="1:9" x14ac:dyDescent="0.2">
      <c r="A764" s="405"/>
    </row>
    <row r="765" spans="1:9" x14ac:dyDescent="0.2">
      <c r="A765" s="405"/>
    </row>
    <row r="766" spans="1:9" x14ac:dyDescent="0.2">
      <c r="A766" s="405"/>
    </row>
    <row r="767" spans="1:9" x14ac:dyDescent="0.2">
      <c r="A767" s="405"/>
    </row>
    <row r="768" spans="1:9" x14ac:dyDescent="0.2">
      <c r="A768" s="405"/>
    </row>
    <row r="769" spans="1:8" x14ac:dyDescent="0.2">
      <c r="A769" s="405"/>
    </row>
    <row r="770" spans="1:8" x14ac:dyDescent="0.2">
      <c r="A770" s="405"/>
    </row>
    <row r="771" spans="1:8" x14ac:dyDescent="0.2">
      <c r="A771" s="405"/>
    </row>
    <row r="772" spans="1:8" x14ac:dyDescent="0.2">
      <c r="A772" s="405"/>
    </row>
    <row r="773" spans="1:8" x14ac:dyDescent="0.2">
      <c r="A773" s="405"/>
    </row>
    <row r="774" spans="1:8" x14ac:dyDescent="0.2">
      <c r="A774" s="405"/>
    </row>
    <row r="775" spans="1:8" x14ac:dyDescent="0.2">
      <c r="A775" s="405"/>
    </row>
    <row r="776" spans="1:8" x14ac:dyDescent="0.2">
      <c r="A776" s="405"/>
    </row>
    <row r="777" spans="1:8" x14ac:dyDescent="0.2">
      <c r="A777" s="405"/>
    </row>
    <row r="778" spans="1:8" x14ac:dyDescent="0.2">
      <c r="A778" s="405"/>
      <c r="H778" s="19"/>
    </row>
    <row r="779" spans="1:8" x14ac:dyDescent="0.2">
      <c r="A779" s="405"/>
      <c r="H779" s="19"/>
    </row>
    <row r="780" spans="1:8" x14ac:dyDescent="0.2">
      <c r="A780" s="405"/>
    </row>
    <row r="781" spans="1:8" x14ac:dyDescent="0.2">
      <c r="A781" s="405"/>
    </row>
    <row r="782" spans="1:8" x14ac:dyDescent="0.2">
      <c r="A782" s="405"/>
    </row>
    <row r="783" spans="1:8" x14ac:dyDescent="0.2">
      <c r="A783" s="405"/>
    </row>
    <row r="784" spans="1:8" x14ac:dyDescent="0.2">
      <c r="A784" s="405"/>
    </row>
    <row r="785" spans="1:8" x14ac:dyDescent="0.2">
      <c r="A785" s="405"/>
    </row>
    <row r="786" spans="1:8" x14ac:dyDescent="0.2">
      <c r="A786" s="405"/>
      <c r="H786" s="19"/>
    </row>
    <row r="787" spans="1:8" x14ac:dyDescent="0.2">
      <c r="A787" s="405"/>
      <c r="H787" s="19"/>
    </row>
    <row r="788" spans="1:8" x14ac:dyDescent="0.2">
      <c r="A788" s="405"/>
    </row>
    <row r="789" spans="1:8" x14ac:dyDescent="0.2">
      <c r="A789" s="405"/>
    </row>
    <row r="790" spans="1:8" x14ac:dyDescent="0.2">
      <c r="A790" s="405"/>
    </row>
    <row r="791" spans="1:8" x14ac:dyDescent="0.2">
      <c r="A791" s="405"/>
    </row>
    <row r="792" spans="1:8" x14ac:dyDescent="0.2">
      <c r="A792" s="405"/>
    </row>
    <row r="793" spans="1:8" x14ac:dyDescent="0.2">
      <c r="A793" s="405"/>
    </row>
    <row r="794" spans="1:8" x14ac:dyDescent="0.2">
      <c r="A794" s="405"/>
    </row>
    <row r="795" spans="1:8" x14ac:dyDescent="0.2">
      <c r="A795" s="405"/>
    </row>
    <row r="796" spans="1:8" x14ac:dyDescent="0.2">
      <c r="A796" s="405"/>
    </row>
    <row r="797" spans="1:8" x14ac:dyDescent="0.2">
      <c r="A797" s="405"/>
    </row>
    <row r="798" spans="1:8" x14ac:dyDescent="0.2">
      <c r="A798" s="405"/>
    </row>
    <row r="799" spans="1:8" x14ac:dyDescent="0.2">
      <c r="A799" s="405"/>
    </row>
    <row r="800" spans="1:8" x14ac:dyDescent="0.2">
      <c r="A800" s="405"/>
    </row>
    <row r="801" spans="1:9" x14ac:dyDescent="0.2">
      <c r="A801" s="405"/>
      <c r="H801" s="19"/>
      <c r="I801" s="19"/>
    </row>
    <row r="802" spans="1:9" x14ac:dyDescent="0.2">
      <c r="A802" s="405"/>
      <c r="H802" s="19"/>
    </row>
    <row r="803" spans="1:9" x14ac:dyDescent="0.2">
      <c r="A803" s="405"/>
      <c r="I803" s="19"/>
    </row>
    <row r="804" spans="1:9" x14ac:dyDescent="0.2">
      <c r="A804" s="405"/>
      <c r="I804" s="19"/>
    </row>
    <row r="805" spans="1:9" x14ac:dyDescent="0.2">
      <c r="A805" s="405"/>
    </row>
    <row r="806" spans="1:9" x14ac:dyDescent="0.2">
      <c r="A806" s="405"/>
    </row>
    <row r="807" spans="1:9" x14ac:dyDescent="0.2">
      <c r="A807" s="405"/>
      <c r="H807" s="19"/>
    </row>
    <row r="808" spans="1:9" x14ac:dyDescent="0.2">
      <c r="A808" s="405"/>
    </row>
    <row r="809" spans="1:9" x14ac:dyDescent="0.2">
      <c r="A809" s="405"/>
      <c r="H809" s="19"/>
      <c r="I809" s="19"/>
    </row>
    <row r="810" spans="1:9" x14ac:dyDescent="0.2">
      <c r="A810" s="405"/>
      <c r="H810" s="19"/>
    </row>
    <row r="811" spans="1:9" x14ac:dyDescent="0.2">
      <c r="A811" s="405"/>
      <c r="H811" s="19"/>
      <c r="I811" s="19"/>
    </row>
    <row r="812" spans="1:9" x14ac:dyDescent="0.2">
      <c r="A812" s="405"/>
      <c r="I812" s="19"/>
    </row>
    <row r="813" spans="1:9" x14ac:dyDescent="0.2">
      <c r="A813" s="405"/>
    </row>
    <row r="814" spans="1:9" x14ac:dyDescent="0.2">
      <c r="A814" s="405"/>
    </row>
    <row r="815" spans="1:9" x14ac:dyDescent="0.2">
      <c r="A815" s="405"/>
      <c r="H815" s="19"/>
    </row>
    <row r="816" spans="1:9" x14ac:dyDescent="0.2">
      <c r="A816" s="405"/>
    </row>
    <row r="817" spans="1:8" x14ac:dyDescent="0.2">
      <c r="A817" s="405"/>
    </row>
    <row r="818" spans="1:8" x14ac:dyDescent="0.2">
      <c r="A818" s="405"/>
    </row>
    <row r="819" spans="1:8" x14ac:dyDescent="0.2">
      <c r="A819" s="405"/>
      <c r="H819" s="19"/>
    </row>
    <row r="820" spans="1:8" x14ac:dyDescent="0.2">
      <c r="A820" s="405"/>
    </row>
    <row r="821" spans="1:8" x14ac:dyDescent="0.2">
      <c r="A821" s="405"/>
    </row>
    <row r="822" spans="1:8" x14ac:dyDescent="0.2">
      <c r="A822" s="405"/>
    </row>
    <row r="823" spans="1:8" x14ac:dyDescent="0.2">
      <c r="A823" s="405"/>
    </row>
    <row r="824" spans="1:8" x14ac:dyDescent="0.2">
      <c r="A824" s="405"/>
    </row>
    <row r="825" spans="1:8" x14ac:dyDescent="0.2">
      <c r="A825" s="405"/>
    </row>
    <row r="826" spans="1:8" x14ac:dyDescent="0.2">
      <c r="A826" s="405"/>
    </row>
    <row r="827" spans="1:8" x14ac:dyDescent="0.2">
      <c r="A827" s="405"/>
    </row>
    <row r="828" spans="1:8" x14ac:dyDescent="0.2">
      <c r="A828" s="405"/>
    </row>
    <row r="829" spans="1:8" x14ac:dyDescent="0.2">
      <c r="A829" s="405"/>
    </row>
    <row r="830" spans="1:8" x14ac:dyDescent="0.2">
      <c r="A830" s="405"/>
    </row>
    <row r="831" spans="1:8" x14ac:dyDescent="0.2">
      <c r="A831" s="405"/>
    </row>
    <row r="832" spans="1:8" x14ac:dyDescent="0.2">
      <c r="A832" s="405"/>
    </row>
    <row r="833" spans="1:9" x14ac:dyDescent="0.2">
      <c r="A833" s="405"/>
    </row>
    <row r="834" spans="1:9" x14ac:dyDescent="0.2">
      <c r="A834" s="405"/>
    </row>
    <row r="835" spans="1:9" x14ac:dyDescent="0.2">
      <c r="A835" s="405"/>
    </row>
    <row r="836" spans="1:9" x14ac:dyDescent="0.2">
      <c r="A836" s="405"/>
    </row>
    <row r="837" spans="1:9" x14ac:dyDescent="0.2">
      <c r="A837" s="405"/>
    </row>
    <row r="838" spans="1:9" x14ac:dyDescent="0.2">
      <c r="A838" s="405"/>
    </row>
    <row r="839" spans="1:9" x14ac:dyDescent="0.2">
      <c r="A839" s="405"/>
    </row>
    <row r="840" spans="1:9" x14ac:dyDescent="0.2">
      <c r="A840" s="405"/>
    </row>
    <row r="841" spans="1:9" x14ac:dyDescent="0.2">
      <c r="A841" s="405"/>
    </row>
    <row r="842" spans="1:9" x14ac:dyDescent="0.2">
      <c r="A842" s="405"/>
    </row>
    <row r="843" spans="1:9" x14ac:dyDescent="0.2">
      <c r="A843" s="405"/>
    </row>
    <row r="844" spans="1:9" x14ac:dyDescent="0.2">
      <c r="A844" s="405"/>
      <c r="H844" s="19"/>
      <c r="I844" s="19"/>
    </row>
    <row r="845" spans="1:9" x14ac:dyDescent="0.2">
      <c r="A845" s="405"/>
      <c r="H845" s="19"/>
    </row>
    <row r="846" spans="1:9" x14ac:dyDescent="0.2">
      <c r="A846" s="405"/>
    </row>
    <row r="847" spans="1:9" x14ac:dyDescent="0.2">
      <c r="A847" s="405"/>
    </row>
    <row r="848" spans="1:9" x14ac:dyDescent="0.2">
      <c r="A848" s="405"/>
    </row>
    <row r="849" spans="1:9" x14ac:dyDescent="0.2">
      <c r="A849" s="405"/>
    </row>
    <row r="850" spans="1:9" x14ac:dyDescent="0.2">
      <c r="A850" s="405"/>
      <c r="H850" s="19"/>
    </row>
    <row r="851" spans="1:9" x14ac:dyDescent="0.2">
      <c r="A851" s="405"/>
    </row>
    <row r="852" spans="1:9" x14ac:dyDescent="0.2">
      <c r="A852" s="405"/>
      <c r="H852" s="19"/>
      <c r="I852" s="19"/>
    </row>
    <row r="853" spans="1:9" x14ac:dyDescent="0.2">
      <c r="A853" s="405"/>
      <c r="H853" s="19"/>
    </row>
    <row r="854" spans="1:9" x14ac:dyDescent="0.2">
      <c r="A854" s="405"/>
    </row>
    <row r="855" spans="1:9" x14ac:dyDescent="0.2">
      <c r="A855" s="405"/>
    </row>
    <row r="856" spans="1:9" x14ac:dyDescent="0.2">
      <c r="A856" s="405"/>
    </row>
    <row r="857" spans="1:9" x14ac:dyDescent="0.2">
      <c r="A857" s="405"/>
    </row>
    <row r="858" spans="1:9" x14ac:dyDescent="0.2">
      <c r="A858" s="405"/>
      <c r="H858" s="19"/>
    </row>
    <row r="859" spans="1:9" x14ac:dyDescent="0.2">
      <c r="A859" s="405"/>
    </row>
    <row r="860" spans="1:9" x14ac:dyDescent="0.2">
      <c r="A860" s="405"/>
    </row>
    <row r="861" spans="1:9" x14ac:dyDescent="0.2">
      <c r="A861" s="405"/>
    </row>
    <row r="862" spans="1:9" x14ac:dyDescent="0.2">
      <c r="A862" s="405"/>
    </row>
    <row r="863" spans="1:9" x14ac:dyDescent="0.2">
      <c r="A863" s="405"/>
      <c r="H863" s="19"/>
    </row>
    <row r="864" spans="1:9" x14ac:dyDescent="0.2">
      <c r="A864" s="405"/>
    </row>
    <row r="865" spans="1:9" x14ac:dyDescent="0.2">
      <c r="A865" s="405"/>
    </row>
    <row r="866" spans="1:9" x14ac:dyDescent="0.2">
      <c r="A866" s="405"/>
    </row>
    <row r="867" spans="1:9" x14ac:dyDescent="0.2">
      <c r="A867" s="405"/>
      <c r="H867" s="19"/>
      <c r="I867" s="19"/>
    </row>
    <row r="868" spans="1:9" x14ac:dyDescent="0.2">
      <c r="A868" s="405"/>
    </row>
    <row r="869" spans="1:9" x14ac:dyDescent="0.2">
      <c r="A869" s="405"/>
      <c r="H869" s="19"/>
      <c r="I869" s="19"/>
    </row>
    <row r="870" spans="1:9" x14ac:dyDescent="0.2">
      <c r="A870" s="405"/>
    </row>
    <row r="871" spans="1:9" x14ac:dyDescent="0.2">
      <c r="A871" s="405"/>
      <c r="H871" s="19"/>
    </row>
    <row r="872" spans="1:9" x14ac:dyDescent="0.2">
      <c r="A872" s="405"/>
    </row>
    <row r="873" spans="1:9" x14ac:dyDescent="0.2">
      <c r="A873" s="405"/>
    </row>
    <row r="874" spans="1:9" x14ac:dyDescent="0.2">
      <c r="A874" s="405"/>
      <c r="H874" s="19"/>
      <c r="I874" s="19"/>
    </row>
    <row r="875" spans="1:9" x14ac:dyDescent="0.2">
      <c r="A875" s="405"/>
      <c r="H875" s="19"/>
      <c r="I875" s="19"/>
    </row>
    <row r="876" spans="1:9" x14ac:dyDescent="0.2">
      <c r="A876" s="405"/>
      <c r="H876" s="19"/>
      <c r="I876" s="19"/>
    </row>
    <row r="877" spans="1:9" x14ac:dyDescent="0.2">
      <c r="A877" s="405"/>
      <c r="H877" s="19"/>
      <c r="I877" s="19"/>
    </row>
    <row r="878" spans="1:9" x14ac:dyDescent="0.2">
      <c r="A878" s="405"/>
    </row>
    <row r="879" spans="1:9" x14ac:dyDescent="0.2">
      <c r="A879" s="405"/>
    </row>
    <row r="880" spans="1:9" x14ac:dyDescent="0.2">
      <c r="A880" s="405"/>
    </row>
    <row r="881" spans="1:9" x14ac:dyDescent="0.2">
      <c r="A881" s="405"/>
    </row>
    <row r="882" spans="1:9" x14ac:dyDescent="0.2">
      <c r="A882" s="405"/>
      <c r="H882" s="19"/>
      <c r="I882" s="19"/>
    </row>
    <row r="883" spans="1:9" x14ac:dyDescent="0.2">
      <c r="A883" s="405"/>
    </row>
    <row r="884" spans="1:9" x14ac:dyDescent="0.2">
      <c r="A884" s="405"/>
      <c r="H884" s="19"/>
      <c r="I884" s="19"/>
    </row>
    <row r="885" spans="1:9" x14ac:dyDescent="0.2">
      <c r="A885" s="405"/>
      <c r="H885" s="19"/>
      <c r="I885" s="19"/>
    </row>
    <row r="886" spans="1:9" x14ac:dyDescent="0.2">
      <c r="A886" s="405"/>
    </row>
    <row r="887" spans="1:9" x14ac:dyDescent="0.2">
      <c r="A887" s="405"/>
    </row>
    <row r="888" spans="1:9" x14ac:dyDescent="0.2">
      <c r="A888" s="405"/>
    </row>
    <row r="889" spans="1:9" x14ac:dyDescent="0.2">
      <c r="A889" s="405"/>
    </row>
    <row r="890" spans="1:9" x14ac:dyDescent="0.2">
      <c r="A890" s="405"/>
    </row>
    <row r="891" spans="1:9" x14ac:dyDescent="0.2">
      <c r="A891" s="405"/>
    </row>
    <row r="892" spans="1:9" x14ac:dyDescent="0.2">
      <c r="A892" s="405"/>
    </row>
    <row r="893" spans="1:9" x14ac:dyDescent="0.2">
      <c r="A893" s="405"/>
      <c r="H893" s="19"/>
      <c r="I893" s="19"/>
    </row>
    <row r="894" spans="1:9" x14ac:dyDescent="0.2">
      <c r="A894" s="405"/>
    </row>
    <row r="895" spans="1:9" x14ac:dyDescent="0.2">
      <c r="A895" s="405"/>
    </row>
    <row r="896" spans="1:9" x14ac:dyDescent="0.2">
      <c r="A896" s="405"/>
    </row>
    <row r="897" spans="1:9" x14ac:dyDescent="0.2">
      <c r="A897" s="405"/>
    </row>
    <row r="898" spans="1:9" x14ac:dyDescent="0.2">
      <c r="A898" s="405"/>
    </row>
    <row r="899" spans="1:9" x14ac:dyDescent="0.2">
      <c r="A899" s="405"/>
    </row>
    <row r="900" spans="1:9" x14ac:dyDescent="0.2">
      <c r="A900" s="405"/>
    </row>
    <row r="901" spans="1:9" x14ac:dyDescent="0.2">
      <c r="A901" s="405"/>
    </row>
    <row r="902" spans="1:9" x14ac:dyDescent="0.2">
      <c r="A902" s="405"/>
    </row>
    <row r="903" spans="1:9" x14ac:dyDescent="0.2">
      <c r="A903" s="405"/>
    </row>
    <row r="904" spans="1:9" x14ac:dyDescent="0.2">
      <c r="A904" s="405"/>
      <c r="H904" s="19"/>
      <c r="I904" s="19"/>
    </row>
    <row r="905" spans="1:9" x14ac:dyDescent="0.2">
      <c r="A905" s="405"/>
    </row>
    <row r="906" spans="1:9" x14ac:dyDescent="0.2">
      <c r="A906" s="405"/>
    </row>
    <row r="907" spans="1:9" x14ac:dyDescent="0.2">
      <c r="A907" s="405"/>
    </row>
    <row r="908" spans="1:9" x14ac:dyDescent="0.2">
      <c r="A908" s="405"/>
    </row>
    <row r="909" spans="1:9" x14ac:dyDescent="0.2">
      <c r="A909" s="405"/>
    </row>
    <row r="910" spans="1:9" x14ac:dyDescent="0.2">
      <c r="A910" s="405"/>
    </row>
    <row r="911" spans="1:9" x14ac:dyDescent="0.2">
      <c r="A911" s="405"/>
    </row>
    <row r="912" spans="1:9" x14ac:dyDescent="0.2">
      <c r="A912" s="405"/>
      <c r="H912" s="19"/>
      <c r="I912" s="19"/>
    </row>
    <row r="913" spans="1:1" x14ac:dyDescent="0.2">
      <c r="A913" s="405"/>
    </row>
    <row r="914" spans="1:1" x14ac:dyDescent="0.2">
      <c r="A914" s="405"/>
    </row>
    <row r="915" spans="1:1" x14ac:dyDescent="0.2">
      <c r="A915" s="405"/>
    </row>
    <row r="916" spans="1:1" x14ac:dyDescent="0.2">
      <c r="A916" s="405"/>
    </row>
    <row r="917" spans="1:1" x14ac:dyDescent="0.2">
      <c r="A917" s="405"/>
    </row>
    <row r="918" spans="1:1" x14ac:dyDescent="0.2">
      <c r="A918" s="405"/>
    </row>
    <row r="919" spans="1:1" x14ac:dyDescent="0.2">
      <c r="A919" s="405"/>
    </row>
    <row r="920" spans="1:1" x14ac:dyDescent="0.2">
      <c r="A920" s="405"/>
    </row>
    <row r="921" spans="1:1" x14ac:dyDescent="0.2">
      <c r="A921" s="405"/>
    </row>
    <row r="922" spans="1:1" x14ac:dyDescent="0.2">
      <c r="A922" s="405"/>
    </row>
    <row r="923" spans="1:1" x14ac:dyDescent="0.2">
      <c r="A923" s="405"/>
    </row>
    <row r="924" spans="1:1" x14ac:dyDescent="0.2">
      <c r="A924" s="405"/>
    </row>
    <row r="925" spans="1:1" x14ac:dyDescent="0.2">
      <c r="A925" s="405"/>
    </row>
    <row r="926" spans="1:1" x14ac:dyDescent="0.2">
      <c r="A926" s="405"/>
    </row>
    <row r="927" spans="1:1" x14ac:dyDescent="0.2">
      <c r="A927" s="405"/>
    </row>
    <row r="928" spans="1:1" x14ac:dyDescent="0.2">
      <c r="A928" s="405"/>
    </row>
    <row r="929" spans="1:9" x14ac:dyDescent="0.2">
      <c r="A929" s="405"/>
    </row>
    <row r="930" spans="1:9" x14ac:dyDescent="0.2">
      <c r="A930" s="405"/>
    </row>
    <row r="931" spans="1:9" x14ac:dyDescent="0.2">
      <c r="A931" s="405"/>
    </row>
    <row r="932" spans="1:9" x14ac:dyDescent="0.2">
      <c r="A932" s="405"/>
    </row>
    <row r="933" spans="1:9" x14ac:dyDescent="0.2">
      <c r="A933" s="405"/>
    </row>
    <row r="934" spans="1:9" x14ac:dyDescent="0.2">
      <c r="A934" s="405"/>
    </row>
    <row r="935" spans="1:9" x14ac:dyDescent="0.2">
      <c r="A935" s="405"/>
    </row>
    <row r="936" spans="1:9" x14ac:dyDescent="0.2">
      <c r="A936" s="405"/>
    </row>
    <row r="937" spans="1:9" x14ac:dyDescent="0.2">
      <c r="A937" s="405"/>
    </row>
    <row r="938" spans="1:9" x14ac:dyDescent="0.2">
      <c r="A938" s="405"/>
    </row>
    <row r="939" spans="1:9" x14ac:dyDescent="0.2">
      <c r="A939" s="405"/>
      <c r="H939" s="19"/>
    </row>
    <row r="940" spans="1:9" x14ac:dyDescent="0.2">
      <c r="A940" s="405"/>
    </row>
    <row r="941" spans="1:9" x14ac:dyDescent="0.2">
      <c r="A941" s="405"/>
    </row>
    <row r="942" spans="1:9" x14ac:dyDescent="0.2">
      <c r="A942" s="405"/>
      <c r="H942" s="19"/>
      <c r="I942" s="19"/>
    </row>
    <row r="943" spans="1:9" x14ac:dyDescent="0.2">
      <c r="A943" s="405"/>
    </row>
    <row r="944" spans="1:9" x14ac:dyDescent="0.2">
      <c r="A944" s="405"/>
    </row>
    <row r="945" spans="1:9" x14ac:dyDescent="0.2">
      <c r="A945" s="405"/>
    </row>
    <row r="946" spans="1:9" x14ac:dyDescent="0.2">
      <c r="A946" s="405"/>
    </row>
    <row r="947" spans="1:9" x14ac:dyDescent="0.2">
      <c r="A947" s="405"/>
      <c r="H947" s="19"/>
    </row>
    <row r="948" spans="1:9" x14ac:dyDescent="0.2">
      <c r="A948" s="405"/>
    </row>
    <row r="949" spans="1:9" x14ac:dyDescent="0.2">
      <c r="A949" s="405"/>
    </row>
    <row r="950" spans="1:9" x14ac:dyDescent="0.2">
      <c r="A950" s="405"/>
      <c r="H950" s="19"/>
      <c r="I950" s="19"/>
    </row>
    <row r="951" spans="1:9" x14ac:dyDescent="0.2">
      <c r="A951" s="405"/>
    </row>
    <row r="952" spans="1:9" x14ac:dyDescent="0.2">
      <c r="A952" s="405"/>
    </row>
    <row r="953" spans="1:9" x14ac:dyDescent="0.2">
      <c r="A953" s="405"/>
    </row>
    <row r="954" spans="1:9" x14ac:dyDescent="0.2">
      <c r="A954" s="405"/>
    </row>
    <row r="955" spans="1:9" x14ac:dyDescent="0.2">
      <c r="A955" s="405"/>
      <c r="H955" s="19"/>
    </row>
    <row r="956" spans="1:9" x14ac:dyDescent="0.2">
      <c r="A956" s="405"/>
    </row>
    <row r="957" spans="1:9" x14ac:dyDescent="0.2">
      <c r="A957" s="405"/>
    </row>
    <row r="958" spans="1:9" x14ac:dyDescent="0.2">
      <c r="A958" s="405"/>
    </row>
    <row r="959" spans="1:9" x14ac:dyDescent="0.2">
      <c r="A959" s="405"/>
    </row>
    <row r="960" spans="1:9" x14ac:dyDescent="0.2">
      <c r="A960" s="405"/>
    </row>
    <row r="961" spans="1:9" x14ac:dyDescent="0.2">
      <c r="A961" s="405"/>
    </row>
    <row r="962" spans="1:9" x14ac:dyDescent="0.2">
      <c r="A962" s="405"/>
      <c r="H962" s="19"/>
      <c r="I962" s="19"/>
    </row>
    <row r="963" spans="1:9" x14ac:dyDescent="0.2">
      <c r="A963" s="405"/>
    </row>
    <row r="964" spans="1:9" x14ac:dyDescent="0.2">
      <c r="A964" s="405"/>
    </row>
    <row r="965" spans="1:9" x14ac:dyDescent="0.2">
      <c r="A965" s="405"/>
    </row>
    <row r="966" spans="1:9" x14ac:dyDescent="0.2">
      <c r="A966" s="405"/>
    </row>
    <row r="967" spans="1:9" x14ac:dyDescent="0.2">
      <c r="A967" s="405"/>
    </row>
    <row r="968" spans="1:9" x14ac:dyDescent="0.2">
      <c r="A968" s="405"/>
    </row>
    <row r="969" spans="1:9" x14ac:dyDescent="0.2">
      <c r="A969" s="405"/>
    </row>
    <row r="970" spans="1:9" x14ac:dyDescent="0.2">
      <c r="A970" s="405"/>
      <c r="H970" s="19"/>
      <c r="I970" s="19"/>
    </row>
    <row r="971" spans="1:9" x14ac:dyDescent="0.2">
      <c r="A971" s="405"/>
      <c r="H971" s="19"/>
      <c r="I971" s="19"/>
    </row>
    <row r="972" spans="1:9" x14ac:dyDescent="0.2">
      <c r="A972" s="405"/>
    </row>
    <row r="973" spans="1:9" x14ac:dyDescent="0.2">
      <c r="A973" s="405"/>
    </row>
    <row r="974" spans="1:9" x14ac:dyDescent="0.2">
      <c r="A974" s="405"/>
    </row>
    <row r="975" spans="1:9" x14ac:dyDescent="0.2">
      <c r="A975" s="405"/>
    </row>
    <row r="976" spans="1:9" x14ac:dyDescent="0.2">
      <c r="A976" s="405"/>
    </row>
    <row r="977" spans="1:9" x14ac:dyDescent="0.2">
      <c r="A977" s="405"/>
    </row>
    <row r="978" spans="1:9" x14ac:dyDescent="0.2">
      <c r="A978" s="405"/>
    </row>
    <row r="979" spans="1:9" x14ac:dyDescent="0.2">
      <c r="A979" s="405"/>
      <c r="H979" s="19"/>
      <c r="I979" s="19"/>
    </row>
    <row r="980" spans="1:9" x14ac:dyDescent="0.2">
      <c r="A980" s="405"/>
    </row>
    <row r="981" spans="1:9" x14ac:dyDescent="0.2">
      <c r="A981" s="405"/>
    </row>
    <row r="982" spans="1:9" x14ac:dyDescent="0.2">
      <c r="A982" s="405"/>
    </row>
    <row r="983" spans="1:9" x14ac:dyDescent="0.2">
      <c r="A983" s="405"/>
    </row>
    <row r="984" spans="1:9" x14ac:dyDescent="0.2">
      <c r="A984" s="405"/>
    </row>
    <row r="985" spans="1:9" x14ac:dyDescent="0.2">
      <c r="A985" s="405"/>
    </row>
    <row r="986" spans="1:9" x14ac:dyDescent="0.2">
      <c r="A986" s="405"/>
      <c r="H986" s="19"/>
      <c r="I986" s="19"/>
    </row>
    <row r="987" spans="1:9" x14ac:dyDescent="0.2">
      <c r="A987" s="405"/>
      <c r="H987" s="19"/>
    </row>
    <row r="988" spans="1:9" x14ac:dyDescent="0.2">
      <c r="A988" s="405"/>
    </row>
    <row r="989" spans="1:9" x14ac:dyDescent="0.2">
      <c r="A989" s="405"/>
    </row>
    <row r="990" spans="1:9" x14ac:dyDescent="0.2">
      <c r="A990" s="405"/>
    </row>
    <row r="991" spans="1:9" x14ac:dyDescent="0.2">
      <c r="A991" s="405"/>
    </row>
    <row r="992" spans="1:9" x14ac:dyDescent="0.2">
      <c r="A992" s="405"/>
    </row>
    <row r="993" spans="1:9" x14ac:dyDescent="0.2">
      <c r="A993" s="405"/>
    </row>
    <row r="994" spans="1:9" x14ac:dyDescent="0.2">
      <c r="A994" s="405"/>
      <c r="H994" s="19"/>
      <c r="I994" s="19"/>
    </row>
    <row r="995" spans="1:9" x14ac:dyDescent="0.2">
      <c r="A995" s="405"/>
    </row>
    <row r="996" spans="1:9" x14ac:dyDescent="0.2">
      <c r="A996" s="405"/>
    </row>
    <row r="997" spans="1:9" x14ac:dyDescent="0.2">
      <c r="A997" s="405"/>
    </row>
    <row r="998" spans="1:9" x14ac:dyDescent="0.2">
      <c r="A998" s="405"/>
    </row>
    <row r="999" spans="1:9" x14ac:dyDescent="0.2">
      <c r="A999" s="405"/>
    </row>
    <row r="1000" spans="1:9" x14ac:dyDescent="0.2">
      <c r="A1000" s="405"/>
    </row>
    <row r="1001" spans="1:9" x14ac:dyDescent="0.2">
      <c r="A1001" s="405"/>
    </row>
    <row r="1002" spans="1:9" x14ac:dyDescent="0.2">
      <c r="A1002" s="405"/>
    </row>
    <row r="1003" spans="1:9" x14ac:dyDescent="0.2">
      <c r="A1003" s="405"/>
    </row>
    <row r="1004" spans="1:9" x14ac:dyDescent="0.2">
      <c r="A1004" s="405"/>
    </row>
    <row r="1005" spans="1:9" x14ac:dyDescent="0.2">
      <c r="A1005" s="405"/>
    </row>
    <row r="1006" spans="1:9" x14ac:dyDescent="0.2">
      <c r="A1006" s="405"/>
      <c r="H1006" s="19"/>
    </row>
    <row r="1007" spans="1:9" x14ac:dyDescent="0.2">
      <c r="A1007" s="405"/>
      <c r="H1007" s="19"/>
    </row>
    <row r="1008" spans="1:9" x14ac:dyDescent="0.2">
      <c r="A1008" s="405"/>
    </row>
    <row r="1009" spans="1:8" x14ac:dyDescent="0.2">
      <c r="A1009" s="405"/>
    </row>
    <row r="1010" spans="1:8" x14ac:dyDescent="0.2">
      <c r="A1010" s="405"/>
    </row>
    <row r="1011" spans="1:8" x14ac:dyDescent="0.2">
      <c r="A1011" s="405"/>
    </row>
    <row r="1012" spans="1:8" x14ac:dyDescent="0.2">
      <c r="A1012" s="405"/>
    </row>
    <row r="1013" spans="1:8" x14ac:dyDescent="0.2">
      <c r="A1013" s="405"/>
    </row>
    <row r="1014" spans="1:8" x14ac:dyDescent="0.2">
      <c r="A1014" s="405"/>
      <c r="H1014" s="19"/>
    </row>
    <row r="1015" spans="1:8" x14ac:dyDescent="0.2">
      <c r="A1015" s="405"/>
      <c r="H1015" s="19"/>
    </row>
    <row r="1016" spans="1:8" x14ac:dyDescent="0.2">
      <c r="A1016" s="405"/>
    </row>
    <row r="1017" spans="1:8" x14ac:dyDescent="0.2">
      <c r="A1017" s="405"/>
    </row>
    <row r="1018" spans="1:8" x14ac:dyDescent="0.2">
      <c r="A1018" s="405"/>
    </row>
    <row r="1019" spans="1:8" x14ac:dyDescent="0.2">
      <c r="A1019" s="405"/>
    </row>
    <row r="1020" spans="1:8" x14ac:dyDescent="0.2">
      <c r="A1020" s="405"/>
    </row>
    <row r="1021" spans="1:8" x14ac:dyDescent="0.2">
      <c r="A1021" s="405"/>
    </row>
    <row r="1022" spans="1:8" x14ac:dyDescent="0.2">
      <c r="A1022" s="405"/>
    </row>
    <row r="1023" spans="1:8" x14ac:dyDescent="0.2">
      <c r="A1023" s="405"/>
    </row>
    <row r="1024" spans="1:8" x14ac:dyDescent="0.2">
      <c r="A1024" s="405"/>
    </row>
    <row r="1025" spans="1:9" x14ac:dyDescent="0.2">
      <c r="A1025" s="405"/>
    </row>
    <row r="1026" spans="1:9" x14ac:dyDescent="0.2">
      <c r="A1026" s="405"/>
      <c r="H1026" s="19"/>
      <c r="I1026" s="19"/>
    </row>
    <row r="1027" spans="1:9" x14ac:dyDescent="0.2">
      <c r="A1027" s="405"/>
    </row>
    <row r="1028" spans="1:9" x14ac:dyDescent="0.2">
      <c r="A1028" s="405"/>
    </row>
    <row r="1029" spans="1:9" x14ac:dyDescent="0.2">
      <c r="A1029" s="405"/>
      <c r="H1029" s="19"/>
      <c r="I1029" s="19"/>
    </row>
    <row r="1030" spans="1:9" x14ac:dyDescent="0.2">
      <c r="A1030" s="405"/>
    </row>
    <row r="1031" spans="1:9" x14ac:dyDescent="0.2">
      <c r="A1031" s="405"/>
    </row>
    <row r="1032" spans="1:9" x14ac:dyDescent="0.2">
      <c r="A1032" s="405"/>
    </row>
    <row r="1033" spans="1:9" x14ac:dyDescent="0.2">
      <c r="A1033" s="405"/>
    </row>
    <row r="1034" spans="1:9" x14ac:dyDescent="0.2">
      <c r="A1034" s="405"/>
      <c r="H1034" s="19"/>
      <c r="I1034" s="19"/>
    </row>
    <row r="1035" spans="1:9" x14ac:dyDescent="0.2">
      <c r="A1035" s="405"/>
    </row>
    <row r="1036" spans="1:9" x14ac:dyDescent="0.2">
      <c r="A1036" s="405"/>
    </row>
    <row r="1037" spans="1:9" x14ac:dyDescent="0.2">
      <c r="A1037" s="405"/>
      <c r="H1037" s="19"/>
      <c r="I1037" s="19"/>
    </row>
    <row r="1038" spans="1:9" x14ac:dyDescent="0.2">
      <c r="A1038" s="405"/>
    </row>
    <row r="1039" spans="1:9" x14ac:dyDescent="0.2">
      <c r="A1039" s="405"/>
    </row>
    <row r="1040" spans="1:9" x14ac:dyDescent="0.2">
      <c r="A1040" s="405"/>
    </row>
    <row r="1041" spans="1:9" x14ac:dyDescent="0.2">
      <c r="A1041" s="405"/>
    </row>
    <row r="1042" spans="1:9" x14ac:dyDescent="0.2">
      <c r="A1042" s="405"/>
    </row>
    <row r="1043" spans="1:9" x14ac:dyDescent="0.2">
      <c r="A1043" s="405"/>
    </row>
    <row r="1044" spans="1:9" x14ac:dyDescent="0.2">
      <c r="A1044" s="405"/>
    </row>
    <row r="1045" spans="1:9" x14ac:dyDescent="0.2">
      <c r="A1045" s="405"/>
      <c r="H1045" s="19"/>
    </row>
    <row r="1046" spans="1:9" x14ac:dyDescent="0.2">
      <c r="A1046" s="405"/>
      <c r="H1046" s="19"/>
      <c r="I1046" s="19"/>
    </row>
    <row r="1047" spans="1:9" x14ac:dyDescent="0.2">
      <c r="A1047" s="405"/>
    </row>
    <row r="1048" spans="1:9" x14ac:dyDescent="0.2">
      <c r="A1048" s="405"/>
      <c r="H1048" s="19"/>
      <c r="I1048" s="19"/>
    </row>
    <row r="1049" spans="1:9" x14ac:dyDescent="0.2">
      <c r="A1049" s="405"/>
      <c r="H1049" s="19"/>
      <c r="I1049" s="19"/>
    </row>
    <row r="1050" spans="1:9" x14ac:dyDescent="0.2">
      <c r="A1050" s="405"/>
    </row>
    <row r="1051" spans="1:9" x14ac:dyDescent="0.2">
      <c r="A1051" s="405"/>
    </row>
    <row r="1052" spans="1:9" x14ac:dyDescent="0.2">
      <c r="A1052" s="405"/>
    </row>
    <row r="1053" spans="1:9" x14ac:dyDescent="0.2">
      <c r="A1053" s="405"/>
    </row>
    <row r="1054" spans="1:9" x14ac:dyDescent="0.2">
      <c r="A1054" s="405"/>
      <c r="H1054" s="19"/>
      <c r="I1054" s="19"/>
    </row>
    <row r="1055" spans="1:9" x14ac:dyDescent="0.2">
      <c r="A1055" s="405"/>
    </row>
    <row r="1056" spans="1:9" x14ac:dyDescent="0.2">
      <c r="A1056" s="405"/>
      <c r="H1056" s="19"/>
      <c r="I1056" s="19"/>
    </row>
    <row r="1057" spans="1:9" x14ac:dyDescent="0.2">
      <c r="A1057" s="405"/>
      <c r="H1057" s="19"/>
      <c r="I1057" s="19"/>
    </row>
    <row r="1058" spans="1:9" x14ac:dyDescent="0.2">
      <c r="A1058" s="405"/>
    </row>
    <row r="1059" spans="1:9" x14ac:dyDescent="0.2">
      <c r="A1059" s="405"/>
    </row>
    <row r="1060" spans="1:9" x14ac:dyDescent="0.2">
      <c r="A1060" s="405"/>
    </row>
    <row r="1061" spans="1:9" x14ac:dyDescent="0.2">
      <c r="A1061" s="405"/>
    </row>
    <row r="1062" spans="1:9" x14ac:dyDescent="0.2">
      <c r="A1062" s="405"/>
    </row>
    <row r="1063" spans="1:9" x14ac:dyDescent="0.2">
      <c r="A1063" s="405"/>
    </row>
    <row r="1064" spans="1:9" x14ac:dyDescent="0.2">
      <c r="A1064" s="405"/>
    </row>
    <row r="1065" spans="1:9" x14ac:dyDescent="0.2">
      <c r="A1065" s="405"/>
    </row>
    <row r="1066" spans="1:9" x14ac:dyDescent="0.2">
      <c r="A1066" s="405"/>
    </row>
    <row r="1067" spans="1:9" x14ac:dyDescent="0.2">
      <c r="A1067" s="405"/>
    </row>
    <row r="1068" spans="1:9" x14ac:dyDescent="0.2">
      <c r="A1068" s="405"/>
    </row>
    <row r="1069" spans="1:9" x14ac:dyDescent="0.2">
      <c r="A1069" s="405"/>
    </row>
    <row r="1070" spans="1:9" x14ac:dyDescent="0.2">
      <c r="A1070" s="405"/>
    </row>
    <row r="1071" spans="1:9" x14ac:dyDescent="0.2">
      <c r="A1071" s="405"/>
    </row>
    <row r="1072" spans="1:9" x14ac:dyDescent="0.2">
      <c r="A1072" s="405"/>
    </row>
    <row r="1073" spans="1:1" x14ac:dyDescent="0.2">
      <c r="A1073" s="405"/>
    </row>
    <row r="1074" spans="1:1" x14ac:dyDescent="0.2">
      <c r="A1074" s="405"/>
    </row>
    <row r="1075" spans="1:1" x14ac:dyDescent="0.2">
      <c r="A1075" s="405"/>
    </row>
    <row r="1076" spans="1:1" x14ac:dyDescent="0.2">
      <c r="A1076" s="405"/>
    </row>
    <row r="1077" spans="1:1" x14ac:dyDescent="0.2">
      <c r="A1077" s="405"/>
    </row>
    <row r="1078" spans="1:1" x14ac:dyDescent="0.2">
      <c r="A1078" s="405"/>
    </row>
    <row r="1079" spans="1:1" x14ac:dyDescent="0.2">
      <c r="A1079" s="405"/>
    </row>
    <row r="1080" spans="1:1" x14ac:dyDescent="0.2">
      <c r="A1080" s="405"/>
    </row>
    <row r="1081" spans="1:1" x14ac:dyDescent="0.2">
      <c r="A1081" s="405"/>
    </row>
    <row r="1082" spans="1:1" x14ac:dyDescent="0.2">
      <c r="A1082" s="405"/>
    </row>
    <row r="1083" spans="1:1" x14ac:dyDescent="0.2">
      <c r="A1083" s="405"/>
    </row>
    <row r="1084" spans="1:1" x14ac:dyDescent="0.2">
      <c r="A1084" s="405"/>
    </row>
    <row r="1085" spans="1:1" x14ac:dyDescent="0.2">
      <c r="A1085" s="405"/>
    </row>
    <row r="1086" spans="1:1" x14ac:dyDescent="0.2">
      <c r="A1086" s="405"/>
    </row>
    <row r="1087" spans="1:1" x14ac:dyDescent="0.2">
      <c r="A1087" s="405"/>
    </row>
    <row r="1088" spans="1:1" x14ac:dyDescent="0.2">
      <c r="A1088" s="405"/>
    </row>
    <row r="1089" spans="1:9" x14ac:dyDescent="0.2">
      <c r="A1089" s="405"/>
    </row>
    <row r="1090" spans="1:9" x14ac:dyDescent="0.2">
      <c r="A1090" s="405"/>
    </row>
    <row r="1091" spans="1:9" x14ac:dyDescent="0.2">
      <c r="A1091" s="405"/>
      <c r="H1091" s="19"/>
      <c r="I1091" s="19"/>
    </row>
    <row r="1092" spans="1:9" x14ac:dyDescent="0.2">
      <c r="A1092" s="405"/>
    </row>
    <row r="1093" spans="1:9" x14ac:dyDescent="0.2">
      <c r="A1093" s="405"/>
    </row>
    <row r="1094" spans="1:9" x14ac:dyDescent="0.2">
      <c r="A1094" s="405"/>
      <c r="H1094" s="19"/>
      <c r="I1094" s="19"/>
    </row>
    <row r="1095" spans="1:9" x14ac:dyDescent="0.2">
      <c r="A1095" s="405"/>
      <c r="I1095" s="19"/>
    </row>
    <row r="1096" spans="1:9" x14ac:dyDescent="0.2">
      <c r="A1096" s="405"/>
      <c r="H1096" s="19"/>
    </row>
    <row r="1097" spans="1:9" x14ac:dyDescent="0.2">
      <c r="A1097" s="405"/>
      <c r="H1097" s="19"/>
      <c r="I1097" s="19"/>
    </row>
    <row r="1098" spans="1:9" x14ac:dyDescent="0.2">
      <c r="A1098" s="405"/>
      <c r="H1098" s="19"/>
      <c r="I1098" s="19"/>
    </row>
    <row r="1099" spans="1:9" x14ac:dyDescent="0.2">
      <c r="A1099" s="405"/>
      <c r="H1099" s="19"/>
      <c r="I1099" s="19"/>
    </row>
    <row r="1100" spans="1:9" x14ac:dyDescent="0.2">
      <c r="A1100" s="405"/>
    </row>
    <row r="1101" spans="1:9" x14ac:dyDescent="0.2">
      <c r="A1101" s="405"/>
    </row>
    <row r="1102" spans="1:9" x14ac:dyDescent="0.2">
      <c r="A1102" s="405"/>
      <c r="H1102" s="19"/>
      <c r="I1102" s="19"/>
    </row>
    <row r="1103" spans="1:9" x14ac:dyDescent="0.2">
      <c r="A1103" s="405"/>
      <c r="H1103" s="19"/>
      <c r="I1103" s="19"/>
    </row>
    <row r="1104" spans="1:9" x14ac:dyDescent="0.2">
      <c r="A1104" s="405"/>
      <c r="H1104" s="19"/>
      <c r="I1104" s="19"/>
    </row>
    <row r="1105" spans="1:9" x14ac:dyDescent="0.2">
      <c r="A1105" s="405"/>
      <c r="H1105" s="19"/>
      <c r="I1105" s="19"/>
    </row>
    <row r="1106" spans="1:9" x14ac:dyDescent="0.2">
      <c r="A1106" s="405"/>
      <c r="H1106" s="19"/>
      <c r="I1106" s="19"/>
    </row>
    <row r="1107" spans="1:9" x14ac:dyDescent="0.2">
      <c r="A1107" s="405"/>
      <c r="H1107" s="19"/>
      <c r="I1107" s="19"/>
    </row>
    <row r="1108" spans="1:9" x14ac:dyDescent="0.2">
      <c r="A1108" s="405"/>
      <c r="H1108" s="19"/>
      <c r="I1108" s="19"/>
    </row>
    <row r="1109" spans="1:9" x14ac:dyDescent="0.2">
      <c r="A1109" s="405"/>
    </row>
    <row r="1110" spans="1:9" x14ac:dyDescent="0.2">
      <c r="A1110" s="405"/>
      <c r="H1110" s="19"/>
      <c r="I1110" s="19"/>
    </row>
    <row r="1111" spans="1:9" x14ac:dyDescent="0.2">
      <c r="A1111" s="405"/>
      <c r="H1111" s="19"/>
      <c r="I1111" s="19"/>
    </row>
    <row r="1112" spans="1:9" x14ac:dyDescent="0.2">
      <c r="A1112" s="405"/>
      <c r="H1112" s="19"/>
      <c r="I1112" s="19"/>
    </row>
    <row r="1113" spans="1:9" x14ac:dyDescent="0.2">
      <c r="A1113" s="405"/>
    </row>
    <row r="1114" spans="1:9" x14ac:dyDescent="0.2">
      <c r="A1114" s="405"/>
    </row>
    <row r="1115" spans="1:9" x14ac:dyDescent="0.2">
      <c r="A1115" s="405"/>
      <c r="B1115" s="404"/>
      <c r="I1115" s="19"/>
    </row>
    <row r="1116" spans="1:9" x14ac:dyDescent="0.2">
      <c r="A1116" s="405"/>
      <c r="H1116" s="19"/>
      <c r="I1116" s="19"/>
    </row>
    <row r="1117" spans="1:9" x14ac:dyDescent="0.2">
      <c r="A1117" s="405"/>
    </row>
    <row r="1118" spans="1:9" x14ac:dyDescent="0.2">
      <c r="A1118" s="405"/>
      <c r="H1118" s="19"/>
      <c r="I1118" s="19"/>
    </row>
    <row r="1119" spans="1:9" x14ac:dyDescent="0.2">
      <c r="A1119" s="405"/>
      <c r="H1119" s="19"/>
      <c r="I1119" s="19"/>
    </row>
    <row r="1120" spans="1:9" x14ac:dyDescent="0.2">
      <c r="A1120" s="405"/>
    </row>
    <row r="1121" spans="1:9" x14ac:dyDescent="0.2">
      <c r="A1121" s="405"/>
    </row>
    <row r="1122" spans="1:9" x14ac:dyDescent="0.2">
      <c r="A1122" s="405"/>
    </row>
    <row r="1123" spans="1:9" x14ac:dyDescent="0.2">
      <c r="A1123" s="405"/>
      <c r="B1123" s="404"/>
      <c r="H1123" s="19"/>
      <c r="I1123" s="19"/>
    </row>
    <row r="1124" spans="1:9" x14ac:dyDescent="0.2">
      <c r="A1124" s="405"/>
      <c r="H1124" s="19"/>
      <c r="I1124" s="19"/>
    </row>
    <row r="1125" spans="1:9" x14ac:dyDescent="0.2">
      <c r="A1125" s="405"/>
    </row>
    <row r="1126" spans="1:9" x14ac:dyDescent="0.2">
      <c r="A1126" s="405"/>
      <c r="H1126" s="19"/>
      <c r="I1126" s="19"/>
    </row>
    <row r="1127" spans="1:9" x14ac:dyDescent="0.2">
      <c r="A1127" s="405"/>
      <c r="H1127" s="19"/>
      <c r="I1127" s="19"/>
    </row>
    <row r="1128" spans="1:9" x14ac:dyDescent="0.2">
      <c r="A1128" s="405"/>
    </row>
    <row r="1129" spans="1:9" x14ac:dyDescent="0.2">
      <c r="A1129" s="405"/>
      <c r="H1129" s="19"/>
      <c r="I1129" s="19"/>
    </row>
    <row r="1130" spans="1:9" x14ac:dyDescent="0.2">
      <c r="A1130" s="405"/>
    </row>
    <row r="1131" spans="1:9" x14ac:dyDescent="0.2">
      <c r="A1131" s="405"/>
      <c r="H1131" s="19"/>
      <c r="I1131" s="19"/>
    </row>
    <row r="1132" spans="1:9" x14ac:dyDescent="0.2">
      <c r="A1132" s="405"/>
      <c r="H1132" s="19"/>
      <c r="I1132" s="19"/>
    </row>
    <row r="1133" spans="1:9" x14ac:dyDescent="0.2">
      <c r="A1133" s="405"/>
    </row>
    <row r="1134" spans="1:9" x14ac:dyDescent="0.2">
      <c r="A1134" s="405"/>
      <c r="H1134" s="19"/>
    </row>
    <row r="1135" spans="1:9" x14ac:dyDescent="0.2">
      <c r="A1135" s="405"/>
    </row>
    <row r="1136" spans="1:9" x14ac:dyDescent="0.2">
      <c r="A1136" s="405"/>
    </row>
    <row r="1137" spans="1:9" x14ac:dyDescent="0.2">
      <c r="A1137" s="405"/>
      <c r="H1137" s="19"/>
      <c r="I1137" s="19"/>
    </row>
    <row r="1138" spans="1:9" x14ac:dyDescent="0.2">
      <c r="A1138" s="405"/>
    </row>
    <row r="1139" spans="1:9" x14ac:dyDescent="0.2">
      <c r="A1139" s="405"/>
    </row>
    <row r="1140" spans="1:9" x14ac:dyDescent="0.2">
      <c r="A1140" s="405"/>
    </row>
    <row r="1141" spans="1:9" x14ac:dyDescent="0.2">
      <c r="A1141" s="405"/>
    </row>
    <row r="1142" spans="1:9" x14ac:dyDescent="0.2">
      <c r="A1142" s="405"/>
      <c r="H1142" s="19"/>
    </row>
    <row r="1143" spans="1:9" x14ac:dyDescent="0.2">
      <c r="A1143" s="405"/>
    </row>
    <row r="1144" spans="1:9" x14ac:dyDescent="0.2">
      <c r="A1144" s="405"/>
    </row>
    <row r="1145" spans="1:9" x14ac:dyDescent="0.2">
      <c r="A1145" s="405"/>
    </row>
    <row r="1146" spans="1:9" x14ac:dyDescent="0.2">
      <c r="A1146" s="405"/>
    </row>
    <row r="1147" spans="1:9" x14ac:dyDescent="0.2">
      <c r="A1147" s="405"/>
    </row>
    <row r="1148" spans="1:9" x14ac:dyDescent="0.2">
      <c r="A1148" s="405"/>
    </row>
    <row r="1149" spans="1:9" x14ac:dyDescent="0.2">
      <c r="A1149" s="405"/>
    </row>
    <row r="1150" spans="1:9" x14ac:dyDescent="0.2">
      <c r="A1150" s="405"/>
    </row>
    <row r="1151" spans="1:9" x14ac:dyDescent="0.2">
      <c r="A1151" s="405"/>
    </row>
    <row r="1152" spans="1:9" x14ac:dyDescent="0.2">
      <c r="A1152" s="405"/>
    </row>
    <row r="1153" spans="1:1" x14ac:dyDescent="0.2">
      <c r="A1153" s="405"/>
    </row>
    <row r="1154" spans="1:1" x14ac:dyDescent="0.2">
      <c r="A1154" s="405"/>
    </row>
    <row r="1155" spans="1:1" x14ac:dyDescent="0.2">
      <c r="A1155" s="405"/>
    </row>
    <row r="1156" spans="1:1" x14ac:dyDescent="0.2">
      <c r="A1156" s="405"/>
    </row>
    <row r="1157" spans="1:1" x14ac:dyDescent="0.2">
      <c r="A1157" s="405"/>
    </row>
    <row r="1158" spans="1:1" x14ac:dyDescent="0.2">
      <c r="A1158" s="405"/>
    </row>
    <row r="1159" spans="1:1" x14ac:dyDescent="0.2">
      <c r="A1159" s="405"/>
    </row>
    <row r="1160" spans="1:1" x14ac:dyDescent="0.2">
      <c r="A1160" s="405"/>
    </row>
    <row r="1161" spans="1:1" x14ac:dyDescent="0.2">
      <c r="A1161" s="405"/>
    </row>
    <row r="1162" spans="1:1" x14ac:dyDescent="0.2">
      <c r="A1162" s="405"/>
    </row>
    <row r="1163" spans="1:1" x14ac:dyDescent="0.2">
      <c r="A1163" s="405"/>
    </row>
    <row r="1164" spans="1:1" x14ac:dyDescent="0.2">
      <c r="A1164" s="405"/>
    </row>
    <row r="1165" spans="1:1" x14ac:dyDescent="0.2">
      <c r="A1165" s="405"/>
    </row>
    <row r="1166" spans="1:1" x14ac:dyDescent="0.2">
      <c r="A1166" s="405"/>
    </row>
    <row r="1167" spans="1:1" x14ac:dyDescent="0.2">
      <c r="A1167" s="405"/>
    </row>
    <row r="1168" spans="1:1" x14ac:dyDescent="0.2">
      <c r="A1168" s="405"/>
    </row>
    <row r="1169" spans="1:1" x14ac:dyDescent="0.2">
      <c r="A1169" s="405"/>
    </row>
    <row r="1170" spans="1:1" x14ac:dyDescent="0.2">
      <c r="A1170" s="405"/>
    </row>
    <row r="1171" spans="1:1" x14ac:dyDescent="0.2">
      <c r="A1171" s="405"/>
    </row>
    <row r="1172" spans="1:1" x14ac:dyDescent="0.2">
      <c r="A1172" s="405"/>
    </row>
    <row r="1173" spans="1:1" x14ac:dyDescent="0.2">
      <c r="A1173" s="405"/>
    </row>
    <row r="1174" spans="1:1" x14ac:dyDescent="0.2">
      <c r="A1174" s="405"/>
    </row>
    <row r="1175" spans="1:1" x14ac:dyDescent="0.2">
      <c r="A1175" s="405"/>
    </row>
    <row r="1176" spans="1:1" x14ac:dyDescent="0.2">
      <c r="A1176" s="405"/>
    </row>
    <row r="1177" spans="1:1" x14ac:dyDescent="0.2">
      <c r="A1177" s="405"/>
    </row>
    <row r="1178" spans="1:1" x14ac:dyDescent="0.2">
      <c r="A1178" s="405"/>
    </row>
    <row r="1179" spans="1:1" x14ac:dyDescent="0.2">
      <c r="A1179" s="405"/>
    </row>
    <row r="1180" spans="1:1" x14ac:dyDescent="0.2">
      <c r="A1180" s="405"/>
    </row>
    <row r="1181" spans="1:1" x14ac:dyDescent="0.2">
      <c r="A1181" s="405"/>
    </row>
    <row r="1182" spans="1:1" x14ac:dyDescent="0.2">
      <c r="A1182" s="405"/>
    </row>
    <row r="1183" spans="1:1" x14ac:dyDescent="0.2">
      <c r="A1183" s="405"/>
    </row>
    <row r="1184" spans="1:1" x14ac:dyDescent="0.2">
      <c r="A1184" s="405"/>
    </row>
    <row r="1185" spans="1:1" x14ac:dyDescent="0.2">
      <c r="A1185" s="405"/>
    </row>
    <row r="1186" spans="1:1" x14ac:dyDescent="0.2">
      <c r="A1186" s="405"/>
    </row>
    <row r="1187" spans="1:1" x14ac:dyDescent="0.2">
      <c r="A1187" s="405"/>
    </row>
    <row r="1188" spans="1:1" x14ac:dyDescent="0.2">
      <c r="A1188" s="405"/>
    </row>
    <row r="1189" spans="1:1" x14ac:dyDescent="0.2">
      <c r="A1189" s="405"/>
    </row>
    <row r="1190" spans="1:1" x14ac:dyDescent="0.2">
      <c r="A1190" s="405"/>
    </row>
    <row r="1191" spans="1:1" x14ac:dyDescent="0.2">
      <c r="A1191" s="405"/>
    </row>
    <row r="1192" spans="1:1" x14ac:dyDescent="0.2">
      <c r="A1192" s="405"/>
    </row>
    <row r="1193" spans="1:1" x14ac:dyDescent="0.2">
      <c r="A1193" s="405"/>
    </row>
    <row r="1194" spans="1:1" x14ac:dyDescent="0.2">
      <c r="A1194" s="405"/>
    </row>
    <row r="1195" spans="1:1" x14ac:dyDescent="0.2">
      <c r="A1195" s="405"/>
    </row>
    <row r="1196" spans="1:1" x14ac:dyDescent="0.2">
      <c r="A1196" s="405"/>
    </row>
    <row r="1197" spans="1:1" x14ac:dyDescent="0.2">
      <c r="A1197" s="405"/>
    </row>
    <row r="1198" spans="1:1" x14ac:dyDescent="0.2">
      <c r="A1198" s="405"/>
    </row>
    <row r="1199" spans="1:1" x14ac:dyDescent="0.2">
      <c r="A1199" s="405"/>
    </row>
    <row r="1200" spans="1:1" x14ac:dyDescent="0.2">
      <c r="A1200" s="405"/>
    </row>
    <row r="1201" spans="1:1" x14ac:dyDescent="0.2">
      <c r="A1201" s="405"/>
    </row>
    <row r="1202" spans="1:1" x14ac:dyDescent="0.2">
      <c r="A1202" s="405"/>
    </row>
    <row r="1203" spans="1:1" x14ac:dyDescent="0.2">
      <c r="A1203" s="405"/>
    </row>
    <row r="1204" spans="1:1" x14ac:dyDescent="0.2">
      <c r="A1204" s="405"/>
    </row>
    <row r="1205" spans="1:1" x14ac:dyDescent="0.2">
      <c r="A1205" s="405"/>
    </row>
    <row r="1206" spans="1:1" x14ac:dyDescent="0.2">
      <c r="A1206" s="405"/>
    </row>
    <row r="1207" spans="1:1" x14ac:dyDescent="0.2">
      <c r="A1207" s="405"/>
    </row>
    <row r="1208" spans="1:1" x14ac:dyDescent="0.2">
      <c r="A1208" s="405"/>
    </row>
    <row r="1209" spans="1:1" x14ac:dyDescent="0.2">
      <c r="A1209" s="405"/>
    </row>
    <row r="1210" spans="1:1" x14ac:dyDescent="0.2">
      <c r="A1210" s="405"/>
    </row>
    <row r="1211" spans="1:1" x14ac:dyDescent="0.2">
      <c r="A1211" s="405"/>
    </row>
    <row r="1212" spans="1:1" x14ac:dyDescent="0.2">
      <c r="A1212" s="405"/>
    </row>
    <row r="1213" spans="1:1" x14ac:dyDescent="0.2">
      <c r="A1213" s="405"/>
    </row>
    <row r="1214" spans="1:1" x14ac:dyDescent="0.2">
      <c r="A1214" s="405"/>
    </row>
    <row r="1215" spans="1:1" x14ac:dyDescent="0.2">
      <c r="A1215" s="405"/>
    </row>
    <row r="1216" spans="1:1" x14ac:dyDescent="0.2">
      <c r="A1216" s="405"/>
    </row>
    <row r="1217" spans="1:1" x14ac:dyDescent="0.2">
      <c r="A1217" s="405"/>
    </row>
    <row r="1218" spans="1:1" x14ac:dyDescent="0.2">
      <c r="A1218" s="405"/>
    </row>
    <row r="1219" spans="1:1" x14ac:dyDescent="0.2">
      <c r="A1219" s="405"/>
    </row>
    <row r="1220" spans="1:1" x14ac:dyDescent="0.2">
      <c r="A1220" s="405"/>
    </row>
    <row r="1221" spans="1:1" x14ac:dyDescent="0.2">
      <c r="A1221" s="405"/>
    </row>
    <row r="1222" spans="1:1" x14ac:dyDescent="0.2">
      <c r="A1222" s="405"/>
    </row>
    <row r="1223" spans="1:1" x14ac:dyDescent="0.2">
      <c r="A1223" s="405"/>
    </row>
    <row r="1224" spans="1:1" x14ac:dyDescent="0.2">
      <c r="A1224" s="405"/>
    </row>
    <row r="1225" spans="1:1" x14ac:dyDescent="0.2">
      <c r="A1225" s="405"/>
    </row>
    <row r="1226" spans="1:1" x14ac:dyDescent="0.2">
      <c r="A1226" s="405"/>
    </row>
    <row r="1227" spans="1:1" x14ac:dyDescent="0.2">
      <c r="A1227" s="405"/>
    </row>
    <row r="1228" spans="1:1" x14ac:dyDescent="0.2">
      <c r="A1228" s="405"/>
    </row>
    <row r="1229" spans="1:1" x14ac:dyDescent="0.2">
      <c r="A1229" s="405"/>
    </row>
    <row r="1230" spans="1:1" x14ac:dyDescent="0.2">
      <c r="A1230" s="405"/>
    </row>
    <row r="1231" spans="1:1" x14ac:dyDescent="0.2">
      <c r="A1231" s="405"/>
    </row>
    <row r="1232" spans="1:1" x14ac:dyDescent="0.2">
      <c r="A1232" s="405"/>
    </row>
    <row r="1233" spans="1:1" x14ac:dyDescent="0.2">
      <c r="A1233" s="405"/>
    </row>
    <row r="1234" spans="1:1" x14ac:dyDescent="0.2">
      <c r="A1234" s="405"/>
    </row>
    <row r="1235" spans="1:1" x14ac:dyDescent="0.2">
      <c r="A1235" s="405"/>
    </row>
    <row r="1236" spans="1:1" x14ac:dyDescent="0.2">
      <c r="A1236" s="405"/>
    </row>
    <row r="1237" spans="1:1" x14ac:dyDescent="0.2">
      <c r="A1237" s="405"/>
    </row>
    <row r="1238" spans="1:1" x14ac:dyDescent="0.2">
      <c r="A1238" s="405"/>
    </row>
    <row r="1239" spans="1:1" x14ac:dyDescent="0.2">
      <c r="A1239" s="405"/>
    </row>
    <row r="1240" spans="1:1" x14ac:dyDescent="0.2">
      <c r="A1240" s="405"/>
    </row>
    <row r="1241" spans="1:1" x14ac:dyDescent="0.2">
      <c r="A1241" s="405"/>
    </row>
    <row r="1242" spans="1:1" x14ac:dyDescent="0.2">
      <c r="A1242" s="405"/>
    </row>
    <row r="1243" spans="1:1" x14ac:dyDescent="0.2">
      <c r="A1243" s="405"/>
    </row>
    <row r="1244" spans="1:1" x14ac:dyDescent="0.2">
      <c r="A1244" s="405"/>
    </row>
    <row r="1245" spans="1:1" x14ac:dyDescent="0.2">
      <c r="A1245" s="405"/>
    </row>
    <row r="1246" spans="1:1" x14ac:dyDescent="0.2">
      <c r="A1246" s="405"/>
    </row>
    <row r="1247" spans="1:1" x14ac:dyDescent="0.2">
      <c r="A1247" s="405"/>
    </row>
    <row r="1248" spans="1:1" x14ac:dyDescent="0.2">
      <c r="A1248" s="405"/>
    </row>
    <row r="1249" spans="1:1" x14ac:dyDescent="0.2">
      <c r="A1249" s="405"/>
    </row>
    <row r="1250" spans="1:1" x14ac:dyDescent="0.2">
      <c r="A1250" s="405"/>
    </row>
    <row r="1251" spans="1:1" x14ac:dyDescent="0.2">
      <c r="A1251" s="405"/>
    </row>
    <row r="1252" spans="1:1" x14ac:dyDescent="0.2">
      <c r="A1252" s="405"/>
    </row>
    <row r="1253" spans="1:1" x14ac:dyDescent="0.2">
      <c r="A1253" s="405"/>
    </row>
    <row r="1254" spans="1:1" x14ac:dyDescent="0.2">
      <c r="A1254" s="405"/>
    </row>
    <row r="1255" spans="1:1" x14ac:dyDescent="0.2">
      <c r="A1255" s="405"/>
    </row>
    <row r="1256" spans="1:1" x14ac:dyDescent="0.2">
      <c r="A1256" s="405"/>
    </row>
    <row r="1257" spans="1:1" x14ac:dyDescent="0.2">
      <c r="A1257" s="405"/>
    </row>
    <row r="1258" spans="1:1" x14ac:dyDescent="0.2">
      <c r="A1258" s="405"/>
    </row>
    <row r="1259" spans="1:1" x14ac:dyDescent="0.2">
      <c r="A1259" s="405"/>
    </row>
    <row r="1260" spans="1:1" x14ac:dyDescent="0.2">
      <c r="A1260" s="405"/>
    </row>
    <row r="1261" spans="1:1" x14ac:dyDescent="0.2">
      <c r="A1261" s="405"/>
    </row>
    <row r="1262" spans="1:1" x14ac:dyDescent="0.2">
      <c r="A1262" s="405"/>
    </row>
    <row r="1263" spans="1:1" x14ac:dyDescent="0.2">
      <c r="A1263" s="405"/>
    </row>
    <row r="1264" spans="1:1" x14ac:dyDescent="0.2">
      <c r="A1264" s="405"/>
    </row>
    <row r="1265" spans="1:1" x14ac:dyDescent="0.2">
      <c r="A1265" s="405"/>
    </row>
    <row r="1266" spans="1:1" x14ac:dyDescent="0.2">
      <c r="A1266" s="405"/>
    </row>
    <row r="1267" spans="1:1" x14ac:dyDescent="0.2">
      <c r="A1267" s="405"/>
    </row>
    <row r="1268" spans="1:1" x14ac:dyDescent="0.2">
      <c r="A1268" s="405"/>
    </row>
    <row r="1269" spans="1:1" x14ac:dyDescent="0.2">
      <c r="A1269" s="405"/>
    </row>
    <row r="1270" spans="1:1" x14ac:dyDescent="0.2">
      <c r="A1270" s="405"/>
    </row>
    <row r="1271" spans="1:1" x14ac:dyDescent="0.2">
      <c r="A1271" s="405"/>
    </row>
    <row r="1272" spans="1:1" x14ac:dyDescent="0.2">
      <c r="A1272" s="405"/>
    </row>
    <row r="1273" spans="1:1" x14ac:dyDescent="0.2">
      <c r="A1273" s="405"/>
    </row>
    <row r="1274" spans="1:1" x14ac:dyDescent="0.2">
      <c r="A1274" s="405"/>
    </row>
    <row r="1275" spans="1:1" x14ac:dyDescent="0.2">
      <c r="A1275" s="405"/>
    </row>
    <row r="1276" spans="1:1" x14ac:dyDescent="0.2">
      <c r="A1276" s="405"/>
    </row>
    <row r="1277" spans="1:1" x14ac:dyDescent="0.2">
      <c r="A1277" s="405"/>
    </row>
    <row r="1278" spans="1:1" x14ac:dyDescent="0.2">
      <c r="A1278" s="405"/>
    </row>
    <row r="1279" spans="1:1" x14ac:dyDescent="0.2">
      <c r="A1279" s="405"/>
    </row>
    <row r="1280" spans="1:1" x14ac:dyDescent="0.2">
      <c r="A1280" s="405"/>
    </row>
    <row r="1281" spans="1:1" x14ac:dyDescent="0.2">
      <c r="A1281" s="405"/>
    </row>
    <row r="1282" spans="1:1" x14ac:dyDescent="0.2">
      <c r="A1282" s="405"/>
    </row>
    <row r="1283" spans="1:1" x14ac:dyDescent="0.2">
      <c r="A1283" s="405"/>
    </row>
    <row r="1284" spans="1:1" x14ac:dyDescent="0.2">
      <c r="A1284" s="405"/>
    </row>
    <row r="1285" spans="1:1" x14ac:dyDescent="0.2">
      <c r="A1285" s="405"/>
    </row>
    <row r="1286" spans="1:1" x14ac:dyDescent="0.2">
      <c r="A1286" s="405"/>
    </row>
    <row r="1287" spans="1:1" x14ac:dyDescent="0.2">
      <c r="A1287" s="405"/>
    </row>
    <row r="1288" spans="1:1" x14ac:dyDescent="0.2">
      <c r="A1288" s="405"/>
    </row>
    <row r="1289" spans="1:1" x14ac:dyDescent="0.2">
      <c r="A1289" s="405"/>
    </row>
    <row r="1290" spans="1:1" x14ac:dyDescent="0.2">
      <c r="A1290" s="405"/>
    </row>
    <row r="1291" spans="1:1" x14ac:dyDescent="0.2">
      <c r="A1291" s="405"/>
    </row>
    <row r="1292" spans="1:1" x14ac:dyDescent="0.2">
      <c r="A1292" s="405"/>
    </row>
    <row r="1293" spans="1:1" x14ac:dyDescent="0.2">
      <c r="A1293" s="405"/>
    </row>
    <row r="1294" spans="1:1" x14ac:dyDescent="0.2">
      <c r="A1294" s="405"/>
    </row>
    <row r="1295" spans="1:1" x14ac:dyDescent="0.2">
      <c r="A1295" s="405"/>
    </row>
    <row r="1296" spans="1:1" x14ac:dyDescent="0.2">
      <c r="A1296" s="405"/>
    </row>
    <row r="1297" spans="1:9" x14ac:dyDescent="0.2">
      <c r="A1297" s="405"/>
    </row>
    <row r="1298" spans="1:9" x14ac:dyDescent="0.2">
      <c r="A1298" s="405"/>
    </row>
    <row r="1299" spans="1:9" x14ac:dyDescent="0.2">
      <c r="A1299" s="405"/>
    </row>
    <row r="1300" spans="1:9" x14ac:dyDescent="0.2">
      <c r="A1300" s="405"/>
    </row>
    <row r="1301" spans="1:9" x14ac:dyDescent="0.2">
      <c r="A1301" s="405"/>
    </row>
    <row r="1302" spans="1:9" x14ac:dyDescent="0.2">
      <c r="A1302" s="405"/>
      <c r="H1302" s="19"/>
      <c r="I1302" s="19"/>
    </row>
    <row r="1303" spans="1:9" x14ac:dyDescent="0.2">
      <c r="A1303" s="405"/>
      <c r="H1303" s="19"/>
      <c r="I1303" s="19"/>
    </row>
    <row r="1304" spans="1:9" x14ac:dyDescent="0.2">
      <c r="A1304" s="405"/>
    </row>
    <row r="1305" spans="1:9" x14ac:dyDescent="0.2">
      <c r="A1305" s="405"/>
      <c r="H1305" s="19"/>
      <c r="I1305" s="19"/>
    </row>
    <row r="1306" spans="1:9" x14ac:dyDescent="0.2">
      <c r="A1306" s="405"/>
    </row>
    <row r="1307" spans="1:9" x14ac:dyDescent="0.2">
      <c r="A1307" s="405"/>
    </row>
    <row r="1308" spans="1:9" x14ac:dyDescent="0.2">
      <c r="A1308" s="405"/>
    </row>
    <row r="1309" spans="1:9" x14ac:dyDescent="0.2">
      <c r="A1309" s="405"/>
    </row>
    <row r="1310" spans="1:9" x14ac:dyDescent="0.2">
      <c r="A1310" s="405"/>
      <c r="H1310" s="19"/>
      <c r="I1310" s="19"/>
    </row>
    <row r="1311" spans="1:9" x14ac:dyDescent="0.2">
      <c r="A1311" s="405"/>
      <c r="H1311" s="19"/>
      <c r="I1311" s="19"/>
    </row>
    <row r="1312" spans="1:9" x14ac:dyDescent="0.2">
      <c r="A1312" s="405"/>
    </row>
    <row r="1313" spans="1:9" x14ac:dyDescent="0.2">
      <c r="A1313" s="405"/>
      <c r="H1313" s="19"/>
      <c r="I1313" s="19"/>
    </row>
    <row r="1314" spans="1:9" x14ac:dyDescent="0.2">
      <c r="A1314" s="405"/>
    </row>
    <row r="1315" spans="1:9" x14ac:dyDescent="0.2">
      <c r="A1315" s="405"/>
    </row>
    <row r="1316" spans="1:9" x14ac:dyDescent="0.2">
      <c r="A1316" s="405"/>
    </row>
    <row r="1317" spans="1:9" x14ac:dyDescent="0.2">
      <c r="A1317" s="405"/>
    </row>
    <row r="1318" spans="1:9" x14ac:dyDescent="0.2">
      <c r="A1318" s="405"/>
    </row>
    <row r="1319" spans="1:9" x14ac:dyDescent="0.2">
      <c r="A1319" s="405"/>
    </row>
    <row r="1320" spans="1:9" x14ac:dyDescent="0.2">
      <c r="A1320" s="405"/>
    </row>
    <row r="1321" spans="1:9" x14ac:dyDescent="0.2">
      <c r="A1321" s="405"/>
    </row>
    <row r="1322" spans="1:9" x14ac:dyDescent="0.2">
      <c r="A1322" s="405"/>
    </row>
    <row r="1323" spans="1:9" x14ac:dyDescent="0.2">
      <c r="A1323" s="405"/>
    </row>
    <row r="1324" spans="1:9" x14ac:dyDescent="0.2">
      <c r="A1324" s="405"/>
    </row>
    <row r="1325" spans="1:9" x14ac:dyDescent="0.2">
      <c r="A1325" s="405"/>
    </row>
    <row r="1326" spans="1:9" x14ac:dyDescent="0.2">
      <c r="A1326" s="405"/>
    </row>
    <row r="1327" spans="1:9" x14ac:dyDescent="0.2">
      <c r="A1327" s="405"/>
    </row>
    <row r="1328" spans="1:9" x14ac:dyDescent="0.2">
      <c r="A1328" s="405"/>
    </row>
    <row r="1329" spans="1:1" x14ac:dyDescent="0.2">
      <c r="A1329" s="405"/>
    </row>
    <row r="1330" spans="1:1" x14ac:dyDescent="0.2">
      <c r="A1330" s="405"/>
    </row>
    <row r="1331" spans="1:1" x14ac:dyDescent="0.2">
      <c r="A1331" s="405"/>
    </row>
    <row r="1332" spans="1:1" x14ac:dyDescent="0.2">
      <c r="A1332" s="405"/>
    </row>
    <row r="1333" spans="1:1" x14ac:dyDescent="0.2">
      <c r="A1333" s="405"/>
    </row>
    <row r="1334" spans="1:1" x14ac:dyDescent="0.2">
      <c r="A1334" s="405"/>
    </row>
    <row r="1335" spans="1:1" x14ac:dyDescent="0.2">
      <c r="A1335" s="405"/>
    </row>
    <row r="1336" spans="1:1" x14ac:dyDescent="0.2">
      <c r="A1336" s="405"/>
    </row>
    <row r="1337" spans="1:1" x14ac:dyDescent="0.2">
      <c r="A1337" s="405"/>
    </row>
    <row r="1338" spans="1:1" x14ac:dyDescent="0.2">
      <c r="A1338" s="405"/>
    </row>
    <row r="1339" spans="1:1" x14ac:dyDescent="0.2">
      <c r="A1339" s="405"/>
    </row>
    <row r="1340" spans="1:1" x14ac:dyDescent="0.2">
      <c r="A1340" s="405"/>
    </row>
    <row r="1341" spans="1:1" x14ac:dyDescent="0.2">
      <c r="A1341" s="405"/>
    </row>
    <row r="1342" spans="1:1" x14ac:dyDescent="0.2">
      <c r="A1342" s="405"/>
    </row>
    <row r="1343" spans="1:1" x14ac:dyDescent="0.2">
      <c r="A1343" s="405"/>
    </row>
    <row r="1344" spans="1:1" x14ac:dyDescent="0.2">
      <c r="A1344" s="405"/>
    </row>
    <row r="1345" spans="1:8" x14ac:dyDescent="0.2">
      <c r="A1345" s="405"/>
    </row>
    <row r="1346" spans="1:8" x14ac:dyDescent="0.2">
      <c r="A1346" s="405"/>
    </row>
    <row r="1347" spans="1:8" x14ac:dyDescent="0.2">
      <c r="A1347" s="405"/>
    </row>
    <row r="1348" spans="1:8" x14ac:dyDescent="0.2">
      <c r="A1348" s="405"/>
    </row>
    <row r="1349" spans="1:8" x14ac:dyDescent="0.2">
      <c r="A1349" s="405"/>
    </row>
    <row r="1350" spans="1:8" x14ac:dyDescent="0.2">
      <c r="A1350" s="405"/>
    </row>
    <row r="1351" spans="1:8" x14ac:dyDescent="0.2">
      <c r="A1351" s="405"/>
    </row>
    <row r="1352" spans="1:8" x14ac:dyDescent="0.2">
      <c r="A1352" s="405"/>
    </row>
    <row r="1353" spans="1:8" x14ac:dyDescent="0.2">
      <c r="A1353" s="405"/>
    </row>
    <row r="1354" spans="1:8" x14ac:dyDescent="0.2">
      <c r="A1354" s="405"/>
    </row>
    <row r="1355" spans="1:8" x14ac:dyDescent="0.2">
      <c r="A1355" s="405"/>
    </row>
    <row r="1356" spans="1:8" x14ac:dyDescent="0.2">
      <c r="A1356" s="405"/>
    </row>
    <row r="1357" spans="1:8" x14ac:dyDescent="0.2">
      <c r="A1357" s="405"/>
      <c r="H1357" s="19"/>
    </row>
    <row r="1358" spans="1:8" x14ac:dyDescent="0.2">
      <c r="A1358" s="405"/>
    </row>
    <row r="1359" spans="1:8" x14ac:dyDescent="0.2">
      <c r="A1359" s="405"/>
    </row>
    <row r="1360" spans="1:8" x14ac:dyDescent="0.2">
      <c r="A1360" s="405"/>
    </row>
    <row r="1361" spans="1:9" x14ac:dyDescent="0.2">
      <c r="A1361" s="405"/>
    </row>
    <row r="1362" spans="1:9" x14ac:dyDescent="0.2">
      <c r="A1362" s="405"/>
      <c r="H1362" s="19"/>
      <c r="I1362" s="19"/>
    </row>
    <row r="1363" spans="1:9" x14ac:dyDescent="0.2">
      <c r="A1363" s="405"/>
    </row>
    <row r="1364" spans="1:9" x14ac:dyDescent="0.2">
      <c r="A1364" s="405"/>
    </row>
    <row r="1365" spans="1:9" x14ac:dyDescent="0.2">
      <c r="A1365" s="405"/>
      <c r="H1365" s="19"/>
    </row>
    <row r="1366" spans="1:9" x14ac:dyDescent="0.2">
      <c r="A1366" s="405"/>
    </row>
    <row r="1367" spans="1:9" x14ac:dyDescent="0.2">
      <c r="A1367" s="405"/>
      <c r="H1367" s="19"/>
      <c r="I1367" s="19"/>
    </row>
    <row r="1368" spans="1:9" x14ac:dyDescent="0.2">
      <c r="A1368" s="405"/>
      <c r="H1368" s="19"/>
    </row>
    <row r="1369" spans="1:9" x14ac:dyDescent="0.2">
      <c r="A1369" s="405"/>
      <c r="H1369" s="19"/>
      <c r="I1369" s="19"/>
    </row>
    <row r="1370" spans="1:9" x14ac:dyDescent="0.2">
      <c r="A1370" s="405"/>
      <c r="H1370" s="19"/>
      <c r="I1370" s="19"/>
    </row>
    <row r="1371" spans="1:9" x14ac:dyDescent="0.2">
      <c r="A1371" s="405"/>
      <c r="H1371" s="19"/>
      <c r="I1371" s="19"/>
    </row>
    <row r="1372" spans="1:9" x14ac:dyDescent="0.2">
      <c r="A1372" s="405"/>
      <c r="H1372" s="19"/>
      <c r="I1372" s="19"/>
    </row>
    <row r="1373" spans="1:9" x14ac:dyDescent="0.2">
      <c r="A1373" s="405"/>
      <c r="H1373" s="19"/>
      <c r="I1373" s="19"/>
    </row>
    <row r="1374" spans="1:9" x14ac:dyDescent="0.2">
      <c r="A1374" s="405"/>
    </row>
    <row r="1375" spans="1:9" x14ac:dyDescent="0.2">
      <c r="A1375" s="405"/>
      <c r="H1375" s="19"/>
      <c r="I1375" s="19"/>
    </row>
    <row r="1376" spans="1:9" x14ac:dyDescent="0.2">
      <c r="A1376" s="405"/>
      <c r="H1376" s="19"/>
    </row>
    <row r="1377" spans="1:9" x14ac:dyDescent="0.2">
      <c r="A1377" s="405"/>
      <c r="H1377" s="19"/>
      <c r="I1377" s="19"/>
    </row>
    <row r="1378" spans="1:9" x14ac:dyDescent="0.2">
      <c r="A1378" s="405"/>
      <c r="H1378" s="19"/>
      <c r="I1378" s="19"/>
    </row>
    <row r="1379" spans="1:9" x14ac:dyDescent="0.2">
      <c r="A1379" s="405"/>
      <c r="H1379" s="19"/>
      <c r="I1379" s="19"/>
    </row>
    <row r="1380" spans="1:9" x14ac:dyDescent="0.2">
      <c r="A1380" s="405"/>
      <c r="H1380" s="19"/>
      <c r="I1380" s="19"/>
    </row>
    <row r="1381" spans="1:9" x14ac:dyDescent="0.2">
      <c r="A1381" s="405"/>
      <c r="H1381" s="19"/>
      <c r="I1381" s="19"/>
    </row>
    <row r="1382" spans="1:9" x14ac:dyDescent="0.2">
      <c r="A1382" s="405"/>
    </row>
    <row r="1383" spans="1:9" x14ac:dyDescent="0.2">
      <c r="A1383" s="405"/>
    </row>
    <row r="1384" spans="1:9" x14ac:dyDescent="0.2">
      <c r="A1384" s="405"/>
    </row>
    <row r="1385" spans="1:9" x14ac:dyDescent="0.2">
      <c r="A1385" s="405"/>
    </row>
    <row r="1386" spans="1:9" x14ac:dyDescent="0.2">
      <c r="A1386" s="405"/>
    </row>
    <row r="1387" spans="1:9" x14ac:dyDescent="0.2">
      <c r="A1387" s="405"/>
      <c r="H1387" s="19"/>
      <c r="I1387" s="19"/>
    </row>
    <row r="1388" spans="1:9" x14ac:dyDescent="0.2">
      <c r="A1388" s="405"/>
    </row>
    <row r="1389" spans="1:9" x14ac:dyDescent="0.2">
      <c r="A1389" s="405"/>
    </row>
    <row r="1390" spans="1:9" x14ac:dyDescent="0.2">
      <c r="A1390" s="405"/>
    </row>
    <row r="1391" spans="1:9" x14ac:dyDescent="0.2">
      <c r="A1391" s="405"/>
      <c r="H1391" s="19"/>
      <c r="I1391" s="19"/>
    </row>
    <row r="1392" spans="1:9" x14ac:dyDescent="0.2">
      <c r="A1392" s="405"/>
    </row>
    <row r="1393" spans="1:9" x14ac:dyDescent="0.2">
      <c r="A1393" s="405"/>
    </row>
    <row r="1394" spans="1:9" x14ac:dyDescent="0.2">
      <c r="A1394" s="405"/>
      <c r="H1394" s="19"/>
      <c r="I1394" s="19"/>
    </row>
    <row r="1395" spans="1:9" x14ac:dyDescent="0.2">
      <c r="A1395" s="405"/>
      <c r="H1395" s="19"/>
      <c r="I1395" s="19"/>
    </row>
    <row r="1396" spans="1:9" x14ac:dyDescent="0.2">
      <c r="A1396" s="405"/>
    </row>
    <row r="1397" spans="1:9" x14ac:dyDescent="0.2">
      <c r="A1397" s="405"/>
      <c r="H1397" s="19"/>
      <c r="I1397" s="19"/>
    </row>
    <row r="1398" spans="1:9" x14ac:dyDescent="0.2">
      <c r="A1398" s="405"/>
    </row>
    <row r="1399" spans="1:9" x14ac:dyDescent="0.2">
      <c r="A1399" s="405"/>
      <c r="H1399" s="19"/>
      <c r="I1399" s="19"/>
    </row>
    <row r="1400" spans="1:9" x14ac:dyDescent="0.2">
      <c r="A1400" s="405"/>
      <c r="H1400" s="19"/>
      <c r="I1400" s="19"/>
    </row>
    <row r="1401" spans="1:9" x14ac:dyDescent="0.2">
      <c r="A1401" s="405"/>
    </row>
    <row r="1402" spans="1:9" x14ac:dyDescent="0.2">
      <c r="A1402" s="405"/>
      <c r="H1402" s="19"/>
      <c r="I1402" s="19"/>
    </row>
    <row r="1403" spans="1:9" x14ac:dyDescent="0.2">
      <c r="A1403" s="405"/>
    </row>
    <row r="1404" spans="1:9" x14ac:dyDescent="0.2">
      <c r="A1404" s="405"/>
      <c r="H1404" s="19"/>
      <c r="I1404" s="19"/>
    </row>
    <row r="1405" spans="1:9" x14ac:dyDescent="0.2">
      <c r="A1405" s="405"/>
      <c r="H1405" s="19"/>
      <c r="I1405" s="19"/>
    </row>
    <row r="1406" spans="1:9" x14ac:dyDescent="0.2">
      <c r="A1406" s="405"/>
      <c r="H1406" s="19"/>
      <c r="I1406" s="19"/>
    </row>
    <row r="1407" spans="1:9" x14ac:dyDescent="0.2">
      <c r="A1407" s="405"/>
      <c r="H1407" s="19"/>
      <c r="I1407" s="19"/>
    </row>
    <row r="1408" spans="1:9" x14ac:dyDescent="0.2">
      <c r="A1408" s="405"/>
      <c r="H1408" s="19"/>
      <c r="I1408" s="19"/>
    </row>
    <row r="1409" spans="1:9" x14ac:dyDescent="0.2">
      <c r="A1409" s="405"/>
      <c r="H1409" s="19"/>
      <c r="I1409" s="19"/>
    </row>
    <row r="1410" spans="1:9" x14ac:dyDescent="0.2">
      <c r="A1410" s="405"/>
      <c r="H1410" s="19"/>
      <c r="I1410" s="19"/>
    </row>
    <row r="1411" spans="1:9" x14ac:dyDescent="0.2">
      <c r="A1411" s="405"/>
    </row>
    <row r="1412" spans="1:9" x14ac:dyDescent="0.2">
      <c r="A1412" s="405"/>
      <c r="H1412" s="19"/>
      <c r="I1412" s="19"/>
    </row>
    <row r="1413" spans="1:9" x14ac:dyDescent="0.2">
      <c r="A1413" s="405"/>
      <c r="H1413" s="19"/>
      <c r="I1413" s="19"/>
    </row>
    <row r="1414" spans="1:9" x14ac:dyDescent="0.2">
      <c r="A1414" s="405"/>
      <c r="H1414" s="19"/>
      <c r="I1414" s="19"/>
    </row>
    <row r="1415" spans="1:9" x14ac:dyDescent="0.2">
      <c r="A1415" s="405"/>
      <c r="H1415" s="19"/>
      <c r="I1415" s="19"/>
    </row>
    <row r="1416" spans="1:9" x14ac:dyDescent="0.2">
      <c r="A1416" s="405"/>
      <c r="H1416" s="19"/>
      <c r="I1416" s="19"/>
    </row>
    <row r="1417" spans="1:9" x14ac:dyDescent="0.2">
      <c r="A1417" s="405"/>
      <c r="H1417" s="19"/>
      <c r="I1417" s="19"/>
    </row>
    <row r="1418" spans="1:9" x14ac:dyDescent="0.2">
      <c r="A1418" s="405"/>
      <c r="H1418" s="19"/>
      <c r="I1418" s="19"/>
    </row>
    <row r="1419" spans="1:9" x14ac:dyDescent="0.2">
      <c r="A1419" s="405"/>
      <c r="H1419" s="19"/>
      <c r="I1419" s="19"/>
    </row>
    <row r="1420" spans="1:9" x14ac:dyDescent="0.2">
      <c r="A1420" s="405"/>
      <c r="H1420" s="19"/>
      <c r="I1420" s="19"/>
    </row>
    <row r="1421" spans="1:9" x14ac:dyDescent="0.2">
      <c r="A1421" s="405"/>
      <c r="H1421" s="19"/>
      <c r="I1421" s="19"/>
    </row>
    <row r="1422" spans="1:9" x14ac:dyDescent="0.2">
      <c r="A1422" s="405"/>
      <c r="H1422" s="19"/>
      <c r="I1422" s="19"/>
    </row>
    <row r="1423" spans="1:9" x14ac:dyDescent="0.2">
      <c r="A1423" s="405"/>
    </row>
    <row r="1424" spans="1:9" x14ac:dyDescent="0.2">
      <c r="A1424" s="405"/>
      <c r="H1424" s="19"/>
      <c r="I1424" s="19"/>
    </row>
    <row r="1425" spans="1:9" x14ac:dyDescent="0.2">
      <c r="A1425" s="405"/>
      <c r="H1425" s="19"/>
      <c r="I1425" s="19"/>
    </row>
    <row r="1426" spans="1:9" x14ac:dyDescent="0.2">
      <c r="A1426" s="405"/>
      <c r="H1426" s="19"/>
      <c r="I1426" s="19"/>
    </row>
    <row r="1427" spans="1:9" x14ac:dyDescent="0.2">
      <c r="A1427" s="405"/>
      <c r="H1427" s="19"/>
      <c r="I1427" s="19"/>
    </row>
    <row r="1428" spans="1:9" x14ac:dyDescent="0.2">
      <c r="A1428" s="405"/>
      <c r="H1428" s="19"/>
      <c r="I1428" s="19"/>
    </row>
    <row r="1429" spans="1:9" x14ac:dyDescent="0.2">
      <c r="A1429" s="405"/>
      <c r="H1429" s="19"/>
      <c r="I1429" s="19"/>
    </row>
    <row r="1430" spans="1:9" x14ac:dyDescent="0.2">
      <c r="A1430" s="405"/>
      <c r="H1430" s="19"/>
      <c r="I1430" s="19"/>
    </row>
    <row r="1431" spans="1:9" x14ac:dyDescent="0.2">
      <c r="A1431" s="405"/>
      <c r="H1431" s="19"/>
      <c r="I1431" s="19"/>
    </row>
    <row r="1432" spans="1:9" x14ac:dyDescent="0.2">
      <c r="A1432" s="405"/>
      <c r="H1432" s="19"/>
      <c r="I1432" s="19"/>
    </row>
    <row r="1433" spans="1:9" x14ac:dyDescent="0.2">
      <c r="A1433" s="405"/>
      <c r="H1433" s="19"/>
      <c r="I1433" s="19"/>
    </row>
    <row r="1434" spans="1:9" x14ac:dyDescent="0.2">
      <c r="A1434" s="405"/>
      <c r="H1434" s="19"/>
    </row>
    <row r="1435" spans="1:9" x14ac:dyDescent="0.2">
      <c r="A1435" s="405"/>
      <c r="H1435" s="19"/>
    </row>
    <row r="1436" spans="1:9" x14ac:dyDescent="0.2">
      <c r="A1436" s="405"/>
      <c r="H1436" s="19"/>
    </row>
    <row r="1437" spans="1:9" x14ac:dyDescent="0.2">
      <c r="A1437" s="405"/>
    </row>
    <row r="1438" spans="1:9" x14ac:dyDescent="0.2">
      <c r="A1438" s="405"/>
      <c r="H1438" s="19"/>
      <c r="I1438" s="19"/>
    </row>
    <row r="1439" spans="1:9" x14ac:dyDescent="0.2">
      <c r="A1439" s="405"/>
      <c r="H1439" s="19"/>
      <c r="I1439" s="19"/>
    </row>
    <row r="1440" spans="1:9" x14ac:dyDescent="0.2">
      <c r="A1440" s="405"/>
      <c r="H1440" s="19"/>
      <c r="I1440" s="19"/>
    </row>
    <row r="1441" spans="1:9" x14ac:dyDescent="0.2">
      <c r="A1441" s="405"/>
      <c r="H1441" s="19"/>
    </row>
    <row r="1442" spans="1:9" x14ac:dyDescent="0.2">
      <c r="A1442" s="405"/>
      <c r="H1442" s="19"/>
      <c r="I1442" s="19"/>
    </row>
    <row r="1443" spans="1:9" x14ac:dyDescent="0.2">
      <c r="A1443" s="405"/>
      <c r="H1443" s="19"/>
    </row>
    <row r="1444" spans="1:9" x14ac:dyDescent="0.2">
      <c r="A1444" s="405"/>
      <c r="H1444" s="19"/>
    </row>
    <row r="1445" spans="1:9" x14ac:dyDescent="0.2">
      <c r="A1445" s="405"/>
    </row>
    <row r="1446" spans="1:9" x14ac:dyDescent="0.2">
      <c r="A1446" s="405"/>
      <c r="H1446" s="19"/>
      <c r="I1446" s="19"/>
    </row>
    <row r="1447" spans="1:9" x14ac:dyDescent="0.2">
      <c r="A1447" s="405"/>
      <c r="H1447" s="19"/>
      <c r="I1447" s="19"/>
    </row>
    <row r="1448" spans="1:9" x14ac:dyDescent="0.2">
      <c r="A1448" s="405"/>
    </row>
    <row r="1449" spans="1:9" x14ac:dyDescent="0.2">
      <c r="A1449" s="405"/>
    </row>
    <row r="1450" spans="1:9" x14ac:dyDescent="0.2">
      <c r="A1450" s="405"/>
      <c r="H1450" s="19"/>
      <c r="I1450" s="19"/>
    </row>
    <row r="1451" spans="1:9" x14ac:dyDescent="0.2">
      <c r="A1451" s="405"/>
    </row>
    <row r="1452" spans="1:9" x14ac:dyDescent="0.2">
      <c r="A1452" s="405"/>
      <c r="H1452" s="19"/>
      <c r="I1452" s="19"/>
    </row>
    <row r="1453" spans="1:9" x14ac:dyDescent="0.2">
      <c r="A1453" s="405"/>
      <c r="H1453" s="19"/>
      <c r="I1453" s="19"/>
    </row>
    <row r="1454" spans="1:9" x14ac:dyDescent="0.2">
      <c r="A1454" s="405"/>
      <c r="H1454" s="19"/>
      <c r="I1454" s="19"/>
    </row>
    <row r="1455" spans="1:9" x14ac:dyDescent="0.2">
      <c r="A1455" s="405"/>
    </row>
    <row r="1456" spans="1:9" x14ac:dyDescent="0.2">
      <c r="A1456" s="405"/>
    </row>
    <row r="1457" spans="1:9" x14ac:dyDescent="0.2">
      <c r="A1457" s="405"/>
    </row>
    <row r="1458" spans="1:9" x14ac:dyDescent="0.2">
      <c r="A1458" s="405"/>
    </row>
    <row r="1459" spans="1:9" x14ac:dyDescent="0.2">
      <c r="A1459" s="405"/>
      <c r="H1459" s="19"/>
      <c r="I1459" s="19"/>
    </row>
    <row r="1460" spans="1:9" x14ac:dyDescent="0.2">
      <c r="A1460" s="405"/>
      <c r="H1460" s="19"/>
      <c r="I1460" s="19"/>
    </row>
    <row r="1461" spans="1:9" x14ac:dyDescent="0.2">
      <c r="A1461" s="405"/>
      <c r="H1461" s="19"/>
      <c r="I1461" s="19"/>
    </row>
    <row r="1462" spans="1:9" x14ac:dyDescent="0.2">
      <c r="A1462" s="405"/>
      <c r="H1462" s="19"/>
      <c r="I1462" s="19"/>
    </row>
    <row r="1463" spans="1:9" x14ac:dyDescent="0.2">
      <c r="A1463" s="405"/>
    </row>
    <row r="1464" spans="1:9" x14ac:dyDescent="0.2">
      <c r="A1464" s="405"/>
      <c r="H1464" s="19"/>
      <c r="I1464" s="19"/>
    </row>
    <row r="1465" spans="1:9" x14ac:dyDescent="0.2">
      <c r="A1465" s="405"/>
      <c r="H1465" s="19"/>
      <c r="I1465" s="19"/>
    </row>
    <row r="1466" spans="1:9" x14ac:dyDescent="0.2">
      <c r="A1466" s="405"/>
      <c r="H1466" s="19"/>
      <c r="I1466" s="19"/>
    </row>
    <row r="1467" spans="1:9" x14ac:dyDescent="0.2">
      <c r="A1467" s="405"/>
      <c r="H1467" s="19"/>
      <c r="I1467" s="19"/>
    </row>
    <row r="1468" spans="1:9" x14ac:dyDescent="0.2">
      <c r="A1468" s="405"/>
    </row>
    <row r="1469" spans="1:9" x14ac:dyDescent="0.2">
      <c r="A1469" s="405"/>
    </row>
    <row r="1470" spans="1:9" x14ac:dyDescent="0.2">
      <c r="A1470" s="405"/>
    </row>
    <row r="1471" spans="1:9" x14ac:dyDescent="0.2">
      <c r="A1471" s="405"/>
      <c r="H1471" s="19"/>
      <c r="I1471" s="19"/>
    </row>
    <row r="1472" spans="1:9" x14ac:dyDescent="0.2">
      <c r="A1472" s="405"/>
      <c r="H1472" s="19"/>
      <c r="I1472" s="19"/>
    </row>
    <row r="1473" spans="1:9" x14ac:dyDescent="0.2">
      <c r="A1473" s="405"/>
      <c r="H1473" s="19"/>
      <c r="I1473" s="19"/>
    </row>
    <row r="1474" spans="1:9" x14ac:dyDescent="0.2">
      <c r="A1474" s="405"/>
      <c r="H1474" s="19"/>
      <c r="I1474" s="19"/>
    </row>
    <row r="1475" spans="1:9" x14ac:dyDescent="0.2">
      <c r="A1475" s="405"/>
      <c r="H1475" s="19"/>
      <c r="I1475" s="19"/>
    </row>
    <row r="1476" spans="1:9" x14ac:dyDescent="0.2">
      <c r="A1476" s="405"/>
      <c r="H1476" s="19"/>
      <c r="I1476" s="19"/>
    </row>
    <row r="1477" spans="1:9" x14ac:dyDescent="0.2">
      <c r="A1477" s="405"/>
    </row>
    <row r="1478" spans="1:9" x14ac:dyDescent="0.2">
      <c r="A1478" s="405"/>
    </row>
    <row r="1479" spans="1:9" x14ac:dyDescent="0.2">
      <c r="A1479" s="405"/>
      <c r="H1479" s="19"/>
      <c r="I1479" s="19"/>
    </row>
    <row r="1480" spans="1:9" x14ac:dyDescent="0.2">
      <c r="A1480" s="405"/>
      <c r="H1480" s="19"/>
      <c r="I1480" s="19"/>
    </row>
    <row r="1481" spans="1:9" x14ac:dyDescent="0.2">
      <c r="A1481" s="405"/>
      <c r="H1481" s="19"/>
      <c r="I1481" s="19"/>
    </row>
    <row r="1482" spans="1:9" x14ac:dyDescent="0.2">
      <c r="A1482" s="405"/>
    </row>
    <row r="1483" spans="1:9" x14ac:dyDescent="0.2">
      <c r="A1483" s="405"/>
      <c r="H1483" s="19"/>
      <c r="I1483" s="19"/>
    </row>
    <row r="1484" spans="1:9" x14ac:dyDescent="0.2">
      <c r="A1484" s="405"/>
      <c r="H1484" s="19"/>
      <c r="I1484" s="19"/>
    </row>
    <row r="1485" spans="1:9" x14ac:dyDescent="0.2">
      <c r="A1485" s="405"/>
    </row>
    <row r="1486" spans="1:9" x14ac:dyDescent="0.2">
      <c r="A1486" s="405"/>
    </row>
    <row r="1487" spans="1:9" x14ac:dyDescent="0.2">
      <c r="A1487" s="405"/>
      <c r="I1487" s="19"/>
    </row>
    <row r="1488" spans="1:9" x14ac:dyDescent="0.2">
      <c r="A1488" s="405"/>
      <c r="H1488" s="19"/>
      <c r="I1488" s="19"/>
    </row>
    <row r="1489" spans="1:9" x14ac:dyDescent="0.2">
      <c r="A1489" s="405"/>
    </row>
    <row r="1490" spans="1:9" x14ac:dyDescent="0.2">
      <c r="A1490" s="405"/>
    </row>
    <row r="1491" spans="1:9" x14ac:dyDescent="0.2">
      <c r="A1491" s="405"/>
    </row>
    <row r="1492" spans="1:9" x14ac:dyDescent="0.2">
      <c r="A1492" s="405"/>
    </row>
    <row r="1493" spans="1:9" x14ac:dyDescent="0.2">
      <c r="A1493" s="405"/>
      <c r="H1493" s="19"/>
      <c r="I1493" s="19"/>
    </row>
    <row r="1494" spans="1:9" x14ac:dyDescent="0.2">
      <c r="A1494" s="405"/>
    </row>
    <row r="1495" spans="1:9" x14ac:dyDescent="0.2">
      <c r="A1495" s="405"/>
      <c r="H1495" s="19"/>
      <c r="I1495" s="19"/>
    </row>
    <row r="1496" spans="1:9" x14ac:dyDescent="0.2">
      <c r="A1496" s="405"/>
      <c r="H1496" s="19"/>
      <c r="I1496" s="19"/>
    </row>
    <row r="1497" spans="1:9" x14ac:dyDescent="0.2">
      <c r="A1497" s="405"/>
      <c r="H1497" s="19"/>
      <c r="I1497" s="19"/>
    </row>
    <row r="1498" spans="1:9" x14ac:dyDescent="0.2">
      <c r="A1498" s="405"/>
      <c r="H1498" s="19"/>
      <c r="I1498" s="19"/>
    </row>
    <row r="1499" spans="1:9" x14ac:dyDescent="0.2">
      <c r="A1499" s="405"/>
      <c r="H1499" s="19"/>
      <c r="I1499" s="19"/>
    </row>
    <row r="1500" spans="1:9" x14ac:dyDescent="0.2">
      <c r="A1500" s="405"/>
    </row>
    <row r="1501" spans="1:9" x14ac:dyDescent="0.2">
      <c r="A1501" s="405"/>
      <c r="H1501" s="19"/>
      <c r="I1501" s="19"/>
    </row>
    <row r="1502" spans="1:9" x14ac:dyDescent="0.2">
      <c r="A1502" s="405"/>
      <c r="H1502" s="19"/>
      <c r="I1502" s="19"/>
    </row>
    <row r="1503" spans="1:9" x14ac:dyDescent="0.2">
      <c r="A1503" s="405"/>
      <c r="H1503" s="19"/>
      <c r="I1503" s="19"/>
    </row>
    <row r="1504" spans="1:9" x14ac:dyDescent="0.2">
      <c r="A1504" s="405"/>
      <c r="H1504" s="19"/>
      <c r="I1504" s="19"/>
    </row>
    <row r="1505" spans="1:9" x14ac:dyDescent="0.2">
      <c r="A1505" s="405"/>
      <c r="H1505" s="19"/>
      <c r="I1505" s="19"/>
    </row>
    <row r="1506" spans="1:9" x14ac:dyDescent="0.2">
      <c r="A1506" s="405"/>
      <c r="H1506" s="19"/>
      <c r="I1506" s="19"/>
    </row>
    <row r="1507" spans="1:9" x14ac:dyDescent="0.2">
      <c r="A1507" s="405"/>
      <c r="H1507" s="19"/>
      <c r="I1507" s="19"/>
    </row>
    <row r="1508" spans="1:9" x14ac:dyDescent="0.2">
      <c r="A1508" s="405"/>
    </row>
    <row r="1509" spans="1:9" x14ac:dyDescent="0.2">
      <c r="A1509" s="405"/>
      <c r="H1509" s="19"/>
      <c r="I1509" s="19"/>
    </row>
    <row r="1510" spans="1:9" x14ac:dyDescent="0.2">
      <c r="A1510" s="405"/>
      <c r="H1510" s="19"/>
      <c r="I1510" s="19"/>
    </row>
    <row r="1511" spans="1:9" x14ac:dyDescent="0.2">
      <c r="A1511" s="405"/>
      <c r="H1511" s="19"/>
      <c r="I1511" s="19"/>
    </row>
    <row r="1512" spans="1:9" x14ac:dyDescent="0.2">
      <c r="A1512" s="405"/>
      <c r="H1512" s="19"/>
    </row>
    <row r="1513" spans="1:9" x14ac:dyDescent="0.2">
      <c r="A1513" s="405"/>
    </row>
    <row r="1514" spans="1:9" x14ac:dyDescent="0.2">
      <c r="A1514" s="405"/>
      <c r="H1514" s="19"/>
      <c r="I1514" s="19"/>
    </row>
    <row r="1515" spans="1:9" x14ac:dyDescent="0.2">
      <c r="A1515" s="405"/>
      <c r="H1515" s="19"/>
      <c r="I1515" s="19"/>
    </row>
    <row r="1516" spans="1:9" x14ac:dyDescent="0.2">
      <c r="A1516" s="405"/>
    </row>
    <row r="1517" spans="1:9" x14ac:dyDescent="0.2">
      <c r="A1517" s="405"/>
      <c r="H1517" s="19"/>
      <c r="I1517" s="19"/>
    </row>
    <row r="1518" spans="1:9" x14ac:dyDescent="0.2">
      <c r="A1518" s="405"/>
      <c r="H1518" s="19"/>
      <c r="I1518" s="19"/>
    </row>
    <row r="1519" spans="1:9" x14ac:dyDescent="0.2">
      <c r="A1519" s="405"/>
      <c r="H1519" s="19"/>
      <c r="I1519" s="19"/>
    </row>
    <row r="1520" spans="1:9" x14ac:dyDescent="0.2">
      <c r="A1520" s="405"/>
      <c r="H1520" s="19"/>
      <c r="I1520" s="19"/>
    </row>
    <row r="1521" spans="1:9" x14ac:dyDescent="0.2">
      <c r="A1521" s="405"/>
      <c r="H1521" s="19"/>
      <c r="I1521" s="19"/>
    </row>
    <row r="1522" spans="1:9" x14ac:dyDescent="0.2">
      <c r="A1522" s="405"/>
      <c r="H1522" s="19"/>
      <c r="I1522" s="19"/>
    </row>
    <row r="1523" spans="1:9" x14ac:dyDescent="0.2">
      <c r="A1523" s="405"/>
      <c r="H1523" s="19"/>
      <c r="I1523" s="19"/>
    </row>
    <row r="1524" spans="1:9" x14ac:dyDescent="0.2">
      <c r="A1524" s="405"/>
      <c r="H1524" s="19"/>
      <c r="I1524" s="19"/>
    </row>
    <row r="1525" spans="1:9" x14ac:dyDescent="0.2">
      <c r="A1525" s="405"/>
      <c r="H1525" s="19"/>
      <c r="I1525" s="19"/>
    </row>
    <row r="1526" spans="1:9" x14ac:dyDescent="0.2">
      <c r="A1526" s="405"/>
      <c r="H1526" s="19"/>
      <c r="I1526" s="19"/>
    </row>
    <row r="1527" spans="1:9" x14ac:dyDescent="0.2">
      <c r="A1527" s="405"/>
      <c r="H1527" s="19"/>
      <c r="I1527" s="19"/>
    </row>
    <row r="1528" spans="1:9" x14ac:dyDescent="0.2">
      <c r="A1528" s="405"/>
      <c r="H1528" s="19"/>
      <c r="I1528" s="19"/>
    </row>
    <row r="1529" spans="1:9" x14ac:dyDescent="0.2">
      <c r="A1529" s="405"/>
      <c r="H1529" s="19"/>
      <c r="I1529" s="19"/>
    </row>
    <row r="1530" spans="1:9" x14ac:dyDescent="0.2">
      <c r="A1530" s="405"/>
      <c r="H1530" s="19"/>
      <c r="I1530" s="19"/>
    </row>
    <row r="1531" spans="1:9" x14ac:dyDescent="0.2">
      <c r="A1531" s="405"/>
      <c r="H1531" s="19"/>
      <c r="I1531" s="19"/>
    </row>
    <row r="1532" spans="1:9" x14ac:dyDescent="0.2">
      <c r="A1532" s="405"/>
      <c r="H1532" s="19"/>
      <c r="I1532" s="19"/>
    </row>
    <row r="1533" spans="1:9" x14ac:dyDescent="0.2">
      <c r="A1533" s="405"/>
      <c r="H1533" s="19"/>
      <c r="I1533" s="19"/>
    </row>
    <row r="1534" spans="1:9" x14ac:dyDescent="0.2">
      <c r="A1534" s="405"/>
      <c r="H1534" s="19"/>
      <c r="I1534" s="19"/>
    </row>
    <row r="1535" spans="1:9" x14ac:dyDescent="0.2">
      <c r="A1535" s="405"/>
      <c r="H1535" s="19"/>
      <c r="I1535" s="19"/>
    </row>
    <row r="1536" spans="1:9" x14ac:dyDescent="0.2">
      <c r="A1536" s="405"/>
      <c r="H1536" s="19"/>
      <c r="I1536" s="19"/>
    </row>
    <row r="1537" spans="1:9" x14ac:dyDescent="0.2">
      <c r="A1537" s="405"/>
      <c r="H1537" s="19"/>
      <c r="I1537" s="19"/>
    </row>
    <row r="1538" spans="1:9" x14ac:dyDescent="0.2">
      <c r="A1538" s="405"/>
      <c r="H1538" s="19"/>
      <c r="I1538" s="19"/>
    </row>
    <row r="1539" spans="1:9" x14ac:dyDescent="0.2">
      <c r="A1539" s="405"/>
      <c r="H1539" s="19"/>
      <c r="I1539" s="19"/>
    </row>
    <row r="1540" spans="1:9" x14ac:dyDescent="0.2">
      <c r="A1540" s="405"/>
      <c r="H1540" s="19"/>
      <c r="I1540" s="19"/>
    </row>
    <row r="1541" spans="1:9" x14ac:dyDescent="0.2">
      <c r="A1541" s="405"/>
      <c r="H1541" s="19"/>
      <c r="I1541" s="19"/>
    </row>
    <row r="1542" spans="1:9" x14ac:dyDescent="0.2">
      <c r="A1542" s="405"/>
      <c r="H1542" s="19"/>
      <c r="I1542" s="19"/>
    </row>
    <row r="1543" spans="1:9" x14ac:dyDescent="0.2">
      <c r="A1543" s="405"/>
      <c r="H1543" s="19"/>
      <c r="I1543" s="19"/>
    </row>
    <row r="1544" spans="1:9" x14ac:dyDescent="0.2">
      <c r="A1544" s="405"/>
      <c r="H1544" s="19"/>
      <c r="I1544" s="19"/>
    </row>
    <row r="1545" spans="1:9" x14ac:dyDescent="0.2">
      <c r="A1545" s="405"/>
      <c r="H1545" s="19"/>
      <c r="I1545" s="19"/>
    </row>
    <row r="1546" spans="1:9" x14ac:dyDescent="0.2">
      <c r="A1546" s="405"/>
      <c r="H1546" s="19"/>
      <c r="I1546" s="19"/>
    </row>
    <row r="1547" spans="1:9" x14ac:dyDescent="0.2">
      <c r="A1547" s="405"/>
      <c r="H1547" s="19"/>
      <c r="I1547" s="19"/>
    </row>
    <row r="1548" spans="1:9" x14ac:dyDescent="0.2">
      <c r="A1548" s="405"/>
      <c r="H1548" s="19"/>
      <c r="I1548" s="19"/>
    </row>
    <row r="1549" spans="1:9" x14ac:dyDescent="0.2">
      <c r="A1549" s="405"/>
      <c r="H1549" s="19"/>
      <c r="I1549" s="19"/>
    </row>
    <row r="1550" spans="1:9" x14ac:dyDescent="0.2">
      <c r="A1550" s="405"/>
      <c r="H1550" s="19"/>
      <c r="I1550" s="19"/>
    </row>
    <row r="1551" spans="1:9" x14ac:dyDescent="0.2">
      <c r="A1551" s="405"/>
      <c r="H1551" s="19"/>
      <c r="I1551" s="19"/>
    </row>
    <row r="1552" spans="1:9" x14ac:dyDescent="0.2">
      <c r="A1552" s="405"/>
      <c r="H1552" s="19"/>
      <c r="I1552" s="19"/>
    </row>
    <row r="1553" spans="1:9" x14ac:dyDescent="0.2">
      <c r="A1553" s="405"/>
      <c r="H1553" s="19"/>
      <c r="I1553" s="19"/>
    </row>
    <row r="1554" spans="1:9" x14ac:dyDescent="0.2">
      <c r="A1554" s="405"/>
      <c r="H1554" s="19"/>
      <c r="I1554" s="19"/>
    </row>
    <row r="1555" spans="1:9" x14ac:dyDescent="0.2">
      <c r="A1555" s="405"/>
      <c r="H1555" s="19"/>
      <c r="I1555" s="19"/>
    </row>
    <row r="1556" spans="1:9" x14ac:dyDescent="0.2">
      <c r="A1556" s="405"/>
      <c r="H1556" s="19"/>
      <c r="I1556" s="19"/>
    </row>
    <row r="1557" spans="1:9" x14ac:dyDescent="0.2">
      <c r="A1557" s="405"/>
      <c r="H1557" s="19"/>
      <c r="I1557" s="19"/>
    </row>
    <row r="1558" spans="1:9" x14ac:dyDescent="0.2">
      <c r="A1558" s="405"/>
      <c r="H1558" s="19"/>
      <c r="I1558" s="19"/>
    </row>
    <row r="1559" spans="1:9" x14ac:dyDescent="0.2">
      <c r="A1559" s="405"/>
      <c r="H1559" s="19"/>
      <c r="I1559" s="19"/>
    </row>
    <row r="1560" spans="1:9" x14ac:dyDescent="0.2">
      <c r="A1560" s="405"/>
      <c r="H1560" s="19"/>
      <c r="I1560" s="19"/>
    </row>
    <row r="1561" spans="1:9" x14ac:dyDescent="0.2">
      <c r="A1561" s="405"/>
      <c r="H1561" s="19"/>
      <c r="I1561" s="19"/>
    </row>
    <row r="1562" spans="1:9" x14ac:dyDescent="0.2">
      <c r="A1562" s="405"/>
      <c r="H1562" s="19"/>
      <c r="I1562" s="19"/>
    </row>
    <row r="1563" spans="1:9" x14ac:dyDescent="0.2">
      <c r="A1563" s="405"/>
      <c r="H1563" s="19"/>
      <c r="I1563" s="19"/>
    </row>
    <row r="1564" spans="1:9" x14ac:dyDescent="0.2">
      <c r="A1564" s="405"/>
      <c r="H1564" s="19"/>
      <c r="I1564" s="19"/>
    </row>
    <row r="1565" spans="1:9" x14ac:dyDescent="0.2">
      <c r="A1565" s="405"/>
      <c r="H1565" s="19"/>
      <c r="I1565" s="19"/>
    </row>
    <row r="1566" spans="1:9" x14ac:dyDescent="0.2">
      <c r="A1566" s="405"/>
      <c r="H1566" s="19"/>
      <c r="I1566" s="19"/>
    </row>
    <row r="1567" spans="1:9" x14ac:dyDescent="0.2">
      <c r="A1567" s="405"/>
      <c r="H1567" s="19"/>
      <c r="I1567" s="19"/>
    </row>
    <row r="1568" spans="1:9" x14ac:dyDescent="0.2">
      <c r="A1568" s="405"/>
      <c r="H1568" s="19"/>
      <c r="I1568" s="19"/>
    </row>
    <row r="1569" spans="1:9" x14ac:dyDescent="0.2">
      <c r="A1569" s="405"/>
      <c r="H1569" s="19"/>
      <c r="I1569" s="19"/>
    </row>
    <row r="1570" spans="1:9" x14ac:dyDescent="0.2">
      <c r="A1570" s="405"/>
      <c r="H1570" s="19"/>
      <c r="I1570" s="19"/>
    </row>
    <row r="1571" spans="1:9" x14ac:dyDescent="0.2">
      <c r="A1571" s="405"/>
      <c r="H1571" s="19"/>
      <c r="I1571" s="19"/>
    </row>
    <row r="1572" spans="1:9" x14ac:dyDescent="0.2">
      <c r="A1572" s="405"/>
      <c r="H1572" s="19"/>
      <c r="I1572" s="19"/>
    </row>
    <row r="1573" spans="1:9" x14ac:dyDescent="0.2">
      <c r="A1573" s="405"/>
      <c r="I1573" s="19"/>
    </row>
    <row r="1574" spans="1:9" x14ac:dyDescent="0.2">
      <c r="A1574" s="405"/>
      <c r="H1574" s="19"/>
      <c r="I1574" s="19"/>
    </row>
    <row r="1575" spans="1:9" x14ac:dyDescent="0.2">
      <c r="A1575" s="405"/>
      <c r="H1575" s="19"/>
      <c r="I1575" s="19"/>
    </row>
    <row r="1576" spans="1:9" x14ac:dyDescent="0.2">
      <c r="A1576" s="405"/>
      <c r="H1576" s="19"/>
      <c r="I1576" s="19"/>
    </row>
    <row r="1577" spans="1:9" x14ac:dyDescent="0.2">
      <c r="A1577" s="405"/>
      <c r="H1577" s="19"/>
      <c r="I1577" s="19"/>
    </row>
    <row r="1578" spans="1:9" x14ac:dyDescent="0.2">
      <c r="A1578" s="405"/>
      <c r="H1578" s="19"/>
      <c r="I1578" s="19"/>
    </row>
    <row r="1579" spans="1:9" x14ac:dyDescent="0.2">
      <c r="A1579" s="405"/>
      <c r="H1579" s="19"/>
      <c r="I1579" s="19"/>
    </row>
    <row r="1580" spans="1:9" x14ac:dyDescent="0.2">
      <c r="A1580" s="405"/>
      <c r="H1580" s="19"/>
      <c r="I1580" s="19"/>
    </row>
    <row r="1581" spans="1:9" x14ac:dyDescent="0.2">
      <c r="A1581" s="405"/>
      <c r="H1581" s="19"/>
      <c r="I1581" s="19"/>
    </row>
    <row r="1582" spans="1:9" x14ac:dyDescent="0.2">
      <c r="A1582" s="405"/>
    </row>
    <row r="1583" spans="1:9" x14ac:dyDescent="0.2">
      <c r="A1583" s="405"/>
      <c r="H1583" s="19"/>
      <c r="I1583" s="19"/>
    </row>
    <row r="1584" spans="1:9" x14ac:dyDescent="0.2">
      <c r="A1584" s="405"/>
      <c r="H1584" s="19"/>
      <c r="I1584" s="19"/>
    </row>
    <row r="1585" spans="1:9" x14ac:dyDescent="0.2">
      <c r="A1585" s="405"/>
      <c r="H1585" s="19"/>
      <c r="I1585" s="19"/>
    </row>
    <row r="1586" spans="1:9" x14ac:dyDescent="0.2">
      <c r="A1586" s="405"/>
      <c r="H1586" s="19"/>
      <c r="I1586" s="19"/>
    </row>
    <row r="1587" spans="1:9" x14ac:dyDescent="0.2">
      <c r="A1587" s="405"/>
      <c r="H1587" s="19"/>
    </row>
    <row r="1588" spans="1:9" x14ac:dyDescent="0.2">
      <c r="A1588" s="405"/>
      <c r="H1588" s="19"/>
      <c r="I1588" s="19"/>
    </row>
    <row r="1589" spans="1:9" x14ac:dyDescent="0.2">
      <c r="A1589" s="405"/>
      <c r="H1589" s="19"/>
      <c r="I1589" s="19"/>
    </row>
    <row r="1590" spans="1:9" x14ac:dyDescent="0.2">
      <c r="A1590" s="405"/>
    </row>
    <row r="1591" spans="1:9" x14ac:dyDescent="0.2">
      <c r="A1591" s="405"/>
      <c r="H1591" s="19"/>
      <c r="I1591" s="19"/>
    </row>
    <row r="1592" spans="1:9" x14ac:dyDescent="0.2">
      <c r="A1592" s="405"/>
      <c r="H1592" s="19"/>
      <c r="I1592" s="19"/>
    </row>
    <row r="1593" spans="1:9" x14ac:dyDescent="0.2">
      <c r="A1593" s="405"/>
      <c r="H1593" s="19"/>
      <c r="I1593" s="19"/>
    </row>
    <row r="1594" spans="1:9" x14ac:dyDescent="0.2">
      <c r="A1594" s="405"/>
      <c r="H1594" s="19"/>
      <c r="I1594" s="19"/>
    </row>
    <row r="1595" spans="1:9" x14ac:dyDescent="0.2">
      <c r="A1595" s="405"/>
      <c r="H1595" s="19"/>
      <c r="I1595" s="19"/>
    </row>
    <row r="1596" spans="1:9" x14ac:dyDescent="0.2">
      <c r="A1596" s="405"/>
      <c r="H1596" s="19"/>
      <c r="I1596" s="19"/>
    </row>
    <row r="1597" spans="1:9" x14ac:dyDescent="0.2">
      <c r="A1597" s="405"/>
      <c r="H1597" s="19"/>
      <c r="I1597" s="19"/>
    </row>
    <row r="1598" spans="1:9" x14ac:dyDescent="0.2">
      <c r="A1598" s="405"/>
      <c r="H1598" s="19"/>
      <c r="I1598" s="19"/>
    </row>
    <row r="1599" spans="1:9" x14ac:dyDescent="0.2">
      <c r="A1599" s="405"/>
      <c r="H1599" s="19"/>
      <c r="I1599" s="19"/>
    </row>
    <row r="1600" spans="1:9" x14ac:dyDescent="0.2">
      <c r="A1600" s="405"/>
      <c r="H1600" s="19"/>
      <c r="I1600" s="19"/>
    </row>
    <row r="1601" spans="1:9" x14ac:dyDescent="0.2">
      <c r="A1601" s="405"/>
      <c r="H1601" s="19"/>
      <c r="I1601" s="19"/>
    </row>
    <row r="1602" spans="1:9" x14ac:dyDescent="0.2">
      <c r="A1602" s="405"/>
      <c r="H1602" s="19"/>
      <c r="I1602" s="19"/>
    </row>
    <row r="1603" spans="1:9" x14ac:dyDescent="0.2">
      <c r="A1603" s="405"/>
      <c r="H1603" s="19"/>
      <c r="I1603" s="19"/>
    </row>
    <row r="1604" spans="1:9" x14ac:dyDescent="0.2">
      <c r="A1604" s="405"/>
      <c r="H1604" s="19"/>
      <c r="I1604" s="19"/>
    </row>
    <row r="1605" spans="1:9" x14ac:dyDescent="0.2">
      <c r="A1605" s="405"/>
      <c r="H1605" s="19"/>
      <c r="I1605" s="19"/>
    </row>
    <row r="1606" spans="1:9" x14ac:dyDescent="0.2">
      <c r="A1606" s="405"/>
      <c r="H1606" s="19"/>
      <c r="I1606" s="19"/>
    </row>
    <row r="1607" spans="1:9" x14ac:dyDescent="0.2">
      <c r="A1607" s="405"/>
      <c r="H1607" s="19"/>
      <c r="I1607" s="19"/>
    </row>
    <row r="1608" spans="1:9" x14ac:dyDescent="0.2">
      <c r="A1608" s="405"/>
      <c r="H1608" s="19"/>
      <c r="I1608" s="19"/>
    </row>
    <row r="1609" spans="1:9" x14ac:dyDescent="0.2">
      <c r="A1609" s="405"/>
      <c r="H1609" s="19"/>
      <c r="I1609" s="19"/>
    </row>
    <row r="1610" spans="1:9" x14ac:dyDescent="0.2">
      <c r="A1610" s="405"/>
      <c r="H1610" s="19"/>
      <c r="I1610" s="19"/>
    </row>
    <row r="1611" spans="1:9" x14ac:dyDescent="0.2">
      <c r="A1611" s="405"/>
      <c r="H1611" s="19"/>
      <c r="I1611" s="19"/>
    </row>
    <row r="1612" spans="1:9" x14ac:dyDescent="0.2">
      <c r="A1612" s="405"/>
      <c r="H1612" s="19"/>
      <c r="I1612" s="19"/>
    </row>
    <row r="1613" spans="1:9" x14ac:dyDescent="0.2">
      <c r="A1613" s="405"/>
      <c r="H1613" s="19"/>
      <c r="I1613" s="19"/>
    </row>
    <row r="1614" spans="1:9" x14ac:dyDescent="0.2">
      <c r="A1614" s="405"/>
      <c r="H1614" s="19"/>
      <c r="I1614" s="19"/>
    </row>
    <row r="1615" spans="1:9" x14ac:dyDescent="0.2">
      <c r="A1615" s="405"/>
      <c r="H1615" s="19"/>
      <c r="I1615" s="19"/>
    </row>
    <row r="1616" spans="1:9" x14ac:dyDescent="0.2">
      <c r="A1616" s="405"/>
      <c r="H1616" s="19"/>
      <c r="I1616" s="19"/>
    </row>
    <row r="1617" spans="1:9" x14ac:dyDescent="0.2">
      <c r="A1617" s="405"/>
      <c r="H1617" s="19"/>
      <c r="I1617" s="19"/>
    </row>
    <row r="1618" spans="1:9" x14ac:dyDescent="0.2">
      <c r="A1618" s="405"/>
      <c r="H1618" s="19"/>
      <c r="I1618" s="19"/>
    </row>
    <row r="1619" spans="1:9" x14ac:dyDescent="0.2">
      <c r="A1619" s="405"/>
      <c r="H1619" s="19"/>
      <c r="I1619" s="19"/>
    </row>
    <row r="1620" spans="1:9" x14ac:dyDescent="0.2">
      <c r="A1620" s="405"/>
      <c r="H1620" s="19"/>
      <c r="I1620" s="19"/>
    </row>
    <row r="1621" spans="1:9" x14ac:dyDescent="0.2">
      <c r="A1621" s="405"/>
    </row>
    <row r="1622" spans="1:9" x14ac:dyDescent="0.2">
      <c r="A1622" s="405"/>
      <c r="H1622" s="19"/>
      <c r="I1622" s="19"/>
    </row>
    <row r="1623" spans="1:9" x14ac:dyDescent="0.2">
      <c r="A1623" s="405"/>
      <c r="H1623" s="19"/>
      <c r="I1623" s="19"/>
    </row>
    <row r="1624" spans="1:9" x14ac:dyDescent="0.2">
      <c r="A1624" s="405"/>
    </row>
    <row r="1625" spans="1:9" x14ac:dyDescent="0.2">
      <c r="A1625" s="405"/>
      <c r="H1625" s="19"/>
      <c r="I1625" s="19"/>
    </row>
    <row r="1626" spans="1:9" x14ac:dyDescent="0.2">
      <c r="A1626" s="405"/>
      <c r="H1626" s="19"/>
      <c r="I1626" s="19"/>
    </row>
    <row r="1627" spans="1:9" x14ac:dyDescent="0.2">
      <c r="A1627" s="405"/>
      <c r="H1627" s="19"/>
      <c r="I1627" s="19"/>
    </row>
    <row r="1628" spans="1:9" x14ac:dyDescent="0.2">
      <c r="A1628" s="405"/>
      <c r="H1628" s="19"/>
      <c r="I1628" s="19"/>
    </row>
    <row r="1629" spans="1:9" x14ac:dyDescent="0.2">
      <c r="A1629" s="405"/>
      <c r="H1629" s="19"/>
      <c r="I1629" s="19"/>
    </row>
    <row r="1630" spans="1:9" x14ac:dyDescent="0.2">
      <c r="A1630" s="405"/>
      <c r="H1630" s="19"/>
      <c r="I1630" s="19"/>
    </row>
    <row r="1631" spans="1:9" x14ac:dyDescent="0.2">
      <c r="A1631" s="405"/>
      <c r="H1631" s="19"/>
      <c r="I1631" s="19"/>
    </row>
    <row r="1632" spans="1:9" x14ac:dyDescent="0.2">
      <c r="A1632" s="405"/>
    </row>
    <row r="1633" spans="1:9" x14ac:dyDescent="0.2">
      <c r="A1633" s="405"/>
      <c r="H1633" s="19"/>
      <c r="I1633" s="19"/>
    </row>
    <row r="1634" spans="1:9" x14ac:dyDescent="0.2">
      <c r="A1634" s="405"/>
      <c r="H1634" s="19"/>
      <c r="I1634" s="19"/>
    </row>
    <row r="1635" spans="1:9" x14ac:dyDescent="0.2">
      <c r="A1635" s="405"/>
      <c r="H1635" s="19"/>
      <c r="I1635" s="19"/>
    </row>
    <row r="1636" spans="1:9" x14ac:dyDescent="0.2">
      <c r="A1636" s="405"/>
      <c r="H1636" s="19"/>
      <c r="I1636" s="19"/>
    </row>
    <row r="1637" spans="1:9" x14ac:dyDescent="0.2">
      <c r="A1637" s="405"/>
      <c r="H1637" s="19"/>
      <c r="I1637" s="19"/>
    </row>
    <row r="1638" spans="1:9" x14ac:dyDescent="0.2">
      <c r="A1638" s="405"/>
      <c r="H1638" s="19"/>
      <c r="I1638" s="19"/>
    </row>
    <row r="1639" spans="1:9" x14ac:dyDescent="0.2">
      <c r="A1639" s="405"/>
      <c r="H1639" s="19"/>
      <c r="I1639" s="19"/>
    </row>
    <row r="1640" spans="1:9" x14ac:dyDescent="0.2">
      <c r="A1640" s="405"/>
    </row>
    <row r="1641" spans="1:9" x14ac:dyDescent="0.2">
      <c r="A1641" s="405"/>
      <c r="I1641" s="19"/>
    </row>
    <row r="1642" spans="1:9" x14ac:dyDescent="0.2">
      <c r="A1642" s="405"/>
      <c r="H1642" s="19"/>
      <c r="I1642" s="19"/>
    </row>
    <row r="1643" spans="1:9" x14ac:dyDescent="0.2">
      <c r="A1643" s="405"/>
      <c r="H1643" s="19"/>
      <c r="I1643" s="19"/>
    </row>
    <row r="1644" spans="1:9" x14ac:dyDescent="0.2">
      <c r="A1644" s="405"/>
      <c r="H1644" s="19"/>
      <c r="I1644" s="19"/>
    </row>
    <row r="1645" spans="1:9" x14ac:dyDescent="0.2">
      <c r="A1645" s="405"/>
      <c r="H1645" s="19"/>
      <c r="I1645" s="19"/>
    </row>
    <row r="1646" spans="1:9" x14ac:dyDescent="0.2">
      <c r="A1646" s="405"/>
      <c r="H1646" s="19"/>
      <c r="I1646" s="19"/>
    </row>
    <row r="1647" spans="1:9" x14ac:dyDescent="0.2">
      <c r="A1647" s="405"/>
      <c r="H1647" s="19"/>
      <c r="I1647" s="19"/>
    </row>
    <row r="1648" spans="1:9" x14ac:dyDescent="0.2">
      <c r="A1648" s="405"/>
      <c r="H1648" s="19"/>
      <c r="I1648" s="19"/>
    </row>
    <row r="1649" spans="1:9" x14ac:dyDescent="0.2">
      <c r="A1649" s="405"/>
      <c r="H1649" s="19"/>
      <c r="I1649" s="19"/>
    </row>
    <row r="1650" spans="1:9" x14ac:dyDescent="0.2">
      <c r="A1650" s="405"/>
      <c r="H1650" s="19"/>
      <c r="I1650" s="19"/>
    </row>
    <row r="1651" spans="1:9" x14ac:dyDescent="0.2">
      <c r="A1651" s="405"/>
      <c r="I1651" s="19"/>
    </row>
    <row r="1652" spans="1:9" x14ac:dyDescent="0.2">
      <c r="A1652" s="405"/>
      <c r="H1652" s="19"/>
      <c r="I1652" s="19"/>
    </row>
    <row r="1653" spans="1:9" x14ac:dyDescent="0.2">
      <c r="A1653" s="405"/>
      <c r="H1653" s="19"/>
      <c r="I1653" s="19"/>
    </row>
    <row r="1654" spans="1:9" x14ac:dyDescent="0.2">
      <c r="A1654" s="405"/>
      <c r="H1654" s="19"/>
      <c r="I1654" s="19"/>
    </row>
    <row r="1655" spans="1:9" x14ac:dyDescent="0.2">
      <c r="A1655" s="405"/>
      <c r="H1655" s="19"/>
      <c r="I1655" s="19"/>
    </row>
    <row r="1656" spans="1:9" x14ac:dyDescent="0.2">
      <c r="A1656" s="405"/>
      <c r="H1656" s="19"/>
      <c r="I1656" s="19"/>
    </row>
    <row r="1657" spans="1:9" x14ac:dyDescent="0.2">
      <c r="A1657" s="405"/>
      <c r="H1657" s="19"/>
    </row>
    <row r="1658" spans="1:9" x14ac:dyDescent="0.2">
      <c r="A1658" s="405"/>
      <c r="H1658" s="19"/>
      <c r="I1658" s="19"/>
    </row>
    <row r="1659" spans="1:9" x14ac:dyDescent="0.2">
      <c r="A1659" s="405"/>
      <c r="H1659" s="19"/>
      <c r="I1659" s="19"/>
    </row>
    <row r="1660" spans="1:9" x14ac:dyDescent="0.2">
      <c r="A1660" s="405"/>
      <c r="H1660" s="19"/>
      <c r="I1660" s="19"/>
    </row>
    <row r="1661" spans="1:9" x14ac:dyDescent="0.2">
      <c r="A1661" s="405"/>
      <c r="H1661" s="19"/>
      <c r="I1661" s="19"/>
    </row>
    <row r="1662" spans="1:9" x14ac:dyDescent="0.2">
      <c r="A1662" s="405"/>
      <c r="H1662" s="19"/>
      <c r="I1662" s="19"/>
    </row>
    <row r="1663" spans="1:9" x14ac:dyDescent="0.2">
      <c r="A1663" s="405"/>
      <c r="H1663" s="19"/>
      <c r="I1663" s="19"/>
    </row>
    <row r="1664" spans="1:9" x14ac:dyDescent="0.2">
      <c r="A1664" s="405"/>
      <c r="H1664" s="19"/>
      <c r="I1664" s="19"/>
    </row>
    <row r="1665" spans="1:9" x14ac:dyDescent="0.2">
      <c r="A1665" s="405"/>
      <c r="H1665" s="19"/>
      <c r="I1665" s="19"/>
    </row>
    <row r="1666" spans="1:9" x14ac:dyDescent="0.2">
      <c r="A1666" s="405"/>
      <c r="H1666" s="19"/>
      <c r="I1666" s="19"/>
    </row>
    <row r="1667" spans="1:9" x14ac:dyDescent="0.2">
      <c r="A1667" s="405"/>
      <c r="H1667" s="19"/>
      <c r="I1667" s="19"/>
    </row>
    <row r="1668" spans="1:9" x14ac:dyDescent="0.2">
      <c r="A1668" s="405"/>
      <c r="H1668" s="19"/>
      <c r="I1668" s="19"/>
    </row>
    <row r="1669" spans="1:9" x14ac:dyDescent="0.2">
      <c r="A1669" s="405"/>
      <c r="H1669" s="19"/>
      <c r="I1669" s="19"/>
    </row>
    <row r="1670" spans="1:9" x14ac:dyDescent="0.2">
      <c r="A1670" s="405"/>
      <c r="H1670" s="19"/>
      <c r="I1670" s="19"/>
    </row>
    <row r="1671" spans="1:9" x14ac:dyDescent="0.2">
      <c r="A1671" s="405"/>
      <c r="H1671" s="19"/>
      <c r="I1671" s="19"/>
    </row>
    <row r="1672" spans="1:9" x14ac:dyDescent="0.2">
      <c r="A1672" s="405"/>
      <c r="H1672" s="19"/>
      <c r="I1672" s="19"/>
    </row>
    <row r="1673" spans="1:9" x14ac:dyDescent="0.2">
      <c r="A1673" s="405"/>
      <c r="H1673" s="19"/>
      <c r="I1673" s="19"/>
    </row>
    <row r="1674" spans="1:9" x14ac:dyDescent="0.2">
      <c r="A1674" s="405"/>
    </row>
    <row r="1675" spans="1:9" x14ac:dyDescent="0.2">
      <c r="A1675" s="405"/>
      <c r="H1675" s="19"/>
      <c r="I1675" s="19"/>
    </row>
    <row r="1676" spans="1:9" x14ac:dyDescent="0.2">
      <c r="A1676" s="405"/>
    </row>
    <row r="1677" spans="1:9" x14ac:dyDescent="0.2">
      <c r="A1677" s="405"/>
      <c r="H1677" s="19"/>
      <c r="I1677" s="19"/>
    </row>
    <row r="1678" spans="1:9" x14ac:dyDescent="0.2">
      <c r="A1678" s="405"/>
    </row>
    <row r="1679" spans="1:9" x14ac:dyDescent="0.2">
      <c r="A1679" s="405"/>
    </row>
    <row r="1680" spans="1:9" x14ac:dyDescent="0.2">
      <c r="A1680" s="405"/>
    </row>
    <row r="1681" spans="1:9" x14ac:dyDescent="0.2">
      <c r="A1681" s="405"/>
    </row>
    <row r="1682" spans="1:9" x14ac:dyDescent="0.2">
      <c r="A1682" s="405"/>
      <c r="H1682" s="19"/>
      <c r="I1682" s="19"/>
    </row>
    <row r="1683" spans="1:9" x14ac:dyDescent="0.2">
      <c r="A1683" s="405"/>
    </row>
    <row r="1684" spans="1:9" x14ac:dyDescent="0.2">
      <c r="A1684" s="405"/>
      <c r="H1684" s="19"/>
      <c r="I1684" s="19"/>
    </row>
    <row r="1685" spans="1:9" x14ac:dyDescent="0.2">
      <c r="A1685" s="405"/>
      <c r="H1685" s="19"/>
      <c r="I1685" s="19"/>
    </row>
    <row r="1686" spans="1:9" x14ac:dyDescent="0.2">
      <c r="A1686" s="405"/>
      <c r="H1686" s="19"/>
      <c r="I1686" s="19"/>
    </row>
    <row r="1687" spans="1:9" x14ac:dyDescent="0.2">
      <c r="A1687" s="405"/>
      <c r="H1687" s="19"/>
    </row>
    <row r="1688" spans="1:9" x14ac:dyDescent="0.2">
      <c r="A1688" s="405"/>
      <c r="H1688" s="19"/>
      <c r="I1688" s="19"/>
    </row>
    <row r="1689" spans="1:9" x14ac:dyDescent="0.2">
      <c r="A1689" s="405"/>
    </row>
    <row r="1690" spans="1:9" x14ac:dyDescent="0.2">
      <c r="A1690" s="405"/>
      <c r="H1690" s="19"/>
      <c r="I1690" s="19"/>
    </row>
    <row r="1691" spans="1:9" x14ac:dyDescent="0.2">
      <c r="A1691" s="405"/>
      <c r="H1691" s="19"/>
      <c r="I1691" s="19"/>
    </row>
    <row r="1692" spans="1:9" x14ac:dyDescent="0.2">
      <c r="A1692" s="405"/>
      <c r="H1692" s="19"/>
      <c r="I1692" s="19"/>
    </row>
    <row r="1693" spans="1:9" x14ac:dyDescent="0.2">
      <c r="A1693" s="405"/>
      <c r="H1693" s="19"/>
      <c r="I1693" s="19"/>
    </row>
    <row r="1694" spans="1:9" x14ac:dyDescent="0.2">
      <c r="A1694" s="405"/>
      <c r="H1694" s="19"/>
      <c r="I1694" s="19"/>
    </row>
    <row r="1695" spans="1:9" x14ac:dyDescent="0.2">
      <c r="A1695" s="405"/>
      <c r="H1695" s="19"/>
      <c r="I1695" s="19"/>
    </row>
    <row r="1696" spans="1:9" x14ac:dyDescent="0.2">
      <c r="A1696" s="405"/>
      <c r="H1696" s="19"/>
      <c r="I1696" s="19"/>
    </row>
    <row r="1697" spans="1:9" x14ac:dyDescent="0.2">
      <c r="A1697" s="405"/>
      <c r="H1697" s="19"/>
      <c r="I1697" s="19"/>
    </row>
    <row r="1698" spans="1:9" x14ac:dyDescent="0.2">
      <c r="A1698" s="405"/>
      <c r="H1698" s="19"/>
      <c r="I1698" s="19"/>
    </row>
    <row r="1699" spans="1:9" x14ac:dyDescent="0.2">
      <c r="A1699" s="405"/>
      <c r="H1699" s="19"/>
      <c r="I1699" s="19"/>
    </row>
    <row r="1700" spans="1:9" x14ac:dyDescent="0.2">
      <c r="A1700" s="405"/>
      <c r="H1700" s="19"/>
      <c r="I1700" s="19"/>
    </row>
    <row r="1701" spans="1:9" x14ac:dyDescent="0.2">
      <c r="A1701" s="405"/>
      <c r="H1701" s="19"/>
      <c r="I1701" s="19"/>
    </row>
    <row r="1702" spans="1:9" x14ac:dyDescent="0.2">
      <c r="A1702" s="405"/>
      <c r="H1702" s="19"/>
      <c r="I1702" s="19"/>
    </row>
    <row r="1703" spans="1:9" x14ac:dyDescent="0.2">
      <c r="A1703" s="405"/>
      <c r="H1703" s="19"/>
      <c r="I1703" s="19"/>
    </row>
    <row r="1704" spans="1:9" x14ac:dyDescent="0.2">
      <c r="A1704" s="405"/>
      <c r="H1704" s="19"/>
      <c r="I1704" s="19"/>
    </row>
    <row r="1705" spans="1:9" x14ac:dyDescent="0.2">
      <c r="A1705" s="405"/>
      <c r="H1705" s="19"/>
      <c r="I1705" s="19"/>
    </row>
    <row r="1706" spans="1:9" x14ac:dyDescent="0.2">
      <c r="A1706" s="405"/>
      <c r="H1706" s="19"/>
      <c r="I1706" s="19"/>
    </row>
    <row r="1707" spans="1:9" x14ac:dyDescent="0.2">
      <c r="A1707" s="405"/>
      <c r="H1707" s="19"/>
      <c r="I1707" s="19"/>
    </row>
    <row r="1708" spans="1:9" x14ac:dyDescent="0.2">
      <c r="A1708" s="405"/>
      <c r="H1708" s="19"/>
      <c r="I1708" s="19"/>
    </row>
    <row r="1709" spans="1:9" x14ac:dyDescent="0.2">
      <c r="A1709" s="405"/>
      <c r="H1709" s="19"/>
      <c r="I1709" s="19"/>
    </row>
    <row r="1710" spans="1:9" x14ac:dyDescent="0.2">
      <c r="A1710" s="405"/>
      <c r="H1710" s="19"/>
      <c r="I1710" s="19"/>
    </row>
    <row r="1711" spans="1:9" x14ac:dyDescent="0.2">
      <c r="A1711" s="405"/>
      <c r="H1711" s="19"/>
      <c r="I1711" s="19"/>
    </row>
    <row r="1712" spans="1:9" x14ac:dyDescent="0.2">
      <c r="A1712" s="405"/>
      <c r="H1712" s="19"/>
      <c r="I1712" s="19"/>
    </row>
    <row r="1713" spans="1:9" x14ac:dyDescent="0.2">
      <c r="A1713" s="405"/>
      <c r="H1713" s="19"/>
      <c r="I1713" s="19"/>
    </row>
    <row r="1714" spans="1:9" x14ac:dyDescent="0.2">
      <c r="A1714" s="405"/>
      <c r="H1714" s="19"/>
      <c r="I1714" s="19"/>
    </row>
    <row r="1715" spans="1:9" x14ac:dyDescent="0.2">
      <c r="A1715" s="405"/>
      <c r="H1715" s="19"/>
      <c r="I1715" s="19"/>
    </row>
    <row r="1716" spans="1:9" x14ac:dyDescent="0.2">
      <c r="A1716" s="405"/>
      <c r="H1716" s="19"/>
    </row>
    <row r="1717" spans="1:9" x14ac:dyDescent="0.2">
      <c r="A1717" s="405"/>
      <c r="H1717" s="19"/>
      <c r="I1717" s="19"/>
    </row>
    <row r="1718" spans="1:9" x14ac:dyDescent="0.2">
      <c r="A1718" s="405"/>
      <c r="H1718" s="19"/>
      <c r="I1718" s="19"/>
    </row>
    <row r="1719" spans="1:9" x14ac:dyDescent="0.2">
      <c r="A1719" s="405"/>
      <c r="H1719" s="19"/>
      <c r="I1719" s="19"/>
    </row>
    <row r="1720" spans="1:9" x14ac:dyDescent="0.2">
      <c r="A1720" s="405"/>
      <c r="H1720" s="19"/>
    </row>
    <row r="1721" spans="1:9" x14ac:dyDescent="0.2">
      <c r="A1721" s="405"/>
      <c r="H1721" s="19"/>
      <c r="I1721" s="19"/>
    </row>
    <row r="1722" spans="1:9" x14ac:dyDescent="0.2">
      <c r="A1722" s="405"/>
      <c r="H1722" s="19"/>
      <c r="I1722" s="19"/>
    </row>
    <row r="1723" spans="1:9" x14ac:dyDescent="0.2">
      <c r="A1723" s="405"/>
      <c r="H1723" s="19"/>
      <c r="I1723" s="19"/>
    </row>
    <row r="1724" spans="1:9" x14ac:dyDescent="0.2">
      <c r="A1724" s="405"/>
      <c r="H1724" s="19"/>
    </row>
    <row r="1725" spans="1:9" x14ac:dyDescent="0.2">
      <c r="A1725" s="405"/>
      <c r="H1725" s="19"/>
      <c r="I1725" s="19"/>
    </row>
    <row r="1726" spans="1:9" x14ac:dyDescent="0.2">
      <c r="A1726" s="405"/>
      <c r="H1726" s="19"/>
      <c r="I1726" s="19"/>
    </row>
    <row r="1727" spans="1:9" x14ac:dyDescent="0.2">
      <c r="A1727" s="405"/>
      <c r="H1727" s="19"/>
      <c r="I1727" s="19"/>
    </row>
    <row r="1728" spans="1:9" x14ac:dyDescent="0.2">
      <c r="A1728" s="405"/>
    </row>
    <row r="1729" spans="1:9" x14ac:dyDescent="0.2">
      <c r="A1729" s="405"/>
      <c r="H1729" s="19"/>
      <c r="I1729" s="19"/>
    </row>
    <row r="1730" spans="1:9" x14ac:dyDescent="0.2">
      <c r="A1730" s="405"/>
      <c r="H1730" s="19"/>
      <c r="I1730" s="19"/>
    </row>
    <row r="1731" spans="1:9" x14ac:dyDescent="0.2">
      <c r="A1731" s="405"/>
      <c r="H1731" s="19"/>
      <c r="I1731" s="19"/>
    </row>
    <row r="1732" spans="1:9" x14ac:dyDescent="0.2">
      <c r="A1732" s="405"/>
      <c r="H1732" s="19"/>
      <c r="I1732" s="19"/>
    </row>
    <row r="1733" spans="1:9" x14ac:dyDescent="0.2">
      <c r="A1733" s="405"/>
      <c r="H1733" s="19"/>
      <c r="I1733" s="19"/>
    </row>
    <row r="1734" spans="1:9" x14ac:dyDescent="0.2">
      <c r="A1734" s="405"/>
      <c r="H1734" s="19"/>
      <c r="I1734" s="19"/>
    </row>
    <row r="1735" spans="1:9" x14ac:dyDescent="0.2">
      <c r="A1735" s="405"/>
      <c r="H1735" s="19"/>
      <c r="I1735" s="19"/>
    </row>
    <row r="1736" spans="1:9" x14ac:dyDescent="0.2">
      <c r="A1736" s="405"/>
      <c r="H1736" s="19"/>
      <c r="I1736" s="19"/>
    </row>
    <row r="1737" spans="1:9" x14ac:dyDescent="0.2">
      <c r="A1737" s="405"/>
      <c r="H1737" s="19"/>
      <c r="I1737" s="19"/>
    </row>
    <row r="1738" spans="1:9" x14ac:dyDescent="0.2">
      <c r="A1738" s="405"/>
      <c r="H1738" s="19"/>
      <c r="I1738" s="19"/>
    </row>
    <row r="1739" spans="1:9" x14ac:dyDescent="0.2">
      <c r="A1739" s="405"/>
      <c r="H1739" s="19"/>
      <c r="I1739" s="19"/>
    </row>
    <row r="1740" spans="1:9" x14ac:dyDescent="0.2">
      <c r="A1740" s="405"/>
      <c r="H1740" s="19"/>
      <c r="I1740" s="19"/>
    </row>
    <row r="1741" spans="1:9" x14ac:dyDescent="0.2">
      <c r="A1741" s="405"/>
      <c r="H1741" s="19"/>
      <c r="I1741" s="19"/>
    </row>
    <row r="1742" spans="1:9" x14ac:dyDescent="0.2">
      <c r="A1742" s="405"/>
      <c r="H1742" s="19"/>
      <c r="I1742" s="19"/>
    </row>
    <row r="1743" spans="1:9" x14ac:dyDescent="0.2">
      <c r="A1743" s="405"/>
      <c r="H1743" s="19"/>
      <c r="I1743" s="19"/>
    </row>
    <row r="1744" spans="1:9" x14ac:dyDescent="0.2">
      <c r="A1744" s="405"/>
      <c r="H1744" s="19"/>
      <c r="I1744" s="19"/>
    </row>
    <row r="1745" spans="1:9" x14ac:dyDescent="0.2">
      <c r="A1745" s="405"/>
      <c r="H1745" s="19"/>
      <c r="I1745" s="19"/>
    </row>
    <row r="1746" spans="1:9" x14ac:dyDescent="0.2">
      <c r="A1746" s="405"/>
      <c r="H1746" s="19"/>
      <c r="I1746" s="19"/>
    </row>
    <row r="1747" spans="1:9" x14ac:dyDescent="0.2">
      <c r="A1747" s="405"/>
      <c r="H1747" s="19"/>
      <c r="I1747" s="19"/>
    </row>
    <row r="1748" spans="1:9" x14ac:dyDescent="0.2">
      <c r="A1748" s="405"/>
    </row>
    <row r="1749" spans="1:9" x14ac:dyDescent="0.2">
      <c r="A1749" s="405"/>
      <c r="H1749" s="19"/>
      <c r="I1749" s="19"/>
    </row>
    <row r="1750" spans="1:9" x14ac:dyDescent="0.2">
      <c r="A1750" s="405"/>
      <c r="H1750" s="19"/>
      <c r="I1750" s="19"/>
    </row>
    <row r="1751" spans="1:9" x14ac:dyDescent="0.2">
      <c r="A1751" s="405"/>
    </row>
    <row r="1752" spans="1:9" x14ac:dyDescent="0.2">
      <c r="A1752" s="405"/>
      <c r="H1752" s="19"/>
      <c r="I1752" s="19"/>
    </row>
    <row r="1753" spans="1:9" x14ac:dyDescent="0.2">
      <c r="A1753" s="405"/>
      <c r="H1753" s="19"/>
      <c r="I1753" s="19"/>
    </row>
    <row r="1754" spans="1:9" x14ac:dyDescent="0.2">
      <c r="A1754" s="405"/>
      <c r="H1754" s="19"/>
      <c r="I1754" s="19"/>
    </row>
    <row r="1755" spans="1:9" x14ac:dyDescent="0.2">
      <c r="A1755" s="405"/>
      <c r="H1755" s="19"/>
      <c r="I1755" s="19"/>
    </row>
    <row r="1756" spans="1:9" x14ac:dyDescent="0.2">
      <c r="A1756" s="405"/>
      <c r="H1756" s="19"/>
      <c r="I1756" s="19"/>
    </row>
    <row r="1757" spans="1:9" x14ac:dyDescent="0.2">
      <c r="A1757" s="405"/>
      <c r="H1757" s="19"/>
      <c r="I1757" s="19"/>
    </row>
    <row r="1758" spans="1:9" x14ac:dyDescent="0.2">
      <c r="A1758" s="405"/>
      <c r="H1758" s="19"/>
      <c r="I1758" s="19"/>
    </row>
    <row r="1759" spans="1:9" x14ac:dyDescent="0.2">
      <c r="A1759" s="405"/>
    </row>
    <row r="1760" spans="1:9" x14ac:dyDescent="0.2">
      <c r="A1760" s="405"/>
      <c r="H1760" s="19"/>
      <c r="I1760" s="19"/>
    </row>
    <row r="1761" spans="1:9" x14ac:dyDescent="0.2">
      <c r="A1761" s="405"/>
      <c r="H1761" s="19"/>
      <c r="I1761" s="19"/>
    </row>
    <row r="1762" spans="1:9" x14ac:dyDescent="0.2">
      <c r="A1762" s="405"/>
      <c r="H1762" s="19"/>
      <c r="I1762" s="19"/>
    </row>
    <row r="1763" spans="1:9" x14ac:dyDescent="0.2">
      <c r="A1763" s="405"/>
      <c r="H1763" s="19"/>
      <c r="I1763" s="19"/>
    </row>
    <row r="1764" spans="1:9" x14ac:dyDescent="0.2">
      <c r="A1764" s="405"/>
      <c r="H1764" s="19"/>
      <c r="I1764" s="19"/>
    </row>
    <row r="1765" spans="1:9" x14ac:dyDescent="0.2">
      <c r="A1765" s="405"/>
      <c r="H1765" s="19"/>
      <c r="I1765" s="19"/>
    </row>
    <row r="1766" spans="1:9" x14ac:dyDescent="0.2">
      <c r="A1766" s="405"/>
      <c r="H1766" s="19"/>
      <c r="I1766" s="19"/>
    </row>
    <row r="1767" spans="1:9" x14ac:dyDescent="0.2">
      <c r="A1767" s="405"/>
      <c r="H1767" s="19"/>
      <c r="I1767" s="19"/>
    </row>
    <row r="1768" spans="1:9" x14ac:dyDescent="0.2">
      <c r="A1768" s="405"/>
      <c r="H1768" s="19"/>
      <c r="I1768" s="19"/>
    </row>
    <row r="1769" spans="1:9" x14ac:dyDescent="0.2">
      <c r="A1769" s="405"/>
      <c r="H1769" s="19"/>
      <c r="I1769" s="19"/>
    </row>
    <row r="1770" spans="1:9" x14ac:dyDescent="0.2">
      <c r="A1770" s="405"/>
      <c r="H1770" s="19"/>
      <c r="I1770" s="19"/>
    </row>
    <row r="1771" spans="1:9" x14ac:dyDescent="0.2">
      <c r="A1771" s="405"/>
      <c r="H1771" s="19"/>
      <c r="I1771" s="19"/>
    </row>
    <row r="1772" spans="1:9" x14ac:dyDescent="0.2">
      <c r="A1772" s="405"/>
      <c r="H1772" s="19"/>
      <c r="I1772" s="19"/>
    </row>
    <row r="1773" spans="1:9" x14ac:dyDescent="0.2">
      <c r="A1773" s="405"/>
      <c r="H1773" s="19"/>
      <c r="I1773" s="19"/>
    </row>
    <row r="1774" spans="1:9" x14ac:dyDescent="0.2">
      <c r="A1774" s="405"/>
      <c r="H1774" s="19"/>
      <c r="I1774" s="19"/>
    </row>
    <row r="1775" spans="1:9" x14ac:dyDescent="0.2">
      <c r="A1775" s="405"/>
      <c r="H1775" s="19"/>
      <c r="I1775" s="19"/>
    </row>
    <row r="1776" spans="1:9" x14ac:dyDescent="0.2">
      <c r="A1776" s="405"/>
      <c r="H1776" s="19"/>
      <c r="I1776" s="19"/>
    </row>
    <row r="1777" spans="1:9" x14ac:dyDescent="0.2">
      <c r="A1777" s="405"/>
      <c r="H1777" s="19"/>
      <c r="I1777" s="19"/>
    </row>
    <row r="1778" spans="1:9" x14ac:dyDescent="0.2">
      <c r="A1778" s="405"/>
      <c r="H1778" s="19"/>
      <c r="I1778" s="19"/>
    </row>
    <row r="1779" spans="1:9" x14ac:dyDescent="0.2">
      <c r="A1779" s="405"/>
      <c r="H1779" s="19"/>
      <c r="I1779" s="19"/>
    </row>
    <row r="1780" spans="1:9" x14ac:dyDescent="0.2">
      <c r="A1780" s="405"/>
      <c r="H1780" s="19"/>
      <c r="I1780" s="19"/>
    </row>
    <row r="1781" spans="1:9" x14ac:dyDescent="0.2">
      <c r="A1781" s="405"/>
      <c r="H1781" s="19"/>
      <c r="I1781" s="19"/>
    </row>
    <row r="1782" spans="1:9" x14ac:dyDescent="0.2">
      <c r="A1782" s="405"/>
      <c r="H1782" s="19"/>
      <c r="I1782" s="19"/>
    </row>
    <row r="1783" spans="1:9" x14ac:dyDescent="0.2">
      <c r="A1783" s="405"/>
      <c r="H1783" s="19"/>
      <c r="I1783" s="19"/>
    </row>
    <row r="1784" spans="1:9" x14ac:dyDescent="0.2">
      <c r="A1784" s="405"/>
      <c r="H1784" s="19"/>
      <c r="I1784" s="19"/>
    </row>
    <row r="1785" spans="1:9" x14ac:dyDescent="0.2">
      <c r="A1785" s="405"/>
      <c r="H1785" s="19"/>
      <c r="I1785" s="19"/>
    </row>
    <row r="1786" spans="1:9" x14ac:dyDescent="0.2">
      <c r="A1786" s="405"/>
      <c r="H1786" s="19"/>
      <c r="I1786" s="19"/>
    </row>
    <row r="1787" spans="1:9" x14ac:dyDescent="0.2">
      <c r="A1787" s="405"/>
      <c r="H1787" s="19"/>
      <c r="I1787" s="19"/>
    </row>
    <row r="1788" spans="1:9" x14ac:dyDescent="0.2">
      <c r="A1788" s="405"/>
      <c r="H1788" s="19"/>
      <c r="I1788" s="19"/>
    </row>
    <row r="1789" spans="1:9" x14ac:dyDescent="0.2">
      <c r="A1789" s="405"/>
      <c r="H1789" s="19"/>
      <c r="I1789" s="19"/>
    </row>
    <row r="1790" spans="1:9" x14ac:dyDescent="0.2">
      <c r="A1790" s="405"/>
      <c r="H1790" s="19"/>
      <c r="I1790" s="19"/>
    </row>
    <row r="1791" spans="1:9" x14ac:dyDescent="0.2">
      <c r="A1791" s="405"/>
      <c r="H1791" s="19"/>
      <c r="I1791" s="19"/>
    </row>
    <row r="1792" spans="1:9" x14ac:dyDescent="0.2">
      <c r="A1792" s="405"/>
      <c r="H1792" s="19"/>
      <c r="I1792" s="19"/>
    </row>
    <row r="1793" spans="1:9" x14ac:dyDescent="0.2">
      <c r="A1793" s="405"/>
      <c r="H1793" s="19"/>
      <c r="I1793" s="19"/>
    </row>
    <row r="1794" spans="1:9" x14ac:dyDescent="0.2">
      <c r="A1794" s="405"/>
      <c r="H1794" s="19"/>
      <c r="I1794" s="19"/>
    </row>
    <row r="1795" spans="1:9" x14ac:dyDescent="0.2">
      <c r="A1795" s="405"/>
      <c r="H1795" s="19"/>
      <c r="I1795" s="19"/>
    </row>
    <row r="1796" spans="1:9" x14ac:dyDescent="0.2">
      <c r="A1796" s="405"/>
      <c r="H1796" s="19"/>
      <c r="I1796" s="19"/>
    </row>
    <row r="1797" spans="1:9" x14ac:dyDescent="0.2">
      <c r="A1797" s="405"/>
      <c r="H1797" s="19"/>
      <c r="I1797" s="19"/>
    </row>
    <row r="1798" spans="1:9" x14ac:dyDescent="0.2">
      <c r="A1798" s="405"/>
      <c r="H1798" s="19"/>
      <c r="I1798" s="19"/>
    </row>
    <row r="1799" spans="1:9" x14ac:dyDescent="0.2">
      <c r="A1799" s="405"/>
      <c r="H1799" s="19"/>
      <c r="I1799" s="19"/>
    </row>
    <row r="1800" spans="1:9" x14ac:dyDescent="0.2">
      <c r="A1800" s="405"/>
      <c r="H1800" s="19"/>
      <c r="I1800" s="19"/>
    </row>
    <row r="1801" spans="1:9" x14ac:dyDescent="0.2">
      <c r="A1801" s="405"/>
      <c r="H1801" s="19"/>
      <c r="I1801" s="19"/>
    </row>
    <row r="1802" spans="1:9" x14ac:dyDescent="0.2">
      <c r="A1802" s="405"/>
      <c r="H1802" s="19"/>
    </row>
    <row r="1803" spans="1:9" x14ac:dyDescent="0.2">
      <c r="A1803" s="405"/>
      <c r="H1803" s="19"/>
      <c r="I1803" s="19"/>
    </row>
    <row r="1804" spans="1:9" x14ac:dyDescent="0.2">
      <c r="A1804" s="405"/>
      <c r="H1804" s="19"/>
      <c r="I1804" s="19"/>
    </row>
    <row r="1805" spans="1:9" x14ac:dyDescent="0.2">
      <c r="A1805" s="405"/>
      <c r="H1805" s="19"/>
      <c r="I1805" s="19"/>
    </row>
    <row r="1806" spans="1:9" x14ac:dyDescent="0.2">
      <c r="A1806" s="405"/>
      <c r="H1806" s="19"/>
      <c r="I1806" s="19"/>
    </row>
    <row r="1807" spans="1:9" x14ac:dyDescent="0.2">
      <c r="A1807" s="405"/>
      <c r="H1807" s="19"/>
      <c r="I1807" s="19"/>
    </row>
    <row r="1808" spans="1:9" x14ac:dyDescent="0.2">
      <c r="A1808" s="405"/>
      <c r="H1808" s="19"/>
      <c r="I1808" s="19"/>
    </row>
    <row r="1809" spans="1:9" x14ac:dyDescent="0.2">
      <c r="A1809" s="405"/>
      <c r="H1809" s="19"/>
      <c r="I1809" s="19"/>
    </row>
    <row r="1810" spans="1:9" x14ac:dyDescent="0.2">
      <c r="A1810" s="405"/>
      <c r="H1810" s="19"/>
      <c r="I1810" s="19"/>
    </row>
    <row r="1811" spans="1:9" x14ac:dyDescent="0.2">
      <c r="A1811" s="405"/>
      <c r="H1811" s="19"/>
      <c r="I1811" s="19"/>
    </row>
    <row r="1812" spans="1:9" x14ac:dyDescent="0.2">
      <c r="A1812" s="405"/>
      <c r="H1812" s="19"/>
      <c r="I1812" s="19"/>
    </row>
    <row r="1813" spans="1:9" x14ac:dyDescent="0.2">
      <c r="A1813" s="405"/>
      <c r="H1813" s="19"/>
      <c r="I1813" s="19"/>
    </row>
    <row r="1814" spans="1:9" x14ac:dyDescent="0.2">
      <c r="A1814" s="405"/>
      <c r="H1814" s="19"/>
      <c r="I1814" s="19"/>
    </row>
    <row r="1815" spans="1:9" x14ac:dyDescent="0.2">
      <c r="A1815" s="405"/>
      <c r="H1815" s="19"/>
      <c r="I1815" s="19"/>
    </row>
    <row r="1816" spans="1:9" x14ac:dyDescent="0.2">
      <c r="A1816" s="405"/>
    </row>
    <row r="1817" spans="1:9" x14ac:dyDescent="0.2">
      <c r="A1817" s="405"/>
      <c r="H1817" s="19"/>
      <c r="I1817" s="19"/>
    </row>
    <row r="1818" spans="1:9" x14ac:dyDescent="0.2">
      <c r="A1818" s="405"/>
      <c r="H1818" s="19"/>
      <c r="I1818" s="19"/>
    </row>
    <row r="1819" spans="1:9" x14ac:dyDescent="0.2">
      <c r="A1819" s="405"/>
      <c r="H1819" s="19"/>
      <c r="I1819" s="19"/>
    </row>
    <row r="1820" spans="1:9" x14ac:dyDescent="0.2">
      <c r="A1820" s="405"/>
      <c r="H1820" s="19"/>
      <c r="I1820" s="19"/>
    </row>
    <row r="1821" spans="1:9" x14ac:dyDescent="0.2">
      <c r="A1821" s="405"/>
    </row>
    <row r="1822" spans="1:9" x14ac:dyDescent="0.2">
      <c r="A1822" s="405"/>
    </row>
    <row r="1823" spans="1:9" x14ac:dyDescent="0.2">
      <c r="A1823" s="405"/>
      <c r="H1823" s="19"/>
      <c r="I1823" s="19"/>
    </row>
    <row r="1824" spans="1:9" x14ac:dyDescent="0.2">
      <c r="A1824" s="405"/>
      <c r="H1824" s="19"/>
      <c r="I1824" s="19"/>
    </row>
    <row r="1825" spans="1:9" x14ac:dyDescent="0.2">
      <c r="A1825" s="405"/>
      <c r="H1825" s="19"/>
      <c r="I1825" s="19"/>
    </row>
    <row r="1826" spans="1:9" x14ac:dyDescent="0.2">
      <c r="A1826" s="405"/>
      <c r="H1826" s="19"/>
      <c r="I1826" s="19"/>
    </row>
    <row r="1827" spans="1:9" x14ac:dyDescent="0.2">
      <c r="A1827" s="405"/>
      <c r="H1827" s="19"/>
      <c r="I1827" s="19"/>
    </row>
    <row r="1828" spans="1:9" x14ac:dyDescent="0.2">
      <c r="A1828" s="405"/>
      <c r="H1828" s="19"/>
      <c r="I1828" s="19"/>
    </row>
    <row r="1829" spans="1:9" x14ac:dyDescent="0.2">
      <c r="A1829" s="405"/>
      <c r="H1829" s="19"/>
      <c r="I1829" s="19"/>
    </row>
    <row r="1830" spans="1:9" x14ac:dyDescent="0.2">
      <c r="A1830" s="405"/>
      <c r="H1830" s="19"/>
      <c r="I1830" s="19"/>
    </row>
    <row r="1831" spans="1:9" x14ac:dyDescent="0.2">
      <c r="A1831" s="405"/>
      <c r="H1831" s="19"/>
      <c r="I1831" s="19"/>
    </row>
    <row r="1832" spans="1:9" x14ac:dyDescent="0.2">
      <c r="A1832" s="405"/>
      <c r="H1832" s="19"/>
      <c r="I1832" s="19"/>
    </row>
    <row r="1833" spans="1:9" x14ac:dyDescent="0.2">
      <c r="A1833" s="405"/>
      <c r="H1833" s="19"/>
      <c r="I1833" s="19"/>
    </row>
    <row r="1834" spans="1:9" x14ac:dyDescent="0.2">
      <c r="A1834" s="405"/>
      <c r="H1834" s="19"/>
      <c r="I1834" s="19"/>
    </row>
    <row r="1835" spans="1:9" x14ac:dyDescent="0.2">
      <c r="A1835" s="405"/>
      <c r="H1835" s="19"/>
    </row>
    <row r="1836" spans="1:9" x14ac:dyDescent="0.2">
      <c r="A1836" s="405"/>
    </row>
    <row r="1837" spans="1:9" x14ac:dyDescent="0.2">
      <c r="A1837" s="405"/>
      <c r="H1837" s="19"/>
      <c r="I1837" s="19"/>
    </row>
    <row r="1838" spans="1:9" x14ac:dyDescent="0.2">
      <c r="A1838" s="405"/>
      <c r="H1838" s="19"/>
      <c r="I1838" s="19"/>
    </row>
    <row r="1839" spans="1:9" x14ac:dyDescent="0.2">
      <c r="A1839" s="405"/>
      <c r="H1839" s="19"/>
      <c r="I1839" s="19"/>
    </row>
    <row r="1840" spans="1:9" x14ac:dyDescent="0.2">
      <c r="A1840" s="405"/>
      <c r="H1840" s="19"/>
    </row>
    <row r="1841" spans="1:9" x14ac:dyDescent="0.2">
      <c r="A1841" s="405"/>
      <c r="H1841" s="19"/>
      <c r="I1841" s="19"/>
    </row>
    <row r="1842" spans="1:9" x14ac:dyDescent="0.2">
      <c r="A1842" s="405"/>
      <c r="H1842" s="19"/>
      <c r="I1842" s="19"/>
    </row>
    <row r="1843" spans="1:9" x14ac:dyDescent="0.2">
      <c r="A1843" s="405"/>
      <c r="H1843" s="19"/>
      <c r="I1843" s="19"/>
    </row>
    <row r="1844" spans="1:9" x14ac:dyDescent="0.2">
      <c r="A1844" s="405"/>
    </row>
    <row r="1845" spans="1:9" x14ac:dyDescent="0.2">
      <c r="A1845" s="405"/>
      <c r="H1845" s="19"/>
      <c r="I1845" s="19"/>
    </row>
    <row r="1846" spans="1:9" x14ac:dyDescent="0.2">
      <c r="A1846" s="405"/>
      <c r="H1846" s="19"/>
      <c r="I1846" s="19"/>
    </row>
    <row r="1847" spans="1:9" x14ac:dyDescent="0.2">
      <c r="A1847" s="405"/>
      <c r="H1847" s="19"/>
      <c r="I1847" s="19"/>
    </row>
    <row r="1848" spans="1:9" x14ac:dyDescent="0.2">
      <c r="A1848" s="405"/>
      <c r="H1848" s="19"/>
      <c r="I1848" s="19"/>
    </row>
    <row r="1849" spans="1:9" x14ac:dyDescent="0.2">
      <c r="A1849" s="405"/>
      <c r="H1849" s="19"/>
      <c r="I1849" s="19"/>
    </row>
    <row r="1850" spans="1:9" x14ac:dyDescent="0.2">
      <c r="A1850" s="405"/>
      <c r="H1850" s="19"/>
      <c r="I1850" s="19"/>
    </row>
    <row r="1851" spans="1:9" x14ac:dyDescent="0.2">
      <c r="A1851" s="405"/>
      <c r="H1851" s="19"/>
      <c r="I1851" s="19"/>
    </row>
    <row r="1852" spans="1:9" x14ac:dyDescent="0.2">
      <c r="A1852" s="405"/>
      <c r="H1852" s="19"/>
      <c r="I1852" s="19"/>
    </row>
    <row r="1853" spans="1:9" x14ac:dyDescent="0.2">
      <c r="A1853" s="405"/>
      <c r="H1853" s="19"/>
      <c r="I1853" s="19"/>
    </row>
    <row r="1854" spans="1:9" x14ac:dyDescent="0.2">
      <c r="A1854" s="405"/>
      <c r="H1854" s="19"/>
      <c r="I1854" s="19"/>
    </row>
    <row r="1855" spans="1:9" x14ac:dyDescent="0.2">
      <c r="A1855" s="405"/>
      <c r="H1855" s="19"/>
      <c r="I1855" s="19"/>
    </row>
    <row r="1856" spans="1:9" x14ac:dyDescent="0.2">
      <c r="A1856" s="405"/>
      <c r="H1856" s="19"/>
      <c r="I1856" s="19"/>
    </row>
    <row r="1857" spans="1:9" x14ac:dyDescent="0.2">
      <c r="A1857" s="405"/>
      <c r="H1857" s="19"/>
      <c r="I1857" s="19"/>
    </row>
    <row r="1858" spans="1:9" x14ac:dyDescent="0.2">
      <c r="A1858" s="405"/>
      <c r="H1858" s="19"/>
      <c r="I1858" s="19"/>
    </row>
    <row r="1859" spans="1:9" x14ac:dyDescent="0.2">
      <c r="A1859" s="405"/>
      <c r="H1859" s="19"/>
      <c r="I1859" s="19"/>
    </row>
    <row r="1860" spans="1:9" x14ac:dyDescent="0.2">
      <c r="A1860" s="405"/>
      <c r="H1860" s="19"/>
      <c r="I1860" s="19"/>
    </row>
    <row r="1861" spans="1:9" x14ac:dyDescent="0.2">
      <c r="A1861" s="405"/>
      <c r="H1861" s="19"/>
      <c r="I1861" s="19"/>
    </row>
    <row r="1862" spans="1:9" x14ac:dyDescent="0.2">
      <c r="A1862" s="405"/>
    </row>
    <row r="1863" spans="1:9" x14ac:dyDescent="0.2">
      <c r="A1863" s="405"/>
      <c r="H1863" s="19"/>
      <c r="I1863" s="19"/>
    </row>
    <row r="1864" spans="1:9" x14ac:dyDescent="0.2">
      <c r="A1864" s="405"/>
      <c r="H1864" s="19"/>
      <c r="I1864" s="19"/>
    </row>
    <row r="1865" spans="1:9" x14ac:dyDescent="0.2">
      <c r="A1865" s="405"/>
      <c r="H1865" s="19"/>
      <c r="I1865" s="19"/>
    </row>
    <row r="1866" spans="1:9" x14ac:dyDescent="0.2">
      <c r="A1866" s="405"/>
      <c r="H1866" s="19"/>
      <c r="I1866" s="19"/>
    </row>
    <row r="1867" spans="1:9" x14ac:dyDescent="0.2">
      <c r="A1867" s="405"/>
      <c r="H1867" s="19"/>
      <c r="I1867" s="19"/>
    </row>
    <row r="1868" spans="1:9" x14ac:dyDescent="0.2">
      <c r="A1868" s="405"/>
      <c r="H1868" s="19"/>
      <c r="I1868" s="19"/>
    </row>
    <row r="1869" spans="1:9" x14ac:dyDescent="0.2">
      <c r="A1869" s="405"/>
      <c r="H1869" s="19"/>
      <c r="I1869" s="19"/>
    </row>
    <row r="1870" spans="1:9" x14ac:dyDescent="0.2">
      <c r="A1870" s="405"/>
    </row>
    <row r="1871" spans="1:9" x14ac:dyDescent="0.2">
      <c r="A1871" s="405"/>
      <c r="H1871" s="19"/>
      <c r="I1871" s="19"/>
    </row>
    <row r="1872" spans="1:9" x14ac:dyDescent="0.2">
      <c r="A1872" s="405"/>
      <c r="H1872" s="19"/>
      <c r="I1872" s="19"/>
    </row>
    <row r="1873" spans="1:9" x14ac:dyDescent="0.2">
      <c r="A1873" s="405"/>
      <c r="H1873" s="19"/>
      <c r="I1873" s="19"/>
    </row>
    <row r="1874" spans="1:9" x14ac:dyDescent="0.2">
      <c r="A1874" s="405"/>
      <c r="H1874" s="19"/>
      <c r="I1874" s="19"/>
    </row>
    <row r="1875" spans="1:9" x14ac:dyDescent="0.2">
      <c r="A1875" s="405"/>
      <c r="H1875" s="19"/>
      <c r="I1875" s="19"/>
    </row>
    <row r="1876" spans="1:9" x14ac:dyDescent="0.2">
      <c r="A1876" s="405"/>
      <c r="H1876" s="19"/>
      <c r="I1876" s="19"/>
    </row>
    <row r="1877" spans="1:9" x14ac:dyDescent="0.2">
      <c r="A1877" s="405"/>
      <c r="H1877" s="19"/>
      <c r="I1877" s="19"/>
    </row>
    <row r="1878" spans="1:9" x14ac:dyDescent="0.2">
      <c r="A1878" s="405"/>
      <c r="H1878" s="19"/>
    </row>
    <row r="1879" spans="1:9" x14ac:dyDescent="0.2">
      <c r="A1879" s="405"/>
      <c r="H1879" s="19"/>
    </row>
    <row r="1880" spans="1:9" x14ac:dyDescent="0.2">
      <c r="A1880" s="405"/>
    </row>
    <row r="1881" spans="1:9" x14ac:dyDescent="0.2">
      <c r="A1881" s="405"/>
    </row>
    <row r="1882" spans="1:9" x14ac:dyDescent="0.2">
      <c r="A1882" s="405"/>
      <c r="H1882" s="19"/>
      <c r="I1882" s="19"/>
    </row>
    <row r="1883" spans="1:9" x14ac:dyDescent="0.2">
      <c r="A1883" s="405"/>
      <c r="H1883" s="19"/>
      <c r="I1883" s="19"/>
    </row>
    <row r="1884" spans="1:9" x14ac:dyDescent="0.2">
      <c r="A1884" s="405"/>
      <c r="H1884" s="19"/>
      <c r="I1884" s="19"/>
    </row>
    <row r="1885" spans="1:9" x14ac:dyDescent="0.2">
      <c r="A1885" s="405"/>
      <c r="H1885" s="19"/>
    </row>
    <row r="1886" spans="1:9" x14ac:dyDescent="0.2">
      <c r="A1886" s="405"/>
      <c r="H1886" s="19"/>
    </row>
    <row r="1887" spans="1:9" x14ac:dyDescent="0.2">
      <c r="A1887" s="405"/>
      <c r="H1887" s="19"/>
    </row>
    <row r="1888" spans="1:9" x14ac:dyDescent="0.2">
      <c r="A1888" s="405"/>
      <c r="H1888" s="19"/>
      <c r="I1888" s="19"/>
    </row>
    <row r="1889" spans="1:9" x14ac:dyDescent="0.2">
      <c r="A1889" s="405"/>
      <c r="H1889" s="19"/>
    </row>
    <row r="1890" spans="1:9" x14ac:dyDescent="0.2">
      <c r="A1890" s="405"/>
      <c r="H1890" s="19"/>
      <c r="I1890" s="19"/>
    </row>
    <row r="1891" spans="1:9" x14ac:dyDescent="0.2">
      <c r="A1891" s="405"/>
      <c r="H1891" s="19"/>
      <c r="I1891" s="19"/>
    </row>
    <row r="1892" spans="1:9" x14ac:dyDescent="0.2">
      <c r="A1892" s="405"/>
      <c r="H1892" s="19"/>
      <c r="I1892" s="19"/>
    </row>
    <row r="1893" spans="1:9" x14ac:dyDescent="0.2">
      <c r="A1893" s="405"/>
      <c r="H1893" s="19"/>
    </row>
    <row r="1894" spans="1:9" x14ac:dyDescent="0.2">
      <c r="A1894" s="405"/>
      <c r="H1894" s="19"/>
      <c r="I1894" s="19"/>
    </row>
    <row r="1895" spans="1:9" x14ac:dyDescent="0.2">
      <c r="A1895" s="405"/>
      <c r="H1895" s="19"/>
    </row>
    <row r="1896" spans="1:9" x14ac:dyDescent="0.2">
      <c r="A1896" s="405"/>
      <c r="H1896" s="19"/>
      <c r="I1896" s="19"/>
    </row>
    <row r="1897" spans="1:9" x14ac:dyDescent="0.2">
      <c r="A1897" s="405"/>
      <c r="H1897" s="19"/>
    </row>
    <row r="1898" spans="1:9" x14ac:dyDescent="0.2">
      <c r="A1898" s="405"/>
      <c r="H1898" s="19"/>
      <c r="I1898" s="19"/>
    </row>
    <row r="1899" spans="1:9" x14ac:dyDescent="0.2">
      <c r="A1899" s="405"/>
      <c r="H1899" s="19"/>
      <c r="I1899" s="19"/>
    </row>
    <row r="1900" spans="1:9" x14ac:dyDescent="0.2">
      <c r="A1900" s="405"/>
      <c r="H1900" s="19"/>
      <c r="I1900" s="19"/>
    </row>
    <row r="1901" spans="1:9" x14ac:dyDescent="0.2">
      <c r="A1901" s="405"/>
    </row>
    <row r="1902" spans="1:9" x14ac:dyDescent="0.2">
      <c r="A1902" s="405"/>
      <c r="H1902" s="19"/>
      <c r="I1902" s="19"/>
    </row>
    <row r="1903" spans="1:9" x14ac:dyDescent="0.2">
      <c r="A1903" s="405"/>
      <c r="H1903" s="19"/>
      <c r="I1903" s="19"/>
    </row>
    <row r="1904" spans="1:9" x14ac:dyDescent="0.2">
      <c r="A1904" s="405"/>
      <c r="H1904" s="19"/>
      <c r="I1904" s="19"/>
    </row>
    <row r="1905" spans="1:9" x14ac:dyDescent="0.2">
      <c r="A1905" s="405"/>
      <c r="H1905" s="19"/>
      <c r="I1905" s="19"/>
    </row>
    <row r="1906" spans="1:9" x14ac:dyDescent="0.2">
      <c r="A1906" s="405"/>
      <c r="H1906" s="19"/>
      <c r="I1906" s="19"/>
    </row>
    <row r="1907" spans="1:9" x14ac:dyDescent="0.2">
      <c r="A1907" s="405"/>
      <c r="H1907" s="19"/>
      <c r="I1907" s="19"/>
    </row>
    <row r="1908" spans="1:9" x14ac:dyDescent="0.2">
      <c r="A1908" s="405"/>
      <c r="H1908" s="19"/>
      <c r="I1908" s="19"/>
    </row>
    <row r="1909" spans="1:9" x14ac:dyDescent="0.2">
      <c r="A1909" s="405"/>
    </row>
    <row r="1910" spans="1:9" x14ac:dyDescent="0.2">
      <c r="A1910" s="405"/>
      <c r="H1910" s="19"/>
      <c r="I1910" s="19"/>
    </row>
    <row r="1911" spans="1:9" x14ac:dyDescent="0.2">
      <c r="A1911" s="405"/>
      <c r="H1911" s="19"/>
      <c r="I1911" s="19"/>
    </row>
    <row r="1912" spans="1:9" x14ac:dyDescent="0.2">
      <c r="A1912" s="405"/>
      <c r="H1912" s="19"/>
      <c r="I1912" s="19"/>
    </row>
    <row r="1913" spans="1:9" x14ac:dyDescent="0.2">
      <c r="A1913" s="405"/>
      <c r="H1913" s="19"/>
      <c r="I1913" s="19"/>
    </row>
    <row r="1914" spans="1:9" x14ac:dyDescent="0.2">
      <c r="A1914" s="405"/>
      <c r="H1914" s="19"/>
    </row>
    <row r="1915" spans="1:9" x14ac:dyDescent="0.2">
      <c r="A1915" s="405"/>
      <c r="H1915" s="19"/>
      <c r="I1915" s="19"/>
    </row>
    <row r="1916" spans="1:9" x14ac:dyDescent="0.2">
      <c r="A1916" s="405"/>
      <c r="H1916" s="19"/>
      <c r="I1916" s="19"/>
    </row>
    <row r="1917" spans="1:9" x14ac:dyDescent="0.2">
      <c r="A1917" s="405"/>
      <c r="H1917" s="19"/>
      <c r="I1917" s="19"/>
    </row>
    <row r="1918" spans="1:9" x14ac:dyDescent="0.2">
      <c r="A1918" s="405"/>
      <c r="H1918" s="19"/>
      <c r="I1918" s="19"/>
    </row>
    <row r="1919" spans="1:9" x14ac:dyDescent="0.2">
      <c r="A1919" s="405"/>
      <c r="H1919" s="19"/>
      <c r="I1919" s="19"/>
    </row>
    <row r="1920" spans="1:9" x14ac:dyDescent="0.2">
      <c r="A1920" s="405"/>
      <c r="H1920" s="19"/>
      <c r="I1920" s="19"/>
    </row>
    <row r="1921" spans="1:9" x14ac:dyDescent="0.2">
      <c r="A1921" s="405"/>
      <c r="H1921" s="19"/>
      <c r="I1921" s="19"/>
    </row>
    <row r="1922" spans="1:9" x14ac:dyDescent="0.2">
      <c r="A1922" s="405"/>
      <c r="H1922" s="19"/>
      <c r="I1922" s="19"/>
    </row>
    <row r="1923" spans="1:9" x14ac:dyDescent="0.2">
      <c r="A1923" s="405"/>
      <c r="I1923" s="19"/>
    </row>
    <row r="1924" spans="1:9" x14ac:dyDescent="0.2">
      <c r="A1924" s="405"/>
      <c r="H1924" s="19"/>
      <c r="I1924" s="19"/>
    </row>
    <row r="1925" spans="1:9" x14ac:dyDescent="0.2">
      <c r="A1925" s="405"/>
      <c r="H1925" s="19"/>
      <c r="I1925" s="19"/>
    </row>
    <row r="1926" spans="1:9" x14ac:dyDescent="0.2">
      <c r="A1926" s="405"/>
      <c r="H1926" s="19"/>
      <c r="I1926" s="19"/>
    </row>
    <row r="1927" spans="1:9" x14ac:dyDescent="0.2">
      <c r="A1927" s="405"/>
      <c r="H1927" s="19"/>
      <c r="I1927" s="19"/>
    </row>
    <row r="1928" spans="1:9" x14ac:dyDescent="0.2">
      <c r="A1928" s="405"/>
      <c r="H1928" s="19"/>
      <c r="I1928" s="19"/>
    </row>
    <row r="1929" spans="1:9" x14ac:dyDescent="0.2">
      <c r="A1929" s="405"/>
      <c r="H1929" s="19"/>
      <c r="I1929" s="19"/>
    </row>
    <row r="1930" spans="1:9" x14ac:dyDescent="0.2">
      <c r="A1930" s="405"/>
      <c r="H1930" s="19"/>
      <c r="I1930" s="19"/>
    </row>
    <row r="1931" spans="1:9" x14ac:dyDescent="0.2">
      <c r="A1931" s="405"/>
      <c r="H1931" s="19"/>
    </row>
    <row r="1932" spans="1:9" x14ac:dyDescent="0.2">
      <c r="A1932" s="405"/>
      <c r="H1932" s="19"/>
      <c r="I1932" s="19"/>
    </row>
    <row r="1933" spans="1:9" x14ac:dyDescent="0.2">
      <c r="A1933" s="405"/>
    </row>
    <row r="1934" spans="1:9" x14ac:dyDescent="0.2">
      <c r="A1934" s="405"/>
      <c r="H1934" s="19"/>
    </row>
    <row r="1935" spans="1:9" x14ac:dyDescent="0.2">
      <c r="A1935" s="405"/>
      <c r="H1935" s="19"/>
    </row>
    <row r="1936" spans="1:9" x14ac:dyDescent="0.2">
      <c r="A1936" s="405"/>
      <c r="H1936" s="19"/>
      <c r="I1936" s="19"/>
    </row>
    <row r="1937" spans="1:9" x14ac:dyDescent="0.2">
      <c r="A1937" s="405"/>
      <c r="H1937" s="19"/>
    </row>
    <row r="1938" spans="1:9" x14ac:dyDescent="0.2">
      <c r="A1938" s="405"/>
      <c r="H1938" s="19"/>
    </row>
    <row r="1939" spans="1:9" x14ac:dyDescent="0.2">
      <c r="A1939" s="405"/>
      <c r="H1939" s="19"/>
    </row>
    <row r="1940" spans="1:9" x14ac:dyDescent="0.2">
      <c r="A1940" s="405"/>
      <c r="H1940" s="19"/>
      <c r="I1940" s="19"/>
    </row>
    <row r="1941" spans="1:9" x14ac:dyDescent="0.2">
      <c r="A1941" s="405"/>
      <c r="H1941" s="19"/>
      <c r="I1941" s="19"/>
    </row>
    <row r="1942" spans="1:9" x14ac:dyDescent="0.2">
      <c r="A1942" s="405"/>
      <c r="H1942" s="19"/>
      <c r="I1942" s="19"/>
    </row>
    <row r="1943" spans="1:9" x14ac:dyDescent="0.2">
      <c r="A1943" s="405"/>
      <c r="H1943" s="19"/>
      <c r="I1943" s="19"/>
    </row>
    <row r="1944" spans="1:9" x14ac:dyDescent="0.2">
      <c r="A1944" s="405"/>
      <c r="H1944" s="19"/>
      <c r="I1944" s="19"/>
    </row>
    <row r="1945" spans="1:9" x14ac:dyDescent="0.2">
      <c r="A1945" s="405"/>
      <c r="H1945" s="19"/>
      <c r="I1945" s="19"/>
    </row>
    <row r="1946" spans="1:9" x14ac:dyDescent="0.2">
      <c r="A1946" s="405"/>
      <c r="H1946" s="19"/>
      <c r="I1946" s="19"/>
    </row>
    <row r="1947" spans="1:9" x14ac:dyDescent="0.2">
      <c r="A1947" s="405"/>
      <c r="H1947" s="19"/>
      <c r="I1947" s="19"/>
    </row>
    <row r="1948" spans="1:9" x14ac:dyDescent="0.2">
      <c r="A1948" s="405"/>
      <c r="H1948" s="19"/>
      <c r="I1948" s="19"/>
    </row>
    <row r="1949" spans="1:9" x14ac:dyDescent="0.2">
      <c r="A1949" s="405"/>
      <c r="H1949" s="19"/>
      <c r="I1949" s="19"/>
    </row>
    <row r="1950" spans="1:9" x14ac:dyDescent="0.2">
      <c r="A1950" s="405"/>
      <c r="H1950" s="19"/>
      <c r="I1950" s="19"/>
    </row>
    <row r="1951" spans="1:9" x14ac:dyDescent="0.2">
      <c r="A1951" s="405"/>
      <c r="H1951" s="19"/>
      <c r="I1951" s="19"/>
    </row>
    <row r="1952" spans="1:9" x14ac:dyDescent="0.2">
      <c r="A1952" s="405"/>
      <c r="H1952" s="19"/>
      <c r="I1952" s="19"/>
    </row>
    <row r="1953" spans="1:9" x14ac:dyDescent="0.2">
      <c r="A1953" s="405"/>
      <c r="H1953" s="19"/>
      <c r="I1953" s="19"/>
    </row>
    <row r="1954" spans="1:9" x14ac:dyDescent="0.2">
      <c r="A1954" s="405"/>
      <c r="H1954" s="19"/>
      <c r="I1954" s="19"/>
    </row>
    <row r="1955" spans="1:9" x14ac:dyDescent="0.2">
      <c r="A1955" s="405"/>
      <c r="H1955" s="19"/>
      <c r="I1955" s="19"/>
    </row>
    <row r="1956" spans="1:9" x14ac:dyDescent="0.2">
      <c r="A1956" s="405"/>
      <c r="H1956" s="19"/>
      <c r="I1956" s="19"/>
    </row>
    <row r="1957" spans="1:9" x14ac:dyDescent="0.2">
      <c r="A1957" s="405"/>
      <c r="H1957" s="19"/>
      <c r="I1957" s="19"/>
    </row>
    <row r="1958" spans="1:9" x14ac:dyDescent="0.2">
      <c r="A1958" s="405"/>
      <c r="H1958" s="19"/>
      <c r="I1958" s="19"/>
    </row>
    <row r="1959" spans="1:9" x14ac:dyDescent="0.2">
      <c r="A1959" s="405"/>
      <c r="H1959" s="19"/>
      <c r="I1959" s="19"/>
    </row>
    <row r="1960" spans="1:9" x14ac:dyDescent="0.2">
      <c r="A1960" s="405"/>
      <c r="H1960" s="19"/>
      <c r="I1960" s="19"/>
    </row>
    <row r="1961" spans="1:9" x14ac:dyDescent="0.2">
      <c r="A1961" s="405"/>
    </row>
    <row r="1962" spans="1:9" x14ac:dyDescent="0.2">
      <c r="A1962" s="405"/>
      <c r="H1962" s="19"/>
      <c r="I1962" s="19"/>
    </row>
    <row r="1963" spans="1:9" x14ac:dyDescent="0.2">
      <c r="A1963" s="405"/>
      <c r="H1963" s="19"/>
    </row>
    <row r="1964" spans="1:9" x14ac:dyDescent="0.2">
      <c r="A1964" s="405"/>
      <c r="H1964" s="19"/>
      <c r="I1964" s="19"/>
    </row>
    <row r="1965" spans="1:9" x14ac:dyDescent="0.2">
      <c r="A1965" s="405"/>
      <c r="H1965" s="19"/>
      <c r="I1965" s="19"/>
    </row>
    <row r="1966" spans="1:9" x14ac:dyDescent="0.2">
      <c r="A1966" s="405"/>
    </row>
    <row r="1967" spans="1:9" x14ac:dyDescent="0.2">
      <c r="A1967" s="405"/>
    </row>
    <row r="1968" spans="1:9" x14ac:dyDescent="0.2">
      <c r="A1968" s="405"/>
    </row>
    <row r="1969" spans="1:9" x14ac:dyDescent="0.2">
      <c r="A1969" s="405"/>
    </row>
    <row r="1970" spans="1:9" x14ac:dyDescent="0.2">
      <c r="A1970" s="405"/>
    </row>
    <row r="1971" spans="1:9" x14ac:dyDescent="0.2">
      <c r="A1971" s="405"/>
    </row>
    <row r="1972" spans="1:9" x14ac:dyDescent="0.2">
      <c r="A1972" s="405"/>
    </row>
    <row r="1973" spans="1:9" x14ac:dyDescent="0.2">
      <c r="A1973" s="405"/>
    </row>
    <row r="1974" spans="1:9" x14ac:dyDescent="0.2">
      <c r="A1974" s="405"/>
      <c r="H1974" s="19"/>
    </row>
    <row r="1975" spans="1:9" x14ac:dyDescent="0.2">
      <c r="A1975" s="405"/>
    </row>
    <row r="1976" spans="1:9" x14ac:dyDescent="0.2">
      <c r="A1976" s="405"/>
      <c r="H1976" s="19"/>
      <c r="I1976" s="19"/>
    </row>
    <row r="1977" spans="1:9" x14ac:dyDescent="0.2">
      <c r="A1977" s="405"/>
    </row>
    <row r="1978" spans="1:9" x14ac:dyDescent="0.2">
      <c r="A1978" s="405"/>
    </row>
    <row r="1979" spans="1:9" x14ac:dyDescent="0.2">
      <c r="A1979" s="405"/>
      <c r="H1979" s="19"/>
      <c r="I1979" s="19"/>
    </row>
    <row r="1980" spans="1:9" x14ac:dyDescent="0.2">
      <c r="A1980" s="405"/>
      <c r="H1980" s="19"/>
      <c r="I1980" s="19"/>
    </row>
    <row r="1981" spans="1:9" x14ac:dyDescent="0.2">
      <c r="A1981" s="405"/>
      <c r="H1981" s="19"/>
      <c r="I1981" s="19"/>
    </row>
    <row r="1982" spans="1:9" x14ac:dyDescent="0.2">
      <c r="A1982" s="405"/>
      <c r="H1982" s="19"/>
    </row>
    <row r="1983" spans="1:9" x14ac:dyDescent="0.2">
      <c r="A1983" s="405"/>
    </row>
    <row r="1984" spans="1:9" x14ac:dyDescent="0.2">
      <c r="A1984" s="405"/>
      <c r="H1984" s="19"/>
      <c r="I1984" s="19"/>
    </row>
    <row r="1985" spans="1:9" x14ac:dyDescent="0.2">
      <c r="A1985" s="405"/>
    </row>
    <row r="1986" spans="1:9" x14ac:dyDescent="0.2">
      <c r="A1986" s="405"/>
      <c r="H1986" s="19"/>
    </row>
    <row r="1987" spans="1:9" x14ac:dyDescent="0.2">
      <c r="A1987" s="405"/>
      <c r="H1987" s="19"/>
      <c r="I1987" s="19"/>
    </row>
    <row r="1988" spans="1:9" x14ac:dyDescent="0.2">
      <c r="A1988" s="405"/>
      <c r="H1988" s="19"/>
      <c r="I1988" s="19"/>
    </row>
    <row r="1989" spans="1:9" x14ac:dyDescent="0.2">
      <c r="A1989" s="405"/>
      <c r="H1989" s="19"/>
      <c r="I1989" s="19"/>
    </row>
    <row r="1990" spans="1:9" x14ac:dyDescent="0.2">
      <c r="A1990" s="405"/>
    </row>
    <row r="1991" spans="1:9" x14ac:dyDescent="0.2">
      <c r="A1991" s="405"/>
    </row>
    <row r="1992" spans="1:9" x14ac:dyDescent="0.2">
      <c r="A1992" s="405"/>
      <c r="H1992" s="19"/>
      <c r="I1992" s="19"/>
    </row>
    <row r="1993" spans="1:9" x14ac:dyDescent="0.2">
      <c r="A1993" s="405"/>
      <c r="H1993" s="19"/>
      <c r="I1993" s="19"/>
    </row>
    <row r="1994" spans="1:9" x14ac:dyDescent="0.2">
      <c r="A1994" s="405"/>
      <c r="H1994" s="19"/>
    </row>
    <row r="1995" spans="1:9" x14ac:dyDescent="0.2">
      <c r="A1995" s="405"/>
    </row>
    <row r="1996" spans="1:9" x14ac:dyDescent="0.2">
      <c r="A1996" s="405"/>
      <c r="H1996" s="19"/>
      <c r="I1996" s="19"/>
    </row>
    <row r="1997" spans="1:9" x14ac:dyDescent="0.2">
      <c r="A1997" s="405"/>
      <c r="H1997" s="19"/>
      <c r="I1997" s="19"/>
    </row>
    <row r="1998" spans="1:9" x14ac:dyDescent="0.2">
      <c r="A1998" s="405"/>
    </row>
    <row r="1999" spans="1:9" x14ac:dyDescent="0.2">
      <c r="A1999" s="405"/>
    </row>
    <row r="2000" spans="1:9" x14ac:dyDescent="0.2">
      <c r="A2000" s="405"/>
      <c r="H2000" s="19"/>
      <c r="I2000" s="19"/>
    </row>
    <row r="2001" spans="1:9" x14ac:dyDescent="0.2">
      <c r="A2001" s="405"/>
      <c r="H2001" s="19"/>
      <c r="I2001" s="19"/>
    </row>
    <row r="2002" spans="1:9" x14ac:dyDescent="0.2">
      <c r="A2002" s="405"/>
    </row>
    <row r="2003" spans="1:9" x14ac:dyDescent="0.2">
      <c r="A2003" s="405"/>
    </row>
    <row r="2004" spans="1:9" x14ac:dyDescent="0.2">
      <c r="A2004" s="405"/>
      <c r="H2004" s="19"/>
      <c r="I2004" s="19"/>
    </row>
    <row r="2005" spans="1:9" x14ac:dyDescent="0.2">
      <c r="A2005" s="405"/>
      <c r="H2005" s="19"/>
      <c r="I2005" s="19"/>
    </row>
    <row r="2006" spans="1:9" x14ac:dyDescent="0.2">
      <c r="A2006" s="405"/>
    </row>
    <row r="2007" spans="1:9" x14ac:dyDescent="0.2">
      <c r="A2007" s="405"/>
    </row>
    <row r="2008" spans="1:9" x14ac:dyDescent="0.2">
      <c r="A2008" s="405"/>
    </row>
    <row r="2009" spans="1:9" x14ac:dyDescent="0.2">
      <c r="A2009" s="405"/>
    </row>
    <row r="2010" spans="1:9" x14ac:dyDescent="0.2">
      <c r="A2010" s="405"/>
    </row>
    <row r="2011" spans="1:9" x14ac:dyDescent="0.2">
      <c r="A2011" s="405"/>
      <c r="H2011" s="19"/>
      <c r="I2011" s="19"/>
    </row>
    <row r="2012" spans="1:9" x14ac:dyDescent="0.2">
      <c r="A2012" s="405"/>
      <c r="H2012" s="19"/>
      <c r="I2012" s="19"/>
    </row>
    <row r="2013" spans="1:9" x14ac:dyDescent="0.2">
      <c r="A2013" s="405"/>
    </row>
    <row r="2014" spans="1:9" x14ac:dyDescent="0.2">
      <c r="A2014" s="405"/>
    </row>
    <row r="2015" spans="1:9" x14ac:dyDescent="0.2">
      <c r="A2015" s="405"/>
    </row>
    <row r="2016" spans="1:9" x14ac:dyDescent="0.2">
      <c r="A2016" s="405"/>
    </row>
    <row r="2017" spans="1:9" x14ac:dyDescent="0.2">
      <c r="A2017" s="405"/>
      <c r="H2017" s="19"/>
      <c r="I2017" s="19"/>
    </row>
    <row r="2018" spans="1:9" x14ac:dyDescent="0.2">
      <c r="A2018" s="405"/>
      <c r="H2018" s="19"/>
      <c r="I2018" s="19"/>
    </row>
    <row r="2019" spans="1:9" x14ac:dyDescent="0.2">
      <c r="A2019" s="405"/>
      <c r="H2019" s="19"/>
      <c r="I2019" s="19"/>
    </row>
    <row r="2020" spans="1:9" x14ac:dyDescent="0.2">
      <c r="A2020" s="405"/>
      <c r="H2020" s="19"/>
      <c r="I2020" s="19"/>
    </row>
    <row r="2021" spans="1:9" x14ac:dyDescent="0.2">
      <c r="A2021" s="405"/>
    </row>
    <row r="2022" spans="1:9" x14ac:dyDescent="0.2">
      <c r="A2022" s="405"/>
    </row>
    <row r="2023" spans="1:9" x14ac:dyDescent="0.2">
      <c r="A2023" s="405"/>
    </row>
    <row r="2024" spans="1:9" x14ac:dyDescent="0.2">
      <c r="A2024" s="405"/>
    </row>
    <row r="2025" spans="1:9" x14ac:dyDescent="0.2">
      <c r="A2025" s="405"/>
      <c r="H2025" s="19"/>
      <c r="I2025" s="19"/>
    </row>
    <row r="2026" spans="1:9" x14ac:dyDescent="0.2">
      <c r="A2026" s="405"/>
      <c r="H2026" s="19"/>
      <c r="I2026" s="19"/>
    </row>
    <row r="2027" spans="1:9" x14ac:dyDescent="0.2">
      <c r="A2027" s="405"/>
      <c r="H2027" s="19"/>
      <c r="I2027" s="19"/>
    </row>
    <row r="2028" spans="1:9" x14ac:dyDescent="0.2">
      <c r="A2028" s="405"/>
      <c r="H2028" s="19"/>
      <c r="I2028" s="19"/>
    </row>
    <row r="2029" spans="1:9" x14ac:dyDescent="0.2">
      <c r="A2029" s="405"/>
      <c r="H2029" s="19"/>
      <c r="I2029" s="19"/>
    </row>
    <row r="2030" spans="1:9" x14ac:dyDescent="0.2">
      <c r="A2030" s="405"/>
      <c r="H2030" s="19"/>
    </row>
    <row r="2031" spans="1:9" x14ac:dyDescent="0.2">
      <c r="A2031" s="405"/>
    </row>
    <row r="2032" spans="1:9" x14ac:dyDescent="0.2">
      <c r="A2032" s="405"/>
      <c r="H2032" s="19"/>
      <c r="I2032" s="19"/>
    </row>
    <row r="2033" spans="1:9" x14ac:dyDescent="0.2">
      <c r="A2033" s="405"/>
      <c r="H2033" s="19"/>
      <c r="I2033" s="19"/>
    </row>
    <row r="2034" spans="1:9" x14ac:dyDescent="0.2">
      <c r="A2034" s="405"/>
    </row>
    <row r="2035" spans="1:9" x14ac:dyDescent="0.2">
      <c r="A2035" s="405"/>
      <c r="I2035" s="19"/>
    </row>
    <row r="2036" spans="1:9" x14ac:dyDescent="0.2">
      <c r="A2036" s="405"/>
    </row>
    <row r="2037" spans="1:9" x14ac:dyDescent="0.2">
      <c r="A2037" s="405"/>
      <c r="H2037" s="19"/>
      <c r="I2037" s="19"/>
    </row>
    <row r="2038" spans="1:9" x14ac:dyDescent="0.2">
      <c r="A2038" s="405"/>
      <c r="H2038" s="19"/>
    </row>
    <row r="2039" spans="1:9" x14ac:dyDescent="0.2">
      <c r="A2039" s="405"/>
    </row>
    <row r="2040" spans="1:9" x14ac:dyDescent="0.2">
      <c r="A2040" s="405"/>
      <c r="H2040" s="19"/>
      <c r="I2040" s="19"/>
    </row>
    <row r="2041" spans="1:9" x14ac:dyDescent="0.2">
      <c r="A2041" s="405"/>
      <c r="H2041" s="19"/>
      <c r="I2041" s="19"/>
    </row>
    <row r="2042" spans="1:9" x14ac:dyDescent="0.2">
      <c r="A2042" s="405"/>
      <c r="H2042" s="19"/>
      <c r="I2042" s="19"/>
    </row>
    <row r="2043" spans="1:9" x14ac:dyDescent="0.2">
      <c r="A2043" s="405"/>
      <c r="H2043" s="19"/>
      <c r="I2043" s="19"/>
    </row>
    <row r="2044" spans="1:9" x14ac:dyDescent="0.2">
      <c r="A2044" s="405"/>
      <c r="H2044" s="19"/>
      <c r="I2044" s="19"/>
    </row>
    <row r="2045" spans="1:9" x14ac:dyDescent="0.2">
      <c r="A2045" s="405"/>
    </row>
    <row r="2046" spans="1:9" x14ac:dyDescent="0.2">
      <c r="A2046" s="405"/>
    </row>
    <row r="2047" spans="1:9" x14ac:dyDescent="0.2">
      <c r="A2047" s="405"/>
    </row>
    <row r="2048" spans="1:9" x14ac:dyDescent="0.2">
      <c r="A2048" s="405"/>
    </row>
    <row r="2049" spans="1:9" x14ac:dyDescent="0.2">
      <c r="A2049" s="405"/>
    </row>
    <row r="2050" spans="1:9" x14ac:dyDescent="0.2">
      <c r="A2050" s="405"/>
      <c r="H2050" s="19"/>
      <c r="I2050" s="19"/>
    </row>
    <row r="2051" spans="1:9" x14ac:dyDescent="0.2">
      <c r="A2051" s="405"/>
      <c r="H2051" s="19"/>
      <c r="I2051" s="19"/>
    </row>
    <row r="2052" spans="1:9" x14ac:dyDescent="0.2">
      <c r="A2052" s="405"/>
      <c r="H2052" s="19"/>
      <c r="I2052" s="19"/>
    </row>
    <row r="2053" spans="1:9" x14ac:dyDescent="0.2">
      <c r="A2053" s="405"/>
    </row>
    <row r="2054" spans="1:9" x14ac:dyDescent="0.2">
      <c r="A2054" s="405"/>
    </row>
    <row r="2055" spans="1:9" x14ac:dyDescent="0.2">
      <c r="A2055" s="405"/>
    </row>
    <row r="2056" spans="1:9" x14ac:dyDescent="0.2">
      <c r="A2056" s="405"/>
    </row>
    <row r="2057" spans="1:9" x14ac:dyDescent="0.2">
      <c r="A2057" s="405"/>
    </row>
    <row r="2058" spans="1:9" x14ac:dyDescent="0.2">
      <c r="A2058" s="405"/>
      <c r="H2058" s="19"/>
      <c r="I2058" s="19"/>
    </row>
    <row r="2059" spans="1:9" x14ac:dyDescent="0.2">
      <c r="A2059" s="405"/>
      <c r="H2059" s="19"/>
      <c r="I2059" s="19"/>
    </row>
    <row r="2060" spans="1:9" x14ac:dyDescent="0.2">
      <c r="A2060" s="405"/>
      <c r="H2060" s="19"/>
      <c r="I2060" s="19"/>
    </row>
    <row r="2061" spans="1:9" x14ac:dyDescent="0.2">
      <c r="A2061" s="405"/>
      <c r="H2061" s="19"/>
      <c r="I2061" s="19"/>
    </row>
    <row r="2062" spans="1:9" x14ac:dyDescent="0.2">
      <c r="A2062" s="405"/>
      <c r="H2062" s="19"/>
      <c r="I2062" s="19"/>
    </row>
    <row r="2063" spans="1:9" x14ac:dyDescent="0.2">
      <c r="A2063" s="405"/>
      <c r="H2063" s="19"/>
      <c r="I2063" s="19"/>
    </row>
    <row r="2064" spans="1:9" x14ac:dyDescent="0.2">
      <c r="A2064" s="405"/>
    </row>
    <row r="2065" spans="1:9" x14ac:dyDescent="0.2">
      <c r="A2065" s="405"/>
    </row>
    <row r="2066" spans="1:9" x14ac:dyDescent="0.2">
      <c r="A2066" s="405"/>
    </row>
    <row r="2067" spans="1:9" x14ac:dyDescent="0.2">
      <c r="A2067" s="405"/>
    </row>
    <row r="2068" spans="1:9" x14ac:dyDescent="0.2">
      <c r="A2068" s="405"/>
      <c r="H2068" s="19"/>
      <c r="I2068" s="19"/>
    </row>
    <row r="2069" spans="1:9" x14ac:dyDescent="0.2">
      <c r="A2069" s="405"/>
      <c r="H2069" s="19"/>
      <c r="I2069" s="19"/>
    </row>
    <row r="2070" spans="1:9" x14ac:dyDescent="0.2">
      <c r="A2070" s="405"/>
      <c r="H2070" s="19"/>
      <c r="I2070" s="19"/>
    </row>
    <row r="2071" spans="1:9" x14ac:dyDescent="0.2">
      <c r="A2071" s="405"/>
      <c r="H2071" s="19"/>
      <c r="I2071" s="19"/>
    </row>
    <row r="2072" spans="1:9" x14ac:dyDescent="0.2">
      <c r="A2072" s="405"/>
    </row>
    <row r="2073" spans="1:9" x14ac:dyDescent="0.2">
      <c r="A2073" s="405"/>
      <c r="H2073" s="19"/>
      <c r="I2073" s="19"/>
    </row>
    <row r="2074" spans="1:9" x14ac:dyDescent="0.2">
      <c r="A2074" s="405"/>
    </row>
    <row r="2075" spans="1:9" x14ac:dyDescent="0.2">
      <c r="A2075" s="405"/>
    </row>
    <row r="2076" spans="1:9" x14ac:dyDescent="0.2">
      <c r="A2076" s="405"/>
    </row>
    <row r="2077" spans="1:9" x14ac:dyDescent="0.2">
      <c r="A2077" s="405"/>
    </row>
    <row r="2078" spans="1:9" x14ac:dyDescent="0.2">
      <c r="A2078" s="405"/>
    </row>
    <row r="2079" spans="1:9" x14ac:dyDescent="0.2">
      <c r="A2079" s="405"/>
      <c r="H2079" s="19"/>
      <c r="I2079" s="19"/>
    </row>
    <row r="2080" spans="1:9" x14ac:dyDescent="0.2">
      <c r="A2080" s="405"/>
    </row>
    <row r="2081" spans="1:9" x14ac:dyDescent="0.2">
      <c r="A2081" s="405"/>
      <c r="H2081" s="19"/>
      <c r="I2081" s="19"/>
    </row>
    <row r="2082" spans="1:9" x14ac:dyDescent="0.2">
      <c r="A2082" s="405"/>
    </row>
    <row r="2083" spans="1:9" x14ac:dyDescent="0.2">
      <c r="A2083" s="405"/>
      <c r="H2083" s="19"/>
      <c r="I2083" s="19"/>
    </row>
    <row r="2084" spans="1:9" x14ac:dyDescent="0.2">
      <c r="A2084" s="405"/>
      <c r="H2084" s="19"/>
      <c r="I2084" s="19"/>
    </row>
    <row r="2085" spans="1:9" x14ac:dyDescent="0.2">
      <c r="A2085" s="405"/>
    </row>
    <row r="2086" spans="1:9" x14ac:dyDescent="0.2">
      <c r="A2086" s="405"/>
    </row>
    <row r="2087" spans="1:9" x14ac:dyDescent="0.2">
      <c r="A2087" s="405"/>
      <c r="H2087" s="19"/>
      <c r="I2087" s="19"/>
    </row>
    <row r="2088" spans="1:9" x14ac:dyDescent="0.2">
      <c r="A2088" s="405"/>
      <c r="H2088" s="19"/>
      <c r="I2088" s="19"/>
    </row>
    <row r="2089" spans="1:9" x14ac:dyDescent="0.2">
      <c r="A2089" s="405"/>
      <c r="H2089" s="19"/>
    </row>
    <row r="2090" spans="1:9" x14ac:dyDescent="0.2">
      <c r="A2090" s="405"/>
      <c r="H2090" s="19"/>
    </row>
    <row r="2091" spans="1:9" x14ac:dyDescent="0.2">
      <c r="A2091" s="405"/>
      <c r="H2091" s="19"/>
      <c r="I2091" s="19"/>
    </row>
    <row r="2092" spans="1:9" x14ac:dyDescent="0.2">
      <c r="A2092" s="405"/>
      <c r="H2092" s="19"/>
      <c r="I2092" s="19"/>
    </row>
    <row r="2093" spans="1:9" x14ac:dyDescent="0.2">
      <c r="A2093" s="405"/>
      <c r="H2093" s="19"/>
      <c r="I2093" s="19"/>
    </row>
    <row r="2094" spans="1:9" x14ac:dyDescent="0.2">
      <c r="A2094" s="405"/>
      <c r="H2094" s="19"/>
    </row>
    <row r="2095" spans="1:9" x14ac:dyDescent="0.2">
      <c r="A2095" s="405"/>
      <c r="H2095" s="19"/>
      <c r="I2095" s="19"/>
    </row>
    <row r="2096" spans="1:9" x14ac:dyDescent="0.2">
      <c r="A2096" s="405"/>
      <c r="H2096" s="19"/>
      <c r="I2096" s="19"/>
    </row>
    <row r="2097" spans="1:9" x14ac:dyDescent="0.2">
      <c r="A2097" s="405"/>
      <c r="H2097" s="19"/>
    </row>
    <row r="2098" spans="1:9" x14ac:dyDescent="0.2">
      <c r="A2098" s="405"/>
      <c r="H2098" s="19"/>
    </row>
    <row r="2099" spans="1:9" x14ac:dyDescent="0.2">
      <c r="A2099" s="405"/>
      <c r="H2099" s="19"/>
      <c r="I2099" s="19"/>
    </row>
    <row r="2100" spans="1:9" x14ac:dyDescent="0.2">
      <c r="A2100" s="405"/>
      <c r="H2100" s="19"/>
    </row>
    <row r="2101" spans="1:9" x14ac:dyDescent="0.2">
      <c r="A2101" s="405"/>
      <c r="H2101" s="19"/>
      <c r="I2101" s="19"/>
    </row>
    <row r="2102" spans="1:9" x14ac:dyDescent="0.2">
      <c r="A2102" s="405"/>
      <c r="H2102" s="19"/>
    </row>
    <row r="2103" spans="1:9" x14ac:dyDescent="0.2">
      <c r="A2103" s="405"/>
      <c r="I2103" s="19"/>
    </row>
    <row r="2104" spans="1:9" x14ac:dyDescent="0.2">
      <c r="A2104" s="405"/>
      <c r="H2104" s="19"/>
    </row>
    <row r="2105" spans="1:9" x14ac:dyDescent="0.2">
      <c r="A2105" s="405"/>
    </row>
    <row r="2106" spans="1:9" x14ac:dyDescent="0.2">
      <c r="A2106" s="405"/>
    </row>
    <row r="2107" spans="1:9" x14ac:dyDescent="0.2">
      <c r="A2107" s="405"/>
    </row>
    <row r="2108" spans="1:9" x14ac:dyDescent="0.2">
      <c r="A2108" s="405"/>
      <c r="H2108" s="19"/>
      <c r="I2108" s="19"/>
    </row>
    <row r="2109" spans="1:9" x14ac:dyDescent="0.2">
      <c r="A2109" s="405"/>
    </row>
    <row r="2110" spans="1:9" x14ac:dyDescent="0.2">
      <c r="A2110" s="405"/>
      <c r="H2110" s="19"/>
      <c r="I2110" s="19"/>
    </row>
    <row r="2111" spans="1:9" x14ac:dyDescent="0.2">
      <c r="A2111" s="405"/>
      <c r="H2111" s="19"/>
      <c r="I2111" s="19"/>
    </row>
    <row r="2112" spans="1:9" x14ac:dyDescent="0.2">
      <c r="A2112" s="405"/>
    </row>
    <row r="2113" spans="1:9" x14ac:dyDescent="0.2">
      <c r="A2113" s="405"/>
    </row>
    <row r="2114" spans="1:9" x14ac:dyDescent="0.2">
      <c r="A2114" s="405"/>
      <c r="H2114" s="19"/>
    </row>
    <row r="2115" spans="1:9" x14ac:dyDescent="0.2">
      <c r="A2115" s="405"/>
    </row>
    <row r="2116" spans="1:9" x14ac:dyDescent="0.2">
      <c r="A2116" s="405"/>
      <c r="H2116" s="19"/>
      <c r="I2116" s="19"/>
    </row>
    <row r="2117" spans="1:9" x14ac:dyDescent="0.2">
      <c r="A2117" s="405"/>
    </row>
    <row r="2118" spans="1:9" x14ac:dyDescent="0.2">
      <c r="A2118" s="405"/>
      <c r="H2118" s="19"/>
      <c r="I2118" s="19"/>
    </row>
    <row r="2119" spans="1:9" x14ac:dyDescent="0.2">
      <c r="A2119" s="405"/>
      <c r="H2119" s="19"/>
      <c r="I2119" s="19"/>
    </row>
    <row r="2120" spans="1:9" x14ac:dyDescent="0.2">
      <c r="A2120" s="405"/>
    </row>
    <row r="2121" spans="1:9" x14ac:dyDescent="0.2">
      <c r="A2121" s="405"/>
    </row>
    <row r="2122" spans="1:9" x14ac:dyDescent="0.2">
      <c r="A2122" s="405"/>
      <c r="H2122" s="19"/>
    </row>
    <row r="2123" spans="1:9" x14ac:dyDescent="0.2">
      <c r="A2123" s="405"/>
    </row>
    <row r="2124" spans="1:9" x14ac:dyDescent="0.2">
      <c r="A2124" s="405"/>
    </row>
    <row r="2125" spans="1:9" x14ac:dyDescent="0.2">
      <c r="A2125" s="405"/>
    </row>
    <row r="2126" spans="1:9" x14ac:dyDescent="0.2">
      <c r="A2126" s="405"/>
    </row>
    <row r="2127" spans="1:9" x14ac:dyDescent="0.2">
      <c r="A2127" s="405"/>
    </row>
    <row r="2128" spans="1:9" x14ac:dyDescent="0.2">
      <c r="A2128" s="405"/>
    </row>
    <row r="2129" spans="1:9" x14ac:dyDescent="0.2">
      <c r="A2129" s="405"/>
    </row>
    <row r="2130" spans="1:9" x14ac:dyDescent="0.2">
      <c r="A2130" s="405"/>
    </row>
    <row r="2131" spans="1:9" x14ac:dyDescent="0.2">
      <c r="A2131" s="405"/>
    </row>
    <row r="2132" spans="1:9" x14ac:dyDescent="0.2">
      <c r="A2132" s="405"/>
    </row>
    <row r="2133" spans="1:9" x14ac:dyDescent="0.2">
      <c r="A2133" s="405"/>
      <c r="H2133" s="19"/>
      <c r="I2133" s="19"/>
    </row>
    <row r="2134" spans="1:9" x14ac:dyDescent="0.2">
      <c r="A2134" s="405"/>
    </row>
    <row r="2135" spans="1:9" x14ac:dyDescent="0.2">
      <c r="A2135" s="405"/>
    </row>
    <row r="2136" spans="1:9" x14ac:dyDescent="0.2">
      <c r="A2136" s="405"/>
    </row>
    <row r="2137" spans="1:9" x14ac:dyDescent="0.2">
      <c r="A2137" s="405"/>
    </row>
    <row r="2138" spans="1:9" x14ac:dyDescent="0.2">
      <c r="A2138" s="405"/>
      <c r="H2138" s="19"/>
      <c r="I2138" s="19"/>
    </row>
    <row r="2139" spans="1:9" x14ac:dyDescent="0.2">
      <c r="A2139" s="405"/>
      <c r="H2139" s="19"/>
    </row>
    <row r="2140" spans="1:9" x14ac:dyDescent="0.2">
      <c r="A2140" s="405"/>
    </row>
    <row r="2141" spans="1:9" x14ac:dyDescent="0.2">
      <c r="A2141" s="405"/>
      <c r="H2141" s="19"/>
      <c r="I2141" s="19"/>
    </row>
    <row r="2142" spans="1:9" x14ac:dyDescent="0.2">
      <c r="A2142" s="405"/>
    </row>
    <row r="2143" spans="1:9" x14ac:dyDescent="0.2">
      <c r="A2143" s="405"/>
    </row>
    <row r="2144" spans="1:9" x14ac:dyDescent="0.2">
      <c r="A2144" s="405"/>
    </row>
    <row r="2145" spans="1:9" x14ac:dyDescent="0.2">
      <c r="A2145" s="405"/>
    </row>
    <row r="2146" spans="1:9" x14ac:dyDescent="0.2">
      <c r="A2146" s="405"/>
      <c r="H2146" s="19"/>
      <c r="I2146" s="19"/>
    </row>
    <row r="2147" spans="1:9" x14ac:dyDescent="0.2">
      <c r="A2147" s="405"/>
      <c r="H2147" s="19"/>
    </row>
    <row r="2148" spans="1:9" x14ac:dyDescent="0.2">
      <c r="A2148" s="405"/>
    </row>
    <row r="2149" spans="1:9" x14ac:dyDescent="0.2">
      <c r="A2149" s="405"/>
    </row>
    <row r="2150" spans="1:9" x14ac:dyDescent="0.2">
      <c r="A2150" s="405"/>
    </row>
    <row r="2151" spans="1:9" x14ac:dyDescent="0.2">
      <c r="A2151" s="405"/>
      <c r="H2151" s="19"/>
      <c r="I2151" s="19"/>
    </row>
    <row r="2152" spans="1:9" x14ac:dyDescent="0.2">
      <c r="A2152" s="405"/>
      <c r="H2152" s="19"/>
      <c r="I2152" s="19"/>
    </row>
    <row r="2153" spans="1:9" x14ac:dyDescent="0.2">
      <c r="A2153" s="405"/>
    </row>
    <row r="2154" spans="1:9" x14ac:dyDescent="0.2">
      <c r="A2154" s="405"/>
    </row>
    <row r="2155" spans="1:9" x14ac:dyDescent="0.2">
      <c r="A2155" s="405"/>
      <c r="H2155" s="19"/>
      <c r="I2155" s="19"/>
    </row>
    <row r="2156" spans="1:9" x14ac:dyDescent="0.2">
      <c r="A2156" s="405"/>
      <c r="H2156" s="19"/>
      <c r="I2156" s="19"/>
    </row>
    <row r="2157" spans="1:9" x14ac:dyDescent="0.2">
      <c r="A2157" s="405"/>
      <c r="H2157" s="19"/>
      <c r="I2157" s="19"/>
    </row>
    <row r="2158" spans="1:9" x14ac:dyDescent="0.2">
      <c r="A2158" s="405"/>
    </row>
    <row r="2159" spans="1:9" x14ac:dyDescent="0.2">
      <c r="A2159" s="405"/>
      <c r="H2159" s="19"/>
      <c r="I2159" s="19"/>
    </row>
    <row r="2160" spans="1:9" x14ac:dyDescent="0.2">
      <c r="A2160" s="405"/>
      <c r="H2160" s="19"/>
      <c r="I2160" s="19"/>
    </row>
    <row r="2161" spans="1:9" x14ac:dyDescent="0.2">
      <c r="A2161" s="405"/>
    </row>
    <row r="2162" spans="1:9" x14ac:dyDescent="0.2">
      <c r="A2162" s="405"/>
    </row>
    <row r="2163" spans="1:9" x14ac:dyDescent="0.2">
      <c r="A2163" s="405"/>
      <c r="H2163" s="19"/>
      <c r="I2163" s="19"/>
    </row>
    <row r="2164" spans="1:9" x14ac:dyDescent="0.2">
      <c r="A2164" s="405"/>
      <c r="H2164" s="19"/>
      <c r="I2164" s="19"/>
    </row>
    <row r="2165" spans="1:9" x14ac:dyDescent="0.2">
      <c r="A2165" s="405"/>
      <c r="H2165" s="19"/>
      <c r="I2165" s="19"/>
    </row>
    <row r="2166" spans="1:9" x14ac:dyDescent="0.2">
      <c r="A2166" s="405"/>
    </row>
    <row r="2167" spans="1:9" x14ac:dyDescent="0.2">
      <c r="A2167" s="405"/>
    </row>
    <row r="2168" spans="1:9" x14ac:dyDescent="0.2">
      <c r="A2168" s="405"/>
    </row>
    <row r="2169" spans="1:9" x14ac:dyDescent="0.2">
      <c r="A2169" s="405"/>
    </row>
    <row r="2170" spans="1:9" x14ac:dyDescent="0.2">
      <c r="A2170" s="405"/>
      <c r="H2170" s="19"/>
      <c r="I2170" s="19"/>
    </row>
    <row r="2171" spans="1:9" x14ac:dyDescent="0.2">
      <c r="A2171" s="405"/>
    </row>
    <row r="2172" spans="1:9" x14ac:dyDescent="0.2">
      <c r="A2172" s="405"/>
    </row>
    <row r="2173" spans="1:9" x14ac:dyDescent="0.2">
      <c r="A2173" s="405"/>
      <c r="H2173" s="19"/>
      <c r="I2173" s="19"/>
    </row>
    <row r="2174" spans="1:9" x14ac:dyDescent="0.2">
      <c r="A2174" s="405"/>
    </row>
    <row r="2175" spans="1:9" x14ac:dyDescent="0.2">
      <c r="A2175" s="405"/>
    </row>
    <row r="2176" spans="1:9" x14ac:dyDescent="0.2">
      <c r="A2176" s="405"/>
    </row>
    <row r="2177" spans="1:9" x14ac:dyDescent="0.2">
      <c r="A2177" s="405"/>
      <c r="H2177" s="19"/>
      <c r="I2177" s="19"/>
    </row>
    <row r="2178" spans="1:9" x14ac:dyDescent="0.2">
      <c r="A2178" s="405"/>
      <c r="H2178" s="19"/>
      <c r="I2178" s="19"/>
    </row>
    <row r="2179" spans="1:9" x14ac:dyDescent="0.2">
      <c r="A2179" s="405"/>
    </row>
    <row r="2180" spans="1:9" x14ac:dyDescent="0.2">
      <c r="A2180" s="405"/>
    </row>
    <row r="2181" spans="1:9" x14ac:dyDescent="0.2">
      <c r="A2181" s="405"/>
      <c r="H2181" s="19"/>
      <c r="I2181" s="19"/>
    </row>
    <row r="2182" spans="1:9" x14ac:dyDescent="0.2">
      <c r="A2182" s="405"/>
    </row>
    <row r="2183" spans="1:9" x14ac:dyDescent="0.2">
      <c r="A2183" s="405"/>
    </row>
    <row r="2184" spans="1:9" x14ac:dyDescent="0.2">
      <c r="A2184" s="405"/>
    </row>
    <row r="2185" spans="1:9" x14ac:dyDescent="0.2">
      <c r="A2185" s="405"/>
      <c r="H2185" s="19"/>
      <c r="I2185" s="19"/>
    </row>
    <row r="2186" spans="1:9" x14ac:dyDescent="0.2">
      <c r="A2186" s="405"/>
    </row>
    <row r="2187" spans="1:9" x14ac:dyDescent="0.2">
      <c r="A2187" s="405"/>
      <c r="H2187" s="19"/>
    </row>
    <row r="2188" spans="1:9" x14ac:dyDescent="0.2">
      <c r="A2188" s="405"/>
    </row>
    <row r="2189" spans="1:9" x14ac:dyDescent="0.2">
      <c r="A2189" s="405"/>
    </row>
    <row r="2190" spans="1:9" x14ac:dyDescent="0.2">
      <c r="A2190" s="405"/>
    </row>
    <row r="2191" spans="1:9" x14ac:dyDescent="0.2">
      <c r="A2191" s="405"/>
    </row>
    <row r="2192" spans="1:9" x14ac:dyDescent="0.2">
      <c r="A2192" s="405"/>
      <c r="I2192" s="19"/>
    </row>
    <row r="2193" spans="1:9" x14ac:dyDescent="0.2">
      <c r="A2193" s="405"/>
    </row>
    <row r="2194" spans="1:9" x14ac:dyDescent="0.2">
      <c r="A2194" s="405"/>
    </row>
    <row r="2195" spans="1:9" x14ac:dyDescent="0.2">
      <c r="A2195" s="405"/>
      <c r="H2195" s="19"/>
    </row>
    <row r="2196" spans="1:9" x14ac:dyDescent="0.2">
      <c r="A2196" s="405"/>
    </row>
    <row r="2197" spans="1:9" x14ac:dyDescent="0.2">
      <c r="A2197" s="405"/>
    </row>
    <row r="2198" spans="1:9" x14ac:dyDescent="0.2">
      <c r="A2198" s="405"/>
    </row>
    <row r="2199" spans="1:9" x14ac:dyDescent="0.2">
      <c r="A2199" s="405"/>
    </row>
    <row r="2200" spans="1:9" x14ac:dyDescent="0.2">
      <c r="A2200" s="405"/>
      <c r="I2200" s="19"/>
    </row>
    <row r="2201" spans="1:9" x14ac:dyDescent="0.2">
      <c r="A2201" s="405"/>
    </row>
    <row r="2202" spans="1:9" x14ac:dyDescent="0.2">
      <c r="A2202" s="405"/>
    </row>
    <row r="2203" spans="1:9" x14ac:dyDescent="0.2">
      <c r="A2203" s="405"/>
    </row>
    <row r="2204" spans="1:9" x14ac:dyDescent="0.2">
      <c r="A2204" s="405"/>
    </row>
    <row r="2205" spans="1:9" x14ac:dyDescent="0.2">
      <c r="A2205" s="405"/>
      <c r="H2205" s="19"/>
      <c r="I2205" s="19"/>
    </row>
    <row r="2206" spans="1:9" x14ac:dyDescent="0.2">
      <c r="A2206" s="405"/>
    </row>
    <row r="2207" spans="1:9" x14ac:dyDescent="0.2">
      <c r="A2207" s="405"/>
    </row>
    <row r="2208" spans="1:9" x14ac:dyDescent="0.2">
      <c r="A2208" s="405"/>
    </row>
    <row r="2209" spans="1:9" x14ac:dyDescent="0.2">
      <c r="A2209" s="405"/>
    </row>
    <row r="2210" spans="1:9" x14ac:dyDescent="0.2">
      <c r="A2210" s="405"/>
    </row>
    <row r="2211" spans="1:9" x14ac:dyDescent="0.2">
      <c r="A2211" s="405"/>
    </row>
    <row r="2212" spans="1:9" x14ac:dyDescent="0.2">
      <c r="A2212" s="405"/>
    </row>
    <row r="2213" spans="1:9" x14ac:dyDescent="0.2">
      <c r="A2213" s="405"/>
      <c r="H2213" s="19"/>
      <c r="I2213" s="19"/>
    </row>
    <row r="2214" spans="1:9" x14ac:dyDescent="0.2">
      <c r="A2214" s="405"/>
    </row>
    <row r="2215" spans="1:9" x14ac:dyDescent="0.2">
      <c r="A2215" s="405"/>
    </row>
    <row r="2216" spans="1:9" x14ac:dyDescent="0.2">
      <c r="A2216" s="405"/>
    </row>
    <row r="2217" spans="1:9" x14ac:dyDescent="0.2">
      <c r="A2217" s="405"/>
      <c r="H2217" s="19"/>
      <c r="I2217" s="19"/>
    </row>
    <row r="2218" spans="1:9" x14ac:dyDescent="0.2">
      <c r="A2218" s="405"/>
    </row>
    <row r="2219" spans="1:9" x14ac:dyDescent="0.2">
      <c r="A2219" s="405"/>
      <c r="H2219" s="19"/>
      <c r="I2219" s="19"/>
    </row>
    <row r="2220" spans="1:9" x14ac:dyDescent="0.2">
      <c r="A2220" s="405"/>
      <c r="H2220" s="19"/>
      <c r="I2220" s="19"/>
    </row>
    <row r="2221" spans="1:9" x14ac:dyDescent="0.2">
      <c r="A2221" s="405"/>
    </row>
    <row r="2222" spans="1:9" x14ac:dyDescent="0.2">
      <c r="A2222" s="405"/>
      <c r="H2222" s="19"/>
      <c r="I2222" s="19"/>
    </row>
    <row r="2223" spans="1:9" x14ac:dyDescent="0.2">
      <c r="A2223" s="405"/>
      <c r="H2223" s="19"/>
    </row>
    <row r="2224" spans="1:9" x14ac:dyDescent="0.2">
      <c r="A2224" s="405"/>
      <c r="H2224" s="19"/>
    </row>
    <row r="2225" spans="1:9" x14ac:dyDescent="0.2">
      <c r="A2225" s="405"/>
      <c r="H2225" s="19"/>
      <c r="I2225" s="19"/>
    </row>
    <row r="2226" spans="1:9" x14ac:dyDescent="0.2">
      <c r="A2226" s="405"/>
    </row>
    <row r="2227" spans="1:9" x14ac:dyDescent="0.2">
      <c r="A2227" s="405"/>
      <c r="H2227" s="19"/>
      <c r="I2227" s="19"/>
    </row>
    <row r="2228" spans="1:9" x14ac:dyDescent="0.2">
      <c r="A2228" s="405"/>
      <c r="H2228" s="19"/>
      <c r="I2228" s="19"/>
    </row>
    <row r="2229" spans="1:9" x14ac:dyDescent="0.2">
      <c r="A2229" s="405"/>
    </row>
    <row r="2230" spans="1:9" x14ac:dyDescent="0.2">
      <c r="A2230" s="405"/>
      <c r="H2230" s="19"/>
      <c r="I2230" s="19"/>
    </row>
    <row r="2231" spans="1:9" x14ac:dyDescent="0.2">
      <c r="A2231" s="405"/>
      <c r="H2231" s="19"/>
    </row>
    <row r="2232" spans="1:9" x14ac:dyDescent="0.2">
      <c r="A2232" s="405"/>
      <c r="H2232" s="19"/>
    </row>
    <row r="2233" spans="1:9" x14ac:dyDescent="0.2">
      <c r="A2233" s="405"/>
    </row>
    <row r="2234" spans="1:9" x14ac:dyDescent="0.2">
      <c r="A2234" s="405"/>
    </row>
    <row r="2235" spans="1:9" x14ac:dyDescent="0.2">
      <c r="A2235" s="405"/>
    </row>
    <row r="2236" spans="1:9" x14ac:dyDescent="0.2">
      <c r="A2236" s="405"/>
    </row>
    <row r="2237" spans="1:9" x14ac:dyDescent="0.2">
      <c r="A2237" s="405"/>
    </row>
    <row r="2238" spans="1:9" x14ac:dyDescent="0.2">
      <c r="A2238" s="405"/>
    </row>
    <row r="2239" spans="1:9" x14ac:dyDescent="0.2">
      <c r="A2239" s="405"/>
    </row>
    <row r="2240" spans="1:9" x14ac:dyDescent="0.2">
      <c r="A2240" s="405"/>
    </row>
    <row r="2241" spans="1:9" x14ac:dyDescent="0.2">
      <c r="A2241" s="405"/>
    </row>
    <row r="2242" spans="1:9" x14ac:dyDescent="0.2">
      <c r="A2242" s="405"/>
      <c r="I2242" s="19"/>
    </row>
    <row r="2243" spans="1:9" x14ac:dyDescent="0.2">
      <c r="A2243" s="405"/>
    </row>
    <row r="2244" spans="1:9" x14ac:dyDescent="0.2">
      <c r="A2244" s="405"/>
    </row>
    <row r="2245" spans="1:9" x14ac:dyDescent="0.2">
      <c r="A2245" s="405"/>
    </row>
    <row r="2246" spans="1:9" x14ac:dyDescent="0.2">
      <c r="A2246" s="405"/>
    </row>
    <row r="2247" spans="1:9" x14ac:dyDescent="0.2">
      <c r="A2247" s="405"/>
    </row>
    <row r="2248" spans="1:9" x14ac:dyDescent="0.2">
      <c r="A2248" s="405"/>
    </row>
    <row r="2249" spans="1:9" x14ac:dyDescent="0.2">
      <c r="A2249" s="405"/>
    </row>
    <row r="2250" spans="1:9" x14ac:dyDescent="0.2">
      <c r="A2250" s="405"/>
      <c r="I2250" s="19"/>
    </row>
    <row r="2251" spans="1:9" x14ac:dyDescent="0.2">
      <c r="A2251" s="405"/>
    </row>
    <row r="2252" spans="1:9" x14ac:dyDescent="0.2">
      <c r="A2252" s="405"/>
    </row>
    <row r="2253" spans="1:9" x14ac:dyDescent="0.2">
      <c r="A2253" s="405"/>
    </row>
    <row r="2254" spans="1:9" x14ac:dyDescent="0.2">
      <c r="A2254" s="405"/>
    </row>
    <row r="2255" spans="1:9" x14ac:dyDescent="0.2">
      <c r="A2255" s="405"/>
    </row>
    <row r="2256" spans="1:9" x14ac:dyDescent="0.2">
      <c r="A2256" s="405"/>
    </row>
    <row r="2257" spans="1:9" x14ac:dyDescent="0.2">
      <c r="A2257" s="405"/>
      <c r="H2257" s="19"/>
    </row>
    <row r="2258" spans="1:9" x14ac:dyDescent="0.2">
      <c r="A2258" s="405"/>
      <c r="H2258" s="19"/>
    </row>
    <row r="2259" spans="1:9" x14ac:dyDescent="0.2">
      <c r="A2259" s="405"/>
      <c r="I2259" s="19"/>
    </row>
    <row r="2260" spans="1:9" x14ac:dyDescent="0.2">
      <c r="A2260" s="405"/>
      <c r="H2260" s="19"/>
      <c r="I2260" s="19"/>
    </row>
    <row r="2261" spans="1:9" x14ac:dyDescent="0.2">
      <c r="A2261" s="405"/>
      <c r="H2261" s="19"/>
    </row>
    <row r="2262" spans="1:9" x14ac:dyDescent="0.2">
      <c r="A2262" s="405"/>
      <c r="H2262" s="19"/>
    </row>
    <row r="2263" spans="1:9" x14ac:dyDescent="0.2">
      <c r="A2263" s="405"/>
    </row>
    <row r="2264" spans="1:9" x14ac:dyDescent="0.2">
      <c r="A2264" s="405"/>
    </row>
    <row r="2265" spans="1:9" x14ac:dyDescent="0.2">
      <c r="A2265" s="405"/>
      <c r="H2265" s="19"/>
    </row>
    <row r="2266" spans="1:9" x14ac:dyDescent="0.2">
      <c r="A2266" s="405"/>
      <c r="H2266" s="19"/>
    </row>
    <row r="2267" spans="1:9" x14ac:dyDescent="0.2">
      <c r="A2267" s="405"/>
      <c r="I2267" s="19"/>
    </row>
    <row r="2268" spans="1:9" x14ac:dyDescent="0.2">
      <c r="A2268" s="405"/>
      <c r="H2268" s="19"/>
      <c r="I2268" s="19"/>
    </row>
    <row r="2269" spans="1:9" x14ac:dyDescent="0.2">
      <c r="A2269" s="405"/>
      <c r="H2269" s="19"/>
    </row>
    <row r="2270" spans="1:9" x14ac:dyDescent="0.2">
      <c r="A2270" s="405"/>
      <c r="H2270" s="19"/>
    </row>
    <row r="2271" spans="1:9" x14ac:dyDescent="0.2">
      <c r="A2271" s="405"/>
      <c r="H2271" s="19"/>
    </row>
    <row r="2272" spans="1:9" x14ac:dyDescent="0.2">
      <c r="A2272" s="405"/>
    </row>
    <row r="2273" spans="1:9" x14ac:dyDescent="0.2">
      <c r="A2273" s="405"/>
    </row>
    <row r="2274" spans="1:9" x14ac:dyDescent="0.2">
      <c r="A2274" s="405"/>
      <c r="H2274" s="19"/>
    </row>
    <row r="2275" spans="1:9" x14ac:dyDescent="0.2">
      <c r="A2275" s="405"/>
    </row>
    <row r="2276" spans="1:9" x14ac:dyDescent="0.2">
      <c r="A2276" s="405"/>
    </row>
    <row r="2277" spans="1:9" x14ac:dyDescent="0.2">
      <c r="A2277" s="405"/>
    </row>
    <row r="2278" spans="1:9" x14ac:dyDescent="0.2">
      <c r="A2278" s="405"/>
      <c r="H2278" s="19"/>
    </row>
    <row r="2279" spans="1:9" x14ac:dyDescent="0.2">
      <c r="A2279" s="405"/>
      <c r="H2279" s="19"/>
    </row>
    <row r="2280" spans="1:9" x14ac:dyDescent="0.2">
      <c r="A2280" s="405"/>
      <c r="H2280" s="19"/>
    </row>
    <row r="2281" spans="1:9" x14ac:dyDescent="0.2">
      <c r="A2281" s="405"/>
    </row>
    <row r="2282" spans="1:9" x14ac:dyDescent="0.2">
      <c r="A2282" s="405"/>
      <c r="H2282" s="19"/>
    </row>
    <row r="2283" spans="1:9" x14ac:dyDescent="0.2">
      <c r="A2283" s="405"/>
    </row>
    <row r="2284" spans="1:9" x14ac:dyDescent="0.2">
      <c r="A2284" s="405"/>
    </row>
    <row r="2285" spans="1:9" x14ac:dyDescent="0.2">
      <c r="A2285" s="405"/>
      <c r="I2285" s="19"/>
    </row>
    <row r="2286" spans="1:9" x14ac:dyDescent="0.2">
      <c r="A2286" s="405"/>
    </row>
    <row r="2287" spans="1:9" x14ac:dyDescent="0.2">
      <c r="A2287" s="405"/>
      <c r="H2287" s="19"/>
      <c r="I2287" s="19"/>
    </row>
    <row r="2288" spans="1:9" x14ac:dyDescent="0.2">
      <c r="A2288" s="405"/>
      <c r="H2288" s="19"/>
    </row>
    <row r="2289" spans="1:9" x14ac:dyDescent="0.2">
      <c r="A2289" s="405"/>
    </row>
    <row r="2290" spans="1:9" x14ac:dyDescent="0.2">
      <c r="A2290" s="405"/>
    </row>
    <row r="2291" spans="1:9" x14ac:dyDescent="0.2">
      <c r="A2291" s="405"/>
    </row>
    <row r="2292" spans="1:9" x14ac:dyDescent="0.2">
      <c r="A2292" s="405"/>
    </row>
    <row r="2293" spans="1:9" x14ac:dyDescent="0.2">
      <c r="A2293" s="405"/>
      <c r="I2293" s="19"/>
    </row>
    <row r="2294" spans="1:9" x14ac:dyDescent="0.2">
      <c r="A2294" s="405"/>
      <c r="H2294" s="19"/>
      <c r="I2294" s="19"/>
    </row>
    <row r="2295" spans="1:9" x14ac:dyDescent="0.2">
      <c r="A2295" s="405"/>
      <c r="H2295" s="19"/>
      <c r="I2295" s="19"/>
    </row>
    <row r="2296" spans="1:9" x14ac:dyDescent="0.2">
      <c r="A2296" s="405"/>
    </row>
    <row r="2297" spans="1:9" x14ac:dyDescent="0.2">
      <c r="A2297" s="405"/>
    </row>
    <row r="2298" spans="1:9" x14ac:dyDescent="0.2">
      <c r="A2298" s="405"/>
    </row>
    <row r="2299" spans="1:9" x14ac:dyDescent="0.2">
      <c r="A2299" s="405"/>
    </row>
    <row r="2300" spans="1:9" x14ac:dyDescent="0.2">
      <c r="A2300" s="405"/>
    </row>
    <row r="2301" spans="1:9" x14ac:dyDescent="0.2">
      <c r="A2301" s="405"/>
    </row>
    <row r="2302" spans="1:9" x14ac:dyDescent="0.2">
      <c r="A2302" s="405"/>
      <c r="H2302" s="19"/>
      <c r="I2302" s="19"/>
    </row>
    <row r="2303" spans="1:9" x14ac:dyDescent="0.2">
      <c r="A2303" s="405"/>
      <c r="H2303" s="19"/>
      <c r="I2303" s="19"/>
    </row>
    <row r="2304" spans="1:9" x14ac:dyDescent="0.2">
      <c r="A2304" s="405"/>
      <c r="H2304" s="19"/>
      <c r="I2304" s="19"/>
    </row>
    <row r="2305" spans="1:9" x14ac:dyDescent="0.2">
      <c r="A2305" s="405"/>
      <c r="H2305" s="19"/>
      <c r="I2305" s="19"/>
    </row>
    <row r="2306" spans="1:9" x14ac:dyDescent="0.2">
      <c r="A2306" s="405"/>
    </row>
    <row r="2307" spans="1:9" x14ac:dyDescent="0.2">
      <c r="A2307" s="405"/>
    </row>
    <row r="2308" spans="1:9" x14ac:dyDescent="0.2">
      <c r="A2308" s="405"/>
      <c r="H2308" s="19"/>
      <c r="I2308" s="19"/>
    </row>
    <row r="2309" spans="1:9" x14ac:dyDescent="0.2">
      <c r="A2309" s="405"/>
    </row>
    <row r="2310" spans="1:9" x14ac:dyDescent="0.2">
      <c r="A2310" s="405"/>
      <c r="H2310" s="19"/>
      <c r="I2310" s="19"/>
    </row>
    <row r="2311" spans="1:9" x14ac:dyDescent="0.2">
      <c r="A2311" s="405"/>
      <c r="H2311" s="19"/>
      <c r="I2311" s="19"/>
    </row>
    <row r="2312" spans="1:9" x14ac:dyDescent="0.2">
      <c r="A2312" s="405"/>
      <c r="H2312" s="19"/>
      <c r="I2312" s="19"/>
    </row>
    <row r="2313" spans="1:9" x14ac:dyDescent="0.2">
      <c r="A2313" s="405"/>
      <c r="H2313" s="19"/>
      <c r="I2313" s="19"/>
    </row>
    <row r="2314" spans="1:9" x14ac:dyDescent="0.2">
      <c r="A2314" s="405"/>
    </row>
    <row r="2315" spans="1:9" x14ac:dyDescent="0.2">
      <c r="A2315" s="405"/>
    </row>
    <row r="2316" spans="1:9" x14ac:dyDescent="0.2">
      <c r="A2316" s="405"/>
      <c r="H2316" s="19"/>
      <c r="I2316" s="19"/>
    </row>
    <row r="2317" spans="1:9" x14ac:dyDescent="0.2">
      <c r="A2317" s="405"/>
    </row>
    <row r="2318" spans="1:9" x14ac:dyDescent="0.2">
      <c r="A2318" s="405"/>
      <c r="H2318" s="19"/>
      <c r="I2318" s="19"/>
    </row>
    <row r="2319" spans="1:9" x14ac:dyDescent="0.2">
      <c r="A2319" s="405"/>
      <c r="H2319" s="19"/>
      <c r="I2319" s="19"/>
    </row>
    <row r="2320" spans="1:9" x14ac:dyDescent="0.2">
      <c r="A2320" s="405"/>
      <c r="H2320" s="19"/>
    </row>
    <row r="2321" spans="1:9" x14ac:dyDescent="0.2">
      <c r="A2321" s="405"/>
      <c r="H2321" s="19"/>
      <c r="I2321" s="19"/>
    </row>
    <row r="2322" spans="1:9" x14ac:dyDescent="0.2">
      <c r="A2322" s="405"/>
    </row>
    <row r="2323" spans="1:9" x14ac:dyDescent="0.2">
      <c r="A2323" s="405"/>
    </row>
    <row r="2324" spans="1:9" x14ac:dyDescent="0.2">
      <c r="A2324" s="405"/>
    </row>
    <row r="2325" spans="1:9" x14ac:dyDescent="0.2">
      <c r="A2325" s="405"/>
    </row>
    <row r="2326" spans="1:9" x14ac:dyDescent="0.2">
      <c r="A2326" s="405"/>
    </row>
    <row r="2327" spans="1:9" x14ac:dyDescent="0.2">
      <c r="A2327" s="405"/>
      <c r="H2327" s="19"/>
    </row>
    <row r="2328" spans="1:9" x14ac:dyDescent="0.2">
      <c r="A2328" s="405"/>
      <c r="H2328" s="19"/>
      <c r="I2328" s="19"/>
    </row>
    <row r="2329" spans="1:9" x14ac:dyDescent="0.2">
      <c r="A2329" s="405"/>
      <c r="H2329" s="19"/>
      <c r="I2329" s="19"/>
    </row>
    <row r="2330" spans="1:9" x14ac:dyDescent="0.2">
      <c r="A2330" s="405"/>
    </row>
    <row r="2331" spans="1:9" x14ac:dyDescent="0.2">
      <c r="A2331" s="405"/>
    </row>
    <row r="2332" spans="1:9" x14ac:dyDescent="0.2">
      <c r="A2332" s="405"/>
      <c r="H2332" s="19"/>
      <c r="I2332" s="19"/>
    </row>
    <row r="2333" spans="1:9" x14ac:dyDescent="0.2">
      <c r="A2333" s="405"/>
      <c r="H2333" s="19"/>
      <c r="I2333" s="19"/>
    </row>
    <row r="2334" spans="1:9" x14ac:dyDescent="0.2">
      <c r="A2334" s="405"/>
      <c r="H2334" s="19"/>
    </row>
    <row r="2335" spans="1:9" x14ac:dyDescent="0.2">
      <c r="A2335" s="405"/>
      <c r="H2335" s="19"/>
    </row>
    <row r="2336" spans="1:9" x14ac:dyDescent="0.2">
      <c r="A2336" s="405"/>
      <c r="H2336" s="19"/>
      <c r="I2336" s="19"/>
    </row>
    <row r="2337" spans="1:9" x14ac:dyDescent="0.2">
      <c r="A2337" s="405"/>
      <c r="H2337" s="19"/>
      <c r="I2337" s="19"/>
    </row>
    <row r="2338" spans="1:9" x14ac:dyDescent="0.2">
      <c r="A2338" s="405"/>
      <c r="H2338" s="19"/>
      <c r="I2338" s="19"/>
    </row>
    <row r="2339" spans="1:9" x14ac:dyDescent="0.2">
      <c r="A2339" s="405"/>
    </row>
    <row r="2340" spans="1:9" x14ac:dyDescent="0.2">
      <c r="A2340" s="405"/>
      <c r="H2340" s="19"/>
      <c r="I2340" s="19"/>
    </row>
    <row r="2341" spans="1:9" x14ac:dyDescent="0.2">
      <c r="A2341" s="405"/>
      <c r="H2341" s="19"/>
      <c r="I2341" s="19"/>
    </row>
    <row r="2342" spans="1:9" x14ac:dyDescent="0.2">
      <c r="A2342" s="405"/>
      <c r="H2342" s="19"/>
    </row>
    <row r="2343" spans="1:9" x14ac:dyDescent="0.2">
      <c r="A2343" s="405"/>
      <c r="H2343" s="19"/>
    </row>
    <row r="2344" spans="1:9" x14ac:dyDescent="0.2">
      <c r="A2344" s="405"/>
      <c r="H2344" s="19"/>
      <c r="I2344" s="19"/>
    </row>
    <row r="2345" spans="1:9" x14ac:dyDescent="0.2">
      <c r="A2345" s="405"/>
    </row>
    <row r="2346" spans="1:9" x14ac:dyDescent="0.2">
      <c r="A2346" s="405"/>
      <c r="H2346" s="19"/>
      <c r="I2346" s="19"/>
    </row>
    <row r="2347" spans="1:9" x14ac:dyDescent="0.2">
      <c r="A2347" s="405"/>
    </row>
    <row r="2348" spans="1:9" x14ac:dyDescent="0.2">
      <c r="A2348" s="405"/>
      <c r="H2348" s="19"/>
      <c r="I2348" s="19"/>
    </row>
    <row r="2349" spans="1:9" x14ac:dyDescent="0.2">
      <c r="A2349" s="405"/>
    </row>
    <row r="2350" spans="1:9" x14ac:dyDescent="0.2">
      <c r="A2350" s="405"/>
      <c r="H2350" s="19"/>
    </row>
    <row r="2351" spans="1:9" x14ac:dyDescent="0.2">
      <c r="A2351" s="405"/>
    </row>
    <row r="2352" spans="1:9" x14ac:dyDescent="0.2">
      <c r="A2352" s="405"/>
      <c r="H2352" s="19"/>
      <c r="I2352" s="19"/>
    </row>
    <row r="2353" spans="1:9" x14ac:dyDescent="0.2">
      <c r="A2353" s="405"/>
      <c r="H2353" s="19"/>
    </row>
    <row r="2354" spans="1:9" x14ac:dyDescent="0.2">
      <c r="A2354" s="405"/>
    </row>
    <row r="2355" spans="1:9" x14ac:dyDescent="0.2">
      <c r="A2355" s="405"/>
    </row>
    <row r="2356" spans="1:9" x14ac:dyDescent="0.2">
      <c r="A2356" s="405"/>
    </row>
    <row r="2357" spans="1:9" x14ac:dyDescent="0.2">
      <c r="A2357" s="405"/>
    </row>
    <row r="2358" spans="1:9" x14ac:dyDescent="0.2">
      <c r="A2358" s="405"/>
      <c r="H2358" s="19"/>
    </row>
    <row r="2359" spans="1:9" x14ac:dyDescent="0.2">
      <c r="A2359" s="405"/>
    </row>
    <row r="2360" spans="1:9" x14ac:dyDescent="0.2">
      <c r="A2360" s="405"/>
      <c r="H2360" s="19"/>
      <c r="I2360" s="19"/>
    </row>
    <row r="2361" spans="1:9" x14ac:dyDescent="0.2">
      <c r="A2361" s="405"/>
      <c r="H2361" s="19"/>
    </row>
    <row r="2362" spans="1:9" x14ac:dyDescent="0.2">
      <c r="A2362" s="405"/>
      <c r="H2362" s="19"/>
    </row>
    <row r="2363" spans="1:9" x14ac:dyDescent="0.2">
      <c r="A2363" s="405"/>
    </row>
    <row r="2364" spans="1:9" x14ac:dyDescent="0.2">
      <c r="A2364" s="405"/>
    </row>
    <row r="2365" spans="1:9" x14ac:dyDescent="0.2">
      <c r="A2365" s="405"/>
    </row>
    <row r="2366" spans="1:9" x14ac:dyDescent="0.2">
      <c r="A2366" s="405"/>
    </row>
    <row r="2367" spans="1:9" x14ac:dyDescent="0.2">
      <c r="A2367" s="405"/>
      <c r="H2367" s="19"/>
    </row>
    <row r="2368" spans="1:9" x14ac:dyDescent="0.2">
      <c r="A2368" s="405"/>
    </row>
    <row r="2369" spans="1:8" x14ac:dyDescent="0.2">
      <c r="A2369" s="405"/>
    </row>
    <row r="2370" spans="1:8" x14ac:dyDescent="0.2">
      <c r="A2370" s="405"/>
      <c r="H2370" s="19"/>
    </row>
    <row r="2371" spans="1:8" x14ac:dyDescent="0.2">
      <c r="A2371" s="405"/>
    </row>
    <row r="2372" spans="1:8" x14ac:dyDescent="0.2">
      <c r="A2372" s="405"/>
    </row>
    <row r="2373" spans="1:8" x14ac:dyDescent="0.2">
      <c r="A2373" s="405"/>
    </row>
    <row r="2374" spans="1:8" x14ac:dyDescent="0.2">
      <c r="A2374" s="405"/>
    </row>
    <row r="2375" spans="1:8" x14ac:dyDescent="0.2">
      <c r="A2375" s="405"/>
      <c r="H2375" s="19"/>
    </row>
    <row r="2376" spans="1:8" x14ac:dyDescent="0.2">
      <c r="A2376" s="405"/>
    </row>
    <row r="2377" spans="1:8" x14ac:dyDescent="0.2">
      <c r="A2377" s="405"/>
    </row>
    <row r="2378" spans="1:8" x14ac:dyDescent="0.2">
      <c r="A2378" s="405"/>
    </row>
    <row r="2379" spans="1:8" x14ac:dyDescent="0.2">
      <c r="A2379" s="405"/>
    </row>
    <row r="2380" spans="1:8" x14ac:dyDescent="0.2">
      <c r="A2380" s="405"/>
    </row>
    <row r="2381" spans="1:8" x14ac:dyDescent="0.2">
      <c r="A2381" s="405"/>
    </row>
    <row r="2382" spans="1:8" x14ac:dyDescent="0.2">
      <c r="A2382" s="405"/>
      <c r="H2382" s="19"/>
    </row>
    <row r="2383" spans="1:8" x14ac:dyDescent="0.2">
      <c r="A2383" s="405"/>
    </row>
    <row r="2384" spans="1:8" x14ac:dyDescent="0.2">
      <c r="A2384" s="405"/>
    </row>
    <row r="2385" spans="1:8" x14ac:dyDescent="0.2">
      <c r="A2385" s="405"/>
    </row>
    <row r="2386" spans="1:8" x14ac:dyDescent="0.2">
      <c r="A2386" s="405"/>
    </row>
    <row r="2387" spans="1:8" x14ac:dyDescent="0.2">
      <c r="A2387" s="405"/>
    </row>
    <row r="2388" spans="1:8" x14ac:dyDescent="0.2">
      <c r="A2388" s="405"/>
    </row>
    <row r="2389" spans="1:8" x14ac:dyDescent="0.2">
      <c r="A2389" s="405"/>
    </row>
    <row r="2390" spans="1:8" x14ac:dyDescent="0.2">
      <c r="A2390" s="405"/>
      <c r="H2390" s="19"/>
    </row>
    <row r="2391" spans="1:8" x14ac:dyDescent="0.2">
      <c r="A2391" s="405"/>
    </row>
    <row r="2392" spans="1:8" x14ac:dyDescent="0.2">
      <c r="A2392" s="405"/>
    </row>
    <row r="2393" spans="1:8" x14ac:dyDescent="0.2">
      <c r="A2393" s="405"/>
    </row>
    <row r="2394" spans="1:8" x14ac:dyDescent="0.2">
      <c r="A2394" s="405"/>
    </row>
    <row r="2395" spans="1:8" x14ac:dyDescent="0.2">
      <c r="A2395" s="405"/>
    </row>
    <row r="2396" spans="1:8" x14ac:dyDescent="0.2">
      <c r="A2396" s="405"/>
    </row>
    <row r="2397" spans="1:8" x14ac:dyDescent="0.2">
      <c r="A2397" s="405"/>
    </row>
    <row r="2398" spans="1:8" x14ac:dyDescent="0.2">
      <c r="A2398" s="405"/>
    </row>
    <row r="2399" spans="1:8" x14ac:dyDescent="0.2">
      <c r="A2399" s="405"/>
    </row>
    <row r="2400" spans="1:8" x14ac:dyDescent="0.2">
      <c r="A2400" s="405"/>
    </row>
    <row r="2401" spans="1:8" x14ac:dyDescent="0.2">
      <c r="A2401" s="405"/>
      <c r="H2401" s="19"/>
    </row>
    <row r="2402" spans="1:8" x14ac:dyDescent="0.2">
      <c r="A2402" s="405"/>
      <c r="H2402" s="19"/>
    </row>
    <row r="2403" spans="1:8" x14ac:dyDescent="0.2">
      <c r="A2403" s="405"/>
      <c r="H2403" s="19"/>
    </row>
    <row r="2404" spans="1:8" x14ac:dyDescent="0.2">
      <c r="A2404" s="405"/>
    </row>
    <row r="2405" spans="1:8" x14ac:dyDescent="0.2">
      <c r="A2405" s="405"/>
    </row>
    <row r="2406" spans="1:8" x14ac:dyDescent="0.2">
      <c r="A2406" s="405"/>
    </row>
    <row r="2407" spans="1:8" x14ac:dyDescent="0.2">
      <c r="A2407" s="405"/>
    </row>
    <row r="2408" spans="1:8" x14ac:dyDescent="0.2">
      <c r="A2408" s="405"/>
      <c r="H2408" s="19"/>
    </row>
    <row r="2409" spans="1:8" x14ac:dyDescent="0.2">
      <c r="A2409" s="405"/>
      <c r="H2409" s="19"/>
    </row>
    <row r="2410" spans="1:8" x14ac:dyDescent="0.2">
      <c r="A2410" s="405"/>
      <c r="H2410" s="19"/>
    </row>
    <row r="2411" spans="1:8" x14ac:dyDescent="0.2">
      <c r="A2411" s="405"/>
      <c r="H2411" s="19"/>
    </row>
    <row r="2412" spans="1:8" x14ac:dyDescent="0.2">
      <c r="A2412" s="405"/>
    </row>
    <row r="2413" spans="1:8" x14ac:dyDescent="0.2">
      <c r="A2413" s="405"/>
    </row>
    <row r="2414" spans="1:8" x14ac:dyDescent="0.2">
      <c r="A2414" s="405"/>
    </row>
    <row r="2415" spans="1:8" x14ac:dyDescent="0.2">
      <c r="A2415" s="405"/>
    </row>
    <row r="2416" spans="1:8" x14ac:dyDescent="0.2">
      <c r="A2416" s="405"/>
      <c r="H2416" s="19"/>
    </row>
    <row r="2417" spans="1:9" x14ac:dyDescent="0.2">
      <c r="A2417" s="405"/>
    </row>
    <row r="2418" spans="1:9" x14ac:dyDescent="0.2">
      <c r="A2418" s="405"/>
    </row>
    <row r="2419" spans="1:9" x14ac:dyDescent="0.2">
      <c r="A2419" s="405"/>
    </row>
    <row r="2420" spans="1:9" x14ac:dyDescent="0.2">
      <c r="A2420" s="405"/>
    </row>
    <row r="2421" spans="1:9" x14ac:dyDescent="0.2">
      <c r="A2421" s="405"/>
    </row>
    <row r="2422" spans="1:9" x14ac:dyDescent="0.2">
      <c r="A2422" s="405"/>
    </row>
    <row r="2423" spans="1:9" x14ac:dyDescent="0.2">
      <c r="A2423" s="405"/>
    </row>
    <row r="2424" spans="1:9" x14ac:dyDescent="0.2">
      <c r="A2424" s="405"/>
    </row>
    <row r="2425" spans="1:9" x14ac:dyDescent="0.2">
      <c r="A2425" s="405"/>
    </row>
    <row r="2426" spans="1:9" x14ac:dyDescent="0.2">
      <c r="A2426" s="405"/>
    </row>
    <row r="2427" spans="1:9" x14ac:dyDescent="0.2">
      <c r="A2427" s="405"/>
    </row>
    <row r="2428" spans="1:9" x14ac:dyDescent="0.2">
      <c r="A2428" s="405"/>
    </row>
    <row r="2429" spans="1:9" x14ac:dyDescent="0.2">
      <c r="A2429" s="405"/>
      <c r="H2429" s="19"/>
      <c r="I2429" s="19"/>
    </row>
    <row r="2430" spans="1:9" x14ac:dyDescent="0.2">
      <c r="A2430" s="405"/>
    </row>
    <row r="2431" spans="1:9" x14ac:dyDescent="0.2">
      <c r="A2431" s="405"/>
    </row>
    <row r="2432" spans="1:9" x14ac:dyDescent="0.2">
      <c r="A2432" s="405"/>
    </row>
    <row r="2433" spans="1:19" x14ac:dyDescent="0.2">
      <c r="A2433" s="405"/>
    </row>
    <row r="2434" spans="1:19" x14ac:dyDescent="0.2">
      <c r="A2434" s="405"/>
    </row>
    <row r="2435" spans="1:19" x14ac:dyDescent="0.2">
      <c r="A2435" s="405"/>
    </row>
    <row r="2436" spans="1:19" x14ac:dyDescent="0.2">
      <c r="A2436" s="405"/>
    </row>
    <row r="2437" spans="1:19" x14ac:dyDescent="0.2">
      <c r="A2437" s="405"/>
      <c r="H2437" s="19"/>
      <c r="I2437" s="19"/>
    </row>
    <row r="2438" spans="1:19" x14ac:dyDescent="0.2">
      <c r="A2438" s="405"/>
    </row>
    <row r="2439" spans="1:19" x14ac:dyDescent="0.2">
      <c r="A2439" s="405"/>
      <c r="E2439" s="404"/>
      <c r="S2439" t="s">
        <v>381</v>
      </c>
    </row>
    <row r="2440" spans="1:19" x14ac:dyDescent="0.2">
      <c r="A2440" s="405"/>
      <c r="E2440" s="404"/>
      <c r="S2440" t="s">
        <v>381</v>
      </c>
    </row>
    <row r="2441" spans="1:19" x14ac:dyDescent="0.2">
      <c r="A2441" s="405"/>
      <c r="H2441" s="19"/>
      <c r="I2441" s="19"/>
    </row>
    <row r="2442" spans="1:19" x14ac:dyDescent="0.2">
      <c r="A2442" s="405"/>
    </row>
    <row r="2443" spans="1:19" x14ac:dyDescent="0.2">
      <c r="A2443" s="405"/>
    </row>
    <row r="2444" spans="1:19" x14ac:dyDescent="0.2">
      <c r="A2444" s="405"/>
      <c r="E2444" s="404"/>
      <c r="S2444" t="s">
        <v>381</v>
      </c>
    </row>
    <row r="2445" spans="1:19" x14ac:dyDescent="0.2">
      <c r="A2445" s="405"/>
      <c r="E2445" s="404"/>
      <c r="S2445" t="s">
        <v>381</v>
      </c>
    </row>
    <row r="2446" spans="1:19" x14ac:dyDescent="0.2">
      <c r="A2446" s="405"/>
      <c r="E2446" s="404"/>
      <c r="S2446" t="s">
        <v>381</v>
      </c>
    </row>
    <row r="2447" spans="1:19" x14ac:dyDescent="0.2">
      <c r="A2447" s="405"/>
      <c r="E2447" s="404"/>
      <c r="S2447" t="s">
        <v>381</v>
      </c>
    </row>
    <row r="2448" spans="1:19" x14ac:dyDescent="0.2">
      <c r="A2448" s="405"/>
      <c r="E2448" s="404"/>
      <c r="S2448" t="s">
        <v>381</v>
      </c>
    </row>
    <row r="2449" spans="1:19" x14ac:dyDescent="0.2">
      <c r="A2449" s="405"/>
      <c r="E2449" s="404"/>
      <c r="H2449" s="19"/>
      <c r="I2449" s="19"/>
      <c r="S2449" t="s">
        <v>381</v>
      </c>
    </row>
    <row r="2450" spans="1:19" x14ac:dyDescent="0.2">
      <c r="A2450" s="405"/>
      <c r="E2450" s="404"/>
      <c r="S2450" t="s">
        <v>381</v>
      </c>
    </row>
    <row r="2451" spans="1:19" x14ac:dyDescent="0.2">
      <c r="A2451" s="405"/>
    </row>
    <row r="2452" spans="1:19" x14ac:dyDescent="0.2">
      <c r="A2452" s="405"/>
      <c r="E2452" s="404"/>
      <c r="H2452" s="19"/>
      <c r="I2452" s="19"/>
      <c r="S2452" t="s">
        <v>381</v>
      </c>
    </row>
    <row r="2453" spans="1:19" x14ac:dyDescent="0.2">
      <c r="A2453" s="405"/>
      <c r="E2453" s="404"/>
      <c r="S2453" t="s">
        <v>381</v>
      </c>
    </row>
    <row r="2454" spans="1:19" x14ac:dyDescent="0.2">
      <c r="A2454" s="405"/>
      <c r="E2454" s="404"/>
      <c r="S2454" t="s">
        <v>381</v>
      </c>
    </row>
    <row r="2455" spans="1:19" x14ac:dyDescent="0.2">
      <c r="A2455" s="405"/>
      <c r="E2455" s="404"/>
      <c r="H2455" s="19"/>
      <c r="I2455" s="19"/>
      <c r="S2455" t="s">
        <v>381</v>
      </c>
    </row>
    <row r="2456" spans="1:19" x14ac:dyDescent="0.2">
      <c r="A2456" s="405"/>
    </row>
    <row r="2457" spans="1:19" x14ac:dyDescent="0.2">
      <c r="A2457" s="405"/>
      <c r="E2457" s="404"/>
      <c r="S2457" t="s">
        <v>381</v>
      </c>
    </row>
    <row r="2458" spans="1:19" x14ac:dyDescent="0.2">
      <c r="A2458" s="405"/>
      <c r="E2458" s="404"/>
      <c r="S2458" t="s">
        <v>381</v>
      </c>
    </row>
    <row r="2459" spans="1:19" x14ac:dyDescent="0.2">
      <c r="A2459" s="405"/>
    </row>
    <row r="2460" spans="1:19" x14ac:dyDescent="0.2">
      <c r="A2460" s="405"/>
      <c r="H2460" s="19"/>
      <c r="I2460" s="19"/>
    </row>
    <row r="2461" spans="1:19" x14ac:dyDescent="0.2">
      <c r="A2461" s="405"/>
    </row>
    <row r="2462" spans="1:19" x14ac:dyDescent="0.2">
      <c r="A2462" s="405"/>
    </row>
    <row r="2463" spans="1:19" x14ac:dyDescent="0.2">
      <c r="A2463" s="405"/>
      <c r="H2463" s="19"/>
      <c r="I2463" s="19"/>
    </row>
    <row r="2464" spans="1:19" x14ac:dyDescent="0.2">
      <c r="A2464" s="405"/>
    </row>
    <row r="2465" spans="1:1" x14ac:dyDescent="0.2">
      <c r="A2465" s="405"/>
    </row>
    <row r="2466" spans="1:1" x14ac:dyDescent="0.2">
      <c r="A2466" s="405"/>
    </row>
    <row r="2467" spans="1:1" x14ac:dyDescent="0.2">
      <c r="A2467" s="405"/>
    </row>
    <row r="2468" spans="1:1" x14ac:dyDescent="0.2">
      <c r="A2468" s="405"/>
    </row>
    <row r="2469" spans="1:1" x14ac:dyDescent="0.2">
      <c r="A2469" s="405"/>
    </row>
    <row r="2470" spans="1:1" x14ac:dyDescent="0.2">
      <c r="A2470" s="405"/>
    </row>
    <row r="2471" spans="1:1" x14ac:dyDescent="0.2">
      <c r="A2471" s="405"/>
    </row>
    <row r="2472" spans="1:1" x14ac:dyDescent="0.2">
      <c r="A2472" s="405"/>
    </row>
    <row r="2473" spans="1:1" x14ac:dyDescent="0.2">
      <c r="A2473" s="405"/>
    </row>
    <row r="2474" spans="1:1" x14ac:dyDescent="0.2">
      <c r="A2474" s="405"/>
    </row>
    <row r="2475" spans="1:1" x14ac:dyDescent="0.2">
      <c r="A2475" s="405"/>
    </row>
    <row r="2476" spans="1:1" x14ac:dyDescent="0.2">
      <c r="A2476" s="405"/>
    </row>
    <row r="2477" spans="1:1" x14ac:dyDescent="0.2">
      <c r="A2477" s="405"/>
    </row>
    <row r="2478" spans="1:1" x14ac:dyDescent="0.2">
      <c r="A2478" s="405"/>
    </row>
    <row r="2479" spans="1:1" x14ac:dyDescent="0.2">
      <c r="A2479" s="405"/>
    </row>
    <row r="2480" spans="1:1" x14ac:dyDescent="0.2">
      <c r="A2480" s="405"/>
    </row>
    <row r="2481" spans="1:1" x14ac:dyDescent="0.2">
      <c r="A2481" s="405"/>
    </row>
    <row r="2482" spans="1:1" x14ac:dyDescent="0.2">
      <c r="A2482" s="405"/>
    </row>
    <row r="2483" spans="1:1" x14ac:dyDescent="0.2">
      <c r="A2483" s="405"/>
    </row>
    <row r="2484" spans="1:1" x14ac:dyDescent="0.2">
      <c r="A2484" s="405"/>
    </row>
    <row r="2485" spans="1:1" x14ac:dyDescent="0.2">
      <c r="A2485" s="405"/>
    </row>
    <row r="2486" spans="1:1" x14ac:dyDescent="0.2">
      <c r="A2486" s="405"/>
    </row>
    <row r="2487" spans="1:1" x14ac:dyDescent="0.2">
      <c r="A2487" s="405"/>
    </row>
    <row r="2488" spans="1:1" x14ac:dyDescent="0.2">
      <c r="A2488" s="405"/>
    </row>
    <row r="2489" spans="1:1" x14ac:dyDescent="0.2">
      <c r="A2489" s="405"/>
    </row>
    <row r="2490" spans="1:1" x14ac:dyDescent="0.2">
      <c r="A2490" s="405"/>
    </row>
    <row r="2491" spans="1:1" x14ac:dyDescent="0.2">
      <c r="A2491" s="405"/>
    </row>
    <row r="2492" spans="1:1" x14ac:dyDescent="0.2">
      <c r="A2492" s="405"/>
    </row>
    <row r="2493" spans="1:1" x14ac:dyDescent="0.2">
      <c r="A2493" s="405"/>
    </row>
    <row r="2494" spans="1:1" x14ac:dyDescent="0.2">
      <c r="A2494" s="405"/>
    </row>
    <row r="2495" spans="1:1" x14ac:dyDescent="0.2">
      <c r="A2495" s="405"/>
    </row>
    <row r="2496" spans="1:1" x14ac:dyDescent="0.2">
      <c r="A2496" s="405"/>
    </row>
    <row r="2497" spans="1:9" x14ac:dyDescent="0.2">
      <c r="A2497" s="405"/>
    </row>
    <row r="2498" spans="1:9" x14ac:dyDescent="0.2">
      <c r="A2498" s="405"/>
    </row>
    <row r="2499" spans="1:9" x14ac:dyDescent="0.2">
      <c r="A2499" s="405"/>
    </row>
    <row r="2500" spans="1:9" x14ac:dyDescent="0.2">
      <c r="A2500" s="405"/>
    </row>
    <row r="2501" spans="1:9" x14ac:dyDescent="0.2">
      <c r="A2501" s="405"/>
      <c r="H2501" s="19"/>
      <c r="I2501" s="19"/>
    </row>
    <row r="2502" spans="1:9" x14ac:dyDescent="0.2">
      <c r="A2502" s="405"/>
    </row>
    <row r="2503" spans="1:9" x14ac:dyDescent="0.2">
      <c r="A2503" s="405"/>
    </row>
    <row r="2504" spans="1:9" x14ac:dyDescent="0.2">
      <c r="A2504" s="405"/>
    </row>
    <row r="2505" spans="1:9" x14ac:dyDescent="0.2">
      <c r="A2505" s="405"/>
    </row>
    <row r="2506" spans="1:9" x14ac:dyDescent="0.2">
      <c r="A2506" s="405"/>
    </row>
    <row r="2507" spans="1:9" x14ac:dyDescent="0.2">
      <c r="A2507" s="405"/>
    </row>
    <row r="2508" spans="1:9" x14ac:dyDescent="0.2">
      <c r="A2508" s="405"/>
    </row>
    <row r="2509" spans="1:9" x14ac:dyDescent="0.2">
      <c r="A2509" s="405"/>
      <c r="H2509" s="19"/>
      <c r="I2509" s="19"/>
    </row>
    <row r="2510" spans="1:9" x14ac:dyDescent="0.2">
      <c r="A2510" s="405"/>
    </row>
    <row r="2511" spans="1:9" x14ac:dyDescent="0.2">
      <c r="A2511" s="405"/>
    </row>
    <row r="2512" spans="1:9" x14ac:dyDescent="0.2">
      <c r="A2512" s="405"/>
    </row>
    <row r="2513" spans="1:1" x14ac:dyDescent="0.2">
      <c r="A2513" s="405"/>
    </row>
    <row r="2514" spans="1:1" x14ac:dyDescent="0.2">
      <c r="A2514" s="405"/>
    </row>
    <row r="2515" spans="1:1" x14ac:dyDescent="0.2">
      <c r="A2515" s="405"/>
    </row>
    <row r="2516" spans="1:1" x14ac:dyDescent="0.2">
      <c r="A2516" s="405"/>
    </row>
    <row r="2517" spans="1:1" x14ac:dyDescent="0.2">
      <c r="A2517" s="405"/>
    </row>
    <row r="2518" spans="1:1" x14ac:dyDescent="0.2">
      <c r="A2518" s="405"/>
    </row>
    <row r="2519" spans="1:1" x14ac:dyDescent="0.2">
      <c r="A2519" s="405"/>
    </row>
    <row r="2520" spans="1:1" x14ac:dyDescent="0.2">
      <c r="A2520" s="405"/>
    </row>
    <row r="2521" spans="1:1" x14ac:dyDescent="0.2">
      <c r="A2521" s="405"/>
    </row>
    <row r="2522" spans="1:1" x14ac:dyDescent="0.2">
      <c r="A2522" s="405"/>
    </row>
    <row r="2523" spans="1:1" x14ac:dyDescent="0.2">
      <c r="A2523" s="405"/>
    </row>
    <row r="2524" spans="1:1" x14ac:dyDescent="0.2">
      <c r="A2524" s="405"/>
    </row>
    <row r="2525" spans="1:1" x14ac:dyDescent="0.2">
      <c r="A2525" s="405"/>
    </row>
    <row r="2526" spans="1:1" x14ac:dyDescent="0.2">
      <c r="A2526" s="405"/>
    </row>
    <row r="2527" spans="1:1" x14ac:dyDescent="0.2">
      <c r="A2527" s="405"/>
    </row>
    <row r="2528" spans="1:1" x14ac:dyDescent="0.2">
      <c r="A2528" s="405"/>
    </row>
    <row r="2529" spans="1:1" x14ac:dyDescent="0.2">
      <c r="A2529" s="405"/>
    </row>
    <row r="2530" spans="1:1" x14ac:dyDescent="0.2">
      <c r="A2530" s="405"/>
    </row>
    <row r="2531" spans="1:1" x14ac:dyDescent="0.2">
      <c r="A2531" s="405"/>
    </row>
    <row r="2532" spans="1:1" x14ac:dyDescent="0.2">
      <c r="A2532" s="405"/>
    </row>
    <row r="2533" spans="1:1" x14ac:dyDescent="0.2">
      <c r="A2533" s="405"/>
    </row>
    <row r="2534" spans="1:1" x14ac:dyDescent="0.2">
      <c r="A2534" s="405"/>
    </row>
    <row r="2535" spans="1:1" x14ac:dyDescent="0.2">
      <c r="A2535" s="405"/>
    </row>
    <row r="2536" spans="1:1" x14ac:dyDescent="0.2">
      <c r="A2536" s="405"/>
    </row>
    <row r="2537" spans="1:1" x14ac:dyDescent="0.2">
      <c r="A2537" s="405"/>
    </row>
    <row r="2538" spans="1:1" x14ac:dyDescent="0.2">
      <c r="A2538" s="405"/>
    </row>
    <row r="2539" spans="1:1" x14ac:dyDescent="0.2">
      <c r="A2539" s="405"/>
    </row>
    <row r="2540" spans="1:1" x14ac:dyDescent="0.2">
      <c r="A2540" s="405"/>
    </row>
    <row r="2541" spans="1:1" x14ac:dyDescent="0.2">
      <c r="A2541" s="405"/>
    </row>
    <row r="2542" spans="1:1" x14ac:dyDescent="0.2">
      <c r="A2542" s="405"/>
    </row>
    <row r="2543" spans="1:1" x14ac:dyDescent="0.2">
      <c r="A2543" s="405"/>
    </row>
    <row r="2544" spans="1:1" x14ac:dyDescent="0.2">
      <c r="A2544" s="405"/>
    </row>
    <row r="2545" spans="1:1" x14ac:dyDescent="0.2">
      <c r="A2545" s="405"/>
    </row>
    <row r="2546" spans="1:1" x14ac:dyDescent="0.2">
      <c r="A2546" s="405"/>
    </row>
    <row r="2547" spans="1:1" x14ac:dyDescent="0.2">
      <c r="A2547" s="405"/>
    </row>
    <row r="2548" spans="1:1" x14ac:dyDescent="0.2">
      <c r="A2548" s="405"/>
    </row>
    <row r="2549" spans="1:1" x14ac:dyDescent="0.2">
      <c r="A2549" s="405"/>
    </row>
    <row r="2550" spans="1:1" x14ac:dyDescent="0.2">
      <c r="A2550" s="405"/>
    </row>
    <row r="2551" spans="1:1" x14ac:dyDescent="0.2">
      <c r="A2551" s="405"/>
    </row>
    <row r="2552" spans="1:1" x14ac:dyDescent="0.2">
      <c r="A2552" s="405"/>
    </row>
    <row r="2553" spans="1:1" x14ac:dyDescent="0.2">
      <c r="A2553" s="405"/>
    </row>
    <row r="2554" spans="1:1" x14ac:dyDescent="0.2">
      <c r="A2554" s="405"/>
    </row>
    <row r="2555" spans="1:1" x14ac:dyDescent="0.2">
      <c r="A2555" s="405"/>
    </row>
    <row r="2556" spans="1:1" x14ac:dyDescent="0.2">
      <c r="A2556" s="405"/>
    </row>
    <row r="2557" spans="1:1" x14ac:dyDescent="0.2">
      <c r="A2557" s="405"/>
    </row>
    <row r="2558" spans="1:1" x14ac:dyDescent="0.2">
      <c r="A2558" s="405"/>
    </row>
    <row r="2559" spans="1:1" x14ac:dyDescent="0.2">
      <c r="A2559" s="405"/>
    </row>
    <row r="2560" spans="1:1" x14ac:dyDescent="0.2">
      <c r="A2560" s="405"/>
    </row>
    <row r="2561" spans="1:1" x14ac:dyDescent="0.2">
      <c r="A2561" s="405"/>
    </row>
    <row r="2562" spans="1:1" x14ac:dyDescent="0.2">
      <c r="A2562" s="405"/>
    </row>
    <row r="2563" spans="1:1" x14ac:dyDescent="0.2">
      <c r="A2563" s="405"/>
    </row>
    <row r="2564" spans="1:1" x14ac:dyDescent="0.2">
      <c r="A2564" s="405"/>
    </row>
    <row r="2565" spans="1:1" x14ac:dyDescent="0.2">
      <c r="A2565" s="405"/>
    </row>
    <row r="2566" spans="1:1" x14ac:dyDescent="0.2">
      <c r="A2566" s="405"/>
    </row>
    <row r="2567" spans="1:1" x14ac:dyDescent="0.2">
      <c r="A2567" s="405"/>
    </row>
    <row r="2568" spans="1:1" x14ac:dyDescent="0.2">
      <c r="A2568" s="405"/>
    </row>
    <row r="2569" spans="1:1" x14ac:dyDescent="0.2">
      <c r="A2569" s="405"/>
    </row>
    <row r="2570" spans="1:1" x14ac:dyDescent="0.2">
      <c r="A2570" s="405"/>
    </row>
    <row r="2571" spans="1:1" x14ac:dyDescent="0.2">
      <c r="A2571" s="405"/>
    </row>
    <row r="2572" spans="1:1" x14ac:dyDescent="0.2">
      <c r="A2572" s="405"/>
    </row>
    <row r="2573" spans="1:1" x14ac:dyDescent="0.2">
      <c r="A2573" s="405"/>
    </row>
    <row r="2574" spans="1:1" x14ac:dyDescent="0.2">
      <c r="A2574" s="405"/>
    </row>
    <row r="2575" spans="1:1" x14ac:dyDescent="0.2">
      <c r="A2575" s="405"/>
    </row>
    <row r="2576" spans="1:1" x14ac:dyDescent="0.2">
      <c r="A2576" s="405"/>
    </row>
    <row r="2577" spans="1:1" x14ac:dyDescent="0.2">
      <c r="A2577" s="405"/>
    </row>
    <row r="2578" spans="1:1" x14ac:dyDescent="0.2">
      <c r="A2578" s="405"/>
    </row>
    <row r="2579" spans="1:1" x14ac:dyDescent="0.2">
      <c r="A2579" s="405"/>
    </row>
    <row r="2580" spans="1:1" x14ac:dyDescent="0.2">
      <c r="A2580" s="405"/>
    </row>
    <row r="2581" spans="1:1" x14ac:dyDescent="0.2">
      <c r="A2581" s="405"/>
    </row>
    <row r="2582" spans="1:1" x14ac:dyDescent="0.2">
      <c r="A2582" s="405"/>
    </row>
    <row r="2583" spans="1:1" x14ac:dyDescent="0.2">
      <c r="A2583" s="405"/>
    </row>
    <row r="2584" spans="1:1" x14ac:dyDescent="0.2">
      <c r="A2584" s="405"/>
    </row>
    <row r="2585" spans="1:1" x14ac:dyDescent="0.2">
      <c r="A2585" s="405"/>
    </row>
    <row r="2586" spans="1:1" x14ac:dyDescent="0.2">
      <c r="A2586" s="405"/>
    </row>
    <row r="2587" spans="1:1" x14ac:dyDescent="0.2">
      <c r="A2587" s="405"/>
    </row>
    <row r="2588" spans="1:1" x14ac:dyDescent="0.2">
      <c r="A2588" s="405"/>
    </row>
    <row r="2589" spans="1:1" x14ac:dyDescent="0.2">
      <c r="A2589" s="405"/>
    </row>
    <row r="2590" spans="1:1" x14ac:dyDescent="0.2">
      <c r="A2590" s="405"/>
    </row>
    <row r="2591" spans="1:1" x14ac:dyDescent="0.2">
      <c r="A2591" s="405"/>
    </row>
    <row r="2592" spans="1:1" x14ac:dyDescent="0.2">
      <c r="A2592" s="405"/>
    </row>
    <row r="2593" spans="1:1" x14ac:dyDescent="0.2">
      <c r="A2593" s="405"/>
    </row>
    <row r="2594" spans="1:1" x14ac:dyDescent="0.2">
      <c r="A2594" s="405"/>
    </row>
    <row r="2595" spans="1:1" x14ac:dyDescent="0.2">
      <c r="A2595" s="405"/>
    </row>
    <row r="2596" spans="1:1" x14ac:dyDescent="0.2">
      <c r="A2596" s="405"/>
    </row>
    <row r="2597" spans="1:1" x14ac:dyDescent="0.2">
      <c r="A2597" s="405"/>
    </row>
    <row r="2598" spans="1:1" x14ac:dyDescent="0.2">
      <c r="A2598" s="405"/>
    </row>
    <row r="2599" spans="1:1" x14ac:dyDescent="0.2">
      <c r="A2599" s="405"/>
    </row>
    <row r="2600" spans="1:1" x14ac:dyDescent="0.2">
      <c r="A2600" s="405"/>
    </row>
    <row r="2601" spans="1:1" x14ac:dyDescent="0.2">
      <c r="A2601" s="405"/>
    </row>
    <row r="2602" spans="1:1" x14ac:dyDescent="0.2">
      <c r="A2602" s="405"/>
    </row>
    <row r="2603" spans="1:1" x14ac:dyDescent="0.2">
      <c r="A2603" s="405"/>
    </row>
    <row r="2604" spans="1:1" x14ac:dyDescent="0.2">
      <c r="A2604" s="405"/>
    </row>
    <row r="2605" spans="1:1" x14ac:dyDescent="0.2">
      <c r="A2605" s="405"/>
    </row>
    <row r="2606" spans="1:1" x14ac:dyDescent="0.2">
      <c r="A2606" s="405"/>
    </row>
    <row r="2607" spans="1:1" x14ac:dyDescent="0.2">
      <c r="A2607" s="405"/>
    </row>
    <row r="2608" spans="1:1" x14ac:dyDescent="0.2">
      <c r="A2608" s="405"/>
    </row>
    <row r="2609" spans="1:1" x14ac:dyDescent="0.2">
      <c r="A2609" s="405"/>
    </row>
    <row r="2610" spans="1:1" x14ac:dyDescent="0.2">
      <c r="A2610" s="405"/>
    </row>
    <row r="2611" spans="1:1" x14ac:dyDescent="0.2">
      <c r="A2611" s="405"/>
    </row>
    <row r="2612" spans="1:1" x14ac:dyDescent="0.2">
      <c r="A2612" s="405"/>
    </row>
    <row r="2613" spans="1:1" x14ac:dyDescent="0.2">
      <c r="A2613" s="405"/>
    </row>
    <row r="2614" spans="1:1" x14ac:dyDescent="0.2">
      <c r="A2614" s="405"/>
    </row>
    <row r="2615" spans="1:1" x14ac:dyDescent="0.2">
      <c r="A2615" s="405"/>
    </row>
    <row r="2616" spans="1:1" x14ac:dyDescent="0.2">
      <c r="A2616" s="405"/>
    </row>
    <row r="2617" spans="1:1" x14ac:dyDescent="0.2">
      <c r="A2617" s="405"/>
    </row>
    <row r="2618" spans="1:1" x14ac:dyDescent="0.2">
      <c r="A2618" s="405"/>
    </row>
    <row r="2619" spans="1:1" x14ac:dyDescent="0.2">
      <c r="A2619" s="405"/>
    </row>
    <row r="2620" spans="1:1" x14ac:dyDescent="0.2">
      <c r="A2620" s="405"/>
    </row>
    <row r="2621" spans="1:1" x14ac:dyDescent="0.2">
      <c r="A2621" s="405"/>
    </row>
    <row r="2622" spans="1:1" x14ac:dyDescent="0.2">
      <c r="A2622" s="405"/>
    </row>
    <row r="2623" spans="1:1" x14ac:dyDescent="0.2">
      <c r="A2623" s="405"/>
    </row>
    <row r="2624" spans="1:1" x14ac:dyDescent="0.2">
      <c r="A2624" s="405"/>
    </row>
    <row r="2625" spans="1:1" x14ac:dyDescent="0.2">
      <c r="A2625" s="405"/>
    </row>
    <row r="2626" spans="1:1" x14ac:dyDescent="0.2">
      <c r="A2626" s="405"/>
    </row>
    <row r="2627" spans="1:1" x14ac:dyDescent="0.2">
      <c r="A2627" s="405"/>
    </row>
    <row r="2628" spans="1:1" x14ac:dyDescent="0.2">
      <c r="A2628" s="405"/>
    </row>
    <row r="2629" spans="1:1" x14ac:dyDescent="0.2">
      <c r="A2629" s="405"/>
    </row>
    <row r="2630" spans="1:1" x14ac:dyDescent="0.2">
      <c r="A2630" s="405"/>
    </row>
    <row r="2631" spans="1:1" x14ac:dyDescent="0.2">
      <c r="A2631" s="405"/>
    </row>
    <row r="2632" spans="1:1" x14ac:dyDescent="0.2">
      <c r="A2632" s="405"/>
    </row>
    <row r="2633" spans="1:1" x14ac:dyDescent="0.2">
      <c r="A2633" s="405"/>
    </row>
    <row r="2634" spans="1:1" x14ac:dyDescent="0.2">
      <c r="A2634" s="405"/>
    </row>
    <row r="2635" spans="1:1" x14ac:dyDescent="0.2">
      <c r="A2635" s="405"/>
    </row>
    <row r="2636" spans="1:1" x14ac:dyDescent="0.2">
      <c r="A2636" s="405"/>
    </row>
    <row r="2637" spans="1:1" x14ac:dyDescent="0.2">
      <c r="A2637" s="405"/>
    </row>
    <row r="2638" spans="1:1" x14ac:dyDescent="0.2">
      <c r="A2638" s="405"/>
    </row>
    <row r="2639" spans="1:1" x14ac:dyDescent="0.2">
      <c r="A2639" s="405"/>
    </row>
    <row r="2640" spans="1:1" x14ac:dyDescent="0.2">
      <c r="A2640" s="405"/>
    </row>
    <row r="2641" spans="1:1" x14ac:dyDescent="0.2">
      <c r="A2641" s="405"/>
    </row>
    <row r="2642" spans="1:1" x14ac:dyDescent="0.2">
      <c r="A2642" s="405"/>
    </row>
    <row r="2643" spans="1:1" x14ac:dyDescent="0.2">
      <c r="A2643" s="405"/>
    </row>
    <row r="2644" spans="1:1" x14ac:dyDescent="0.2">
      <c r="A2644" s="405"/>
    </row>
    <row r="2645" spans="1:1" x14ac:dyDescent="0.2">
      <c r="A2645" s="405"/>
    </row>
    <row r="2646" spans="1:1" x14ac:dyDescent="0.2">
      <c r="A2646" s="405"/>
    </row>
    <row r="2647" spans="1:1" x14ac:dyDescent="0.2">
      <c r="A2647" s="405"/>
    </row>
    <row r="2648" spans="1:1" x14ac:dyDescent="0.2">
      <c r="A2648" s="405"/>
    </row>
    <row r="2649" spans="1:1" x14ac:dyDescent="0.2">
      <c r="A2649" s="405"/>
    </row>
    <row r="2650" spans="1:1" x14ac:dyDescent="0.2">
      <c r="A2650" s="405"/>
    </row>
    <row r="2651" spans="1:1" x14ac:dyDescent="0.2">
      <c r="A2651" s="405"/>
    </row>
    <row r="2652" spans="1:1" x14ac:dyDescent="0.2">
      <c r="A2652" s="405"/>
    </row>
    <row r="2653" spans="1:1" x14ac:dyDescent="0.2">
      <c r="A2653" s="405"/>
    </row>
    <row r="2654" spans="1:1" x14ac:dyDescent="0.2">
      <c r="A2654" s="405"/>
    </row>
    <row r="2655" spans="1:1" x14ac:dyDescent="0.2">
      <c r="A2655" s="405"/>
    </row>
    <row r="2656" spans="1:1" x14ac:dyDescent="0.2">
      <c r="A2656" s="405"/>
    </row>
    <row r="2657" spans="1:1" x14ac:dyDescent="0.2">
      <c r="A2657" s="405"/>
    </row>
    <row r="2658" spans="1:1" x14ac:dyDescent="0.2">
      <c r="A2658" s="405"/>
    </row>
    <row r="2659" spans="1:1" x14ac:dyDescent="0.2">
      <c r="A2659" s="405"/>
    </row>
    <row r="2660" spans="1:1" x14ac:dyDescent="0.2">
      <c r="A2660" s="405"/>
    </row>
    <row r="2661" spans="1:1" x14ac:dyDescent="0.2">
      <c r="A2661" s="405"/>
    </row>
    <row r="2662" spans="1:1" x14ac:dyDescent="0.2">
      <c r="A2662" s="405"/>
    </row>
    <row r="2663" spans="1:1" x14ac:dyDescent="0.2">
      <c r="A2663" s="405"/>
    </row>
    <row r="2664" spans="1:1" x14ac:dyDescent="0.2">
      <c r="A2664" s="405"/>
    </row>
    <row r="2665" spans="1:1" x14ac:dyDescent="0.2">
      <c r="A2665" s="405"/>
    </row>
    <row r="2666" spans="1:1" x14ac:dyDescent="0.2">
      <c r="A2666" s="405"/>
    </row>
    <row r="2667" spans="1:1" x14ac:dyDescent="0.2">
      <c r="A2667" s="405"/>
    </row>
    <row r="2668" spans="1:1" x14ac:dyDescent="0.2">
      <c r="A2668" s="405"/>
    </row>
    <row r="2669" spans="1:1" x14ac:dyDescent="0.2">
      <c r="A2669" s="405"/>
    </row>
    <row r="2670" spans="1:1" x14ac:dyDescent="0.2">
      <c r="A2670" s="405"/>
    </row>
    <row r="2671" spans="1:1" x14ac:dyDescent="0.2">
      <c r="A2671" s="405"/>
    </row>
    <row r="2672" spans="1:1" x14ac:dyDescent="0.2">
      <c r="A2672" s="405"/>
    </row>
    <row r="2673" spans="1:1" x14ac:dyDescent="0.2">
      <c r="A2673" s="405"/>
    </row>
    <row r="2674" spans="1:1" x14ac:dyDescent="0.2">
      <c r="A2674" s="405"/>
    </row>
    <row r="2675" spans="1:1" x14ac:dyDescent="0.2">
      <c r="A2675" s="405"/>
    </row>
    <row r="2676" spans="1:1" x14ac:dyDescent="0.2">
      <c r="A2676" s="405"/>
    </row>
    <row r="2677" spans="1:1" x14ac:dyDescent="0.2">
      <c r="A2677" s="405"/>
    </row>
    <row r="2678" spans="1:1" x14ac:dyDescent="0.2">
      <c r="A2678" s="405"/>
    </row>
    <row r="2679" spans="1:1" x14ac:dyDescent="0.2">
      <c r="A2679" s="405"/>
    </row>
    <row r="2680" spans="1:1" x14ac:dyDescent="0.2">
      <c r="A2680" s="405"/>
    </row>
    <row r="2681" spans="1:1" x14ac:dyDescent="0.2">
      <c r="A2681" s="405"/>
    </row>
    <row r="2682" spans="1:1" x14ac:dyDescent="0.2">
      <c r="A2682" s="405"/>
    </row>
    <row r="2683" spans="1:1" x14ac:dyDescent="0.2">
      <c r="A2683" s="405"/>
    </row>
    <row r="2684" spans="1:1" x14ac:dyDescent="0.2">
      <c r="A2684" s="405"/>
    </row>
    <row r="2685" spans="1:1" x14ac:dyDescent="0.2">
      <c r="A2685" s="405"/>
    </row>
    <row r="2686" spans="1:1" x14ac:dyDescent="0.2">
      <c r="A2686" s="405"/>
    </row>
    <row r="2687" spans="1:1" x14ac:dyDescent="0.2">
      <c r="A2687" s="405"/>
    </row>
    <row r="2688" spans="1:1" x14ac:dyDescent="0.2">
      <c r="A2688" s="405"/>
    </row>
    <row r="2689" spans="1:1" x14ac:dyDescent="0.2">
      <c r="A2689" s="405"/>
    </row>
    <row r="2690" spans="1:1" x14ac:dyDescent="0.2">
      <c r="A2690" s="405"/>
    </row>
    <row r="2691" spans="1:1" x14ac:dyDescent="0.2">
      <c r="A2691" s="405"/>
    </row>
    <row r="2692" spans="1:1" x14ac:dyDescent="0.2">
      <c r="A2692" s="405"/>
    </row>
    <row r="2693" spans="1:1" x14ac:dyDescent="0.2">
      <c r="A2693" s="405"/>
    </row>
    <row r="2694" spans="1:1" x14ac:dyDescent="0.2">
      <c r="A2694" s="405"/>
    </row>
    <row r="2695" spans="1:1" x14ac:dyDescent="0.2">
      <c r="A2695" s="405"/>
    </row>
    <row r="2696" spans="1:1" x14ac:dyDescent="0.2">
      <c r="A2696" s="405"/>
    </row>
    <row r="2697" spans="1:1" x14ac:dyDescent="0.2">
      <c r="A2697" s="405"/>
    </row>
    <row r="2698" spans="1:1" x14ac:dyDescent="0.2">
      <c r="A2698" s="405"/>
    </row>
    <row r="2699" spans="1:1" x14ac:dyDescent="0.2">
      <c r="A2699" s="405"/>
    </row>
    <row r="2700" spans="1:1" x14ac:dyDescent="0.2">
      <c r="A2700" s="405"/>
    </row>
    <row r="2701" spans="1:1" x14ac:dyDescent="0.2">
      <c r="A2701" s="405"/>
    </row>
    <row r="2702" spans="1:1" x14ac:dyDescent="0.2">
      <c r="A2702" s="405"/>
    </row>
    <row r="2703" spans="1:1" x14ac:dyDescent="0.2">
      <c r="A2703" s="405"/>
    </row>
    <row r="2704" spans="1:1" x14ac:dyDescent="0.2">
      <c r="A2704" s="405"/>
    </row>
    <row r="2705" spans="1:1" x14ac:dyDescent="0.2">
      <c r="A2705" s="405"/>
    </row>
    <row r="2706" spans="1:1" x14ac:dyDescent="0.2">
      <c r="A2706" s="405"/>
    </row>
    <row r="2707" spans="1:1" x14ac:dyDescent="0.2">
      <c r="A2707" s="405"/>
    </row>
    <row r="2708" spans="1:1" x14ac:dyDescent="0.2">
      <c r="A2708" s="405"/>
    </row>
    <row r="2709" spans="1:1" x14ac:dyDescent="0.2">
      <c r="A2709" s="405"/>
    </row>
    <row r="2710" spans="1:1" x14ac:dyDescent="0.2">
      <c r="A2710" s="405"/>
    </row>
    <row r="2711" spans="1:1" x14ac:dyDescent="0.2">
      <c r="A2711" s="405"/>
    </row>
    <row r="2712" spans="1:1" x14ac:dyDescent="0.2">
      <c r="A2712" s="405"/>
    </row>
    <row r="2713" spans="1:1" x14ac:dyDescent="0.2">
      <c r="A2713" s="405"/>
    </row>
    <row r="2714" spans="1:1" x14ac:dyDescent="0.2">
      <c r="A2714" s="405"/>
    </row>
    <row r="2715" spans="1:1" x14ac:dyDescent="0.2">
      <c r="A2715" s="405"/>
    </row>
    <row r="2716" spans="1:1" x14ac:dyDescent="0.2">
      <c r="A2716" s="405"/>
    </row>
    <row r="2717" spans="1:1" x14ac:dyDescent="0.2">
      <c r="A2717" s="405"/>
    </row>
    <row r="2718" spans="1:1" x14ac:dyDescent="0.2">
      <c r="A2718" s="405"/>
    </row>
    <row r="2719" spans="1:1" x14ac:dyDescent="0.2">
      <c r="A2719" s="405"/>
    </row>
    <row r="2720" spans="1:1" x14ac:dyDescent="0.2">
      <c r="A2720" s="405"/>
    </row>
    <row r="2721" spans="1:1" x14ac:dyDescent="0.2">
      <c r="A2721" s="405"/>
    </row>
    <row r="2722" spans="1:1" x14ac:dyDescent="0.2">
      <c r="A2722" s="405"/>
    </row>
    <row r="2723" spans="1:1" x14ac:dyDescent="0.2">
      <c r="A2723" s="405"/>
    </row>
    <row r="2724" spans="1:1" x14ac:dyDescent="0.2">
      <c r="A2724" s="405"/>
    </row>
    <row r="2725" spans="1:1" x14ac:dyDescent="0.2">
      <c r="A2725" s="405"/>
    </row>
    <row r="2726" spans="1:1" x14ac:dyDescent="0.2">
      <c r="A2726" s="405"/>
    </row>
    <row r="2727" spans="1:1" x14ac:dyDescent="0.2">
      <c r="A2727" s="405"/>
    </row>
    <row r="2728" spans="1:1" x14ac:dyDescent="0.2">
      <c r="A2728" s="405"/>
    </row>
    <row r="2729" spans="1:1" x14ac:dyDescent="0.2">
      <c r="A2729" s="405"/>
    </row>
    <row r="2730" spans="1:1" x14ac:dyDescent="0.2">
      <c r="A2730" s="405"/>
    </row>
    <row r="2731" spans="1:1" x14ac:dyDescent="0.2">
      <c r="A2731" s="405"/>
    </row>
    <row r="2732" spans="1:1" x14ac:dyDescent="0.2">
      <c r="A2732" s="405"/>
    </row>
    <row r="2733" spans="1:1" x14ac:dyDescent="0.2">
      <c r="A2733" s="405"/>
    </row>
    <row r="2734" spans="1:1" x14ac:dyDescent="0.2">
      <c r="A2734" s="405"/>
    </row>
    <row r="2735" spans="1:1" x14ac:dyDescent="0.2">
      <c r="A2735" s="405"/>
    </row>
    <row r="2736" spans="1:1" x14ac:dyDescent="0.2">
      <c r="A2736" s="405"/>
    </row>
    <row r="2737" spans="1:1" x14ac:dyDescent="0.2">
      <c r="A2737" s="405"/>
    </row>
    <row r="2738" spans="1:1" x14ac:dyDescent="0.2">
      <c r="A2738" s="405"/>
    </row>
    <row r="2739" spans="1:1" x14ac:dyDescent="0.2">
      <c r="A2739" s="405"/>
    </row>
    <row r="2740" spans="1:1" x14ac:dyDescent="0.2">
      <c r="A2740" s="405"/>
    </row>
    <row r="2741" spans="1:1" x14ac:dyDescent="0.2">
      <c r="A2741" s="405"/>
    </row>
    <row r="2742" spans="1:1" x14ac:dyDescent="0.2">
      <c r="A2742" s="405"/>
    </row>
    <row r="2743" spans="1:1" x14ac:dyDescent="0.2">
      <c r="A2743" s="405"/>
    </row>
    <row r="2744" spans="1:1" x14ac:dyDescent="0.2">
      <c r="A2744" s="405"/>
    </row>
    <row r="2745" spans="1:1" x14ac:dyDescent="0.2">
      <c r="A2745" s="405"/>
    </row>
    <row r="2746" spans="1:1" x14ac:dyDescent="0.2">
      <c r="A2746" s="405"/>
    </row>
    <row r="2747" spans="1:1" x14ac:dyDescent="0.2">
      <c r="A2747" s="405"/>
    </row>
    <row r="2748" spans="1:1" x14ac:dyDescent="0.2">
      <c r="A2748" s="405"/>
    </row>
    <row r="2749" spans="1:1" x14ac:dyDescent="0.2">
      <c r="A2749" s="405"/>
    </row>
    <row r="2750" spans="1:1" x14ac:dyDescent="0.2">
      <c r="A2750" s="405"/>
    </row>
    <row r="2751" spans="1:1" x14ac:dyDescent="0.2">
      <c r="A2751" s="405"/>
    </row>
    <row r="2752" spans="1:1" x14ac:dyDescent="0.2">
      <c r="A2752" s="405"/>
    </row>
    <row r="2753" spans="1:9" x14ac:dyDescent="0.2">
      <c r="A2753" s="405"/>
    </row>
    <row r="2754" spans="1:9" x14ac:dyDescent="0.2">
      <c r="A2754" s="405"/>
    </row>
    <row r="2755" spans="1:9" x14ac:dyDescent="0.2">
      <c r="A2755" s="405"/>
    </row>
    <row r="2756" spans="1:9" x14ac:dyDescent="0.2">
      <c r="A2756" s="405"/>
    </row>
    <row r="2757" spans="1:9" x14ac:dyDescent="0.2">
      <c r="A2757" s="405"/>
      <c r="H2757" s="19"/>
      <c r="I2757" s="19"/>
    </row>
    <row r="2758" spans="1:9" x14ac:dyDescent="0.2">
      <c r="A2758" s="405"/>
      <c r="H2758" s="19"/>
      <c r="I2758" s="19"/>
    </row>
    <row r="2759" spans="1:9" x14ac:dyDescent="0.2">
      <c r="A2759" s="405"/>
      <c r="H2759" s="19"/>
      <c r="I2759" s="19"/>
    </row>
    <row r="2760" spans="1:9" x14ac:dyDescent="0.2">
      <c r="A2760" s="405"/>
      <c r="H2760" s="19"/>
      <c r="I2760" s="19"/>
    </row>
    <row r="2761" spans="1:9" x14ac:dyDescent="0.2">
      <c r="A2761" s="405"/>
      <c r="H2761" s="19"/>
      <c r="I2761" s="19"/>
    </row>
    <row r="2762" spans="1:9" x14ac:dyDescent="0.2">
      <c r="A2762" s="405"/>
      <c r="H2762" s="19"/>
      <c r="I2762" s="19"/>
    </row>
    <row r="2763" spans="1:9" x14ac:dyDescent="0.2">
      <c r="A2763" s="405"/>
      <c r="H2763" s="19"/>
      <c r="I2763" s="19"/>
    </row>
    <row r="2764" spans="1:9" x14ac:dyDescent="0.2">
      <c r="A2764" s="405"/>
    </row>
    <row r="2765" spans="1:9" x14ac:dyDescent="0.2">
      <c r="A2765" s="405"/>
      <c r="H2765" s="19"/>
      <c r="I2765" s="19"/>
    </row>
    <row r="2766" spans="1:9" x14ac:dyDescent="0.2">
      <c r="A2766" s="405"/>
      <c r="H2766" s="19"/>
      <c r="I2766" s="19"/>
    </row>
    <row r="2767" spans="1:9" x14ac:dyDescent="0.2">
      <c r="A2767" s="405"/>
      <c r="H2767" s="19"/>
      <c r="I2767" s="19"/>
    </row>
    <row r="2768" spans="1:9" x14ac:dyDescent="0.2">
      <c r="A2768" s="405"/>
      <c r="H2768" s="19"/>
      <c r="I2768" s="19"/>
    </row>
    <row r="2769" spans="1:9" x14ac:dyDescent="0.2">
      <c r="A2769" s="405"/>
      <c r="H2769" s="19"/>
      <c r="I2769" s="19"/>
    </row>
    <row r="2770" spans="1:9" x14ac:dyDescent="0.2">
      <c r="A2770" s="405"/>
      <c r="H2770" s="19"/>
      <c r="I2770" s="19"/>
    </row>
    <row r="2771" spans="1:9" x14ac:dyDescent="0.2">
      <c r="A2771" s="405"/>
      <c r="H2771" s="19"/>
      <c r="I2771" s="19"/>
    </row>
    <row r="2772" spans="1:9" x14ac:dyDescent="0.2">
      <c r="A2772" s="405"/>
    </row>
    <row r="2773" spans="1:9" x14ac:dyDescent="0.2">
      <c r="A2773" s="405"/>
    </row>
    <row r="2774" spans="1:9" x14ac:dyDescent="0.2">
      <c r="A2774" s="405"/>
    </row>
    <row r="2775" spans="1:9" x14ac:dyDescent="0.2">
      <c r="A2775" s="405"/>
    </row>
    <row r="2776" spans="1:9" x14ac:dyDescent="0.2">
      <c r="A2776" s="405"/>
    </row>
    <row r="2777" spans="1:9" x14ac:dyDescent="0.2">
      <c r="A2777" s="405"/>
    </row>
    <row r="2778" spans="1:9" x14ac:dyDescent="0.2">
      <c r="A2778" s="405"/>
    </row>
    <row r="2779" spans="1:9" x14ac:dyDescent="0.2">
      <c r="A2779" s="405"/>
    </row>
    <row r="2780" spans="1:9" x14ac:dyDescent="0.2">
      <c r="A2780" s="405"/>
    </row>
    <row r="2781" spans="1:9" x14ac:dyDescent="0.2">
      <c r="A2781" s="405"/>
    </row>
    <row r="2782" spans="1:9" x14ac:dyDescent="0.2">
      <c r="A2782" s="405"/>
    </row>
    <row r="2783" spans="1:9" x14ac:dyDescent="0.2">
      <c r="A2783" s="405"/>
    </row>
    <row r="2784" spans="1:9" x14ac:dyDescent="0.2">
      <c r="A2784" s="405"/>
    </row>
    <row r="2785" spans="1:1" x14ac:dyDescent="0.2">
      <c r="A2785" s="405"/>
    </row>
    <row r="2786" spans="1:1" x14ac:dyDescent="0.2">
      <c r="A2786" s="405"/>
    </row>
    <row r="2787" spans="1:1" x14ac:dyDescent="0.2">
      <c r="A2787" s="405"/>
    </row>
    <row r="2788" spans="1:1" x14ac:dyDescent="0.2">
      <c r="A2788" s="405"/>
    </row>
    <row r="2789" spans="1:1" x14ac:dyDescent="0.2">
      <c r="A2789" s="405"/>
    </row>
    <row r="2790" spans="1:1" x14ac:dyDescent="0.2">
      <c r="A2790" s="405"/>
    </row>
    <row r="2791" spans="1:1" x14ac:dyDescent="0.2">
      <c r="A2791" s="405"/>
    </row>
    <row r="2792" spans="1:1" x14ac:dyDescent="0.2">
      <c r="A2792" s="405"/>
    </row>
    <row r="2793" spans="1:1" x14ac:dyDescent="0.2">
      <c r="A2793" s="405"/>
    </row>
    <row r="2794" spans="1:1" x14ac:dyDescent="0.2">
      <c r="A2794" s="405"/>
    </row>
    <row r="2795" spans="1:1" x14ac:dyDescent="0.2">
      <c r="A2795" s="405"/>
    </row>
    <row r="2796" spans="1:1" x14ac:dyDescent="0.2">
      <c r="A2796" s="405"/>
    </row>
    <row r="2797" spans="1:1" x14ac:dyDescent="0.2">
      <c r="A2797" s="405"/>
    </row>
    <row r="2798" spans="1:1" x14ac:dyDescent="0.2">
      <c r="A2798" s="405"/>
    </row>
    <row r="2799" spans="1:1" x14ac:dyDescent="0.2">
      <c r="A2799" s="405"/>
    </row>
    <row r="2800" spans="1:1" x14ac:dyDescent="0.2">
      <c r="A2800" s="405"/>
    </row>
    <row r="2801" spans="1:1" x14ac:dyDescent="0.2">
      <c r="A2801" s="405"/>
    </row>
    <row r="2802" spans="1:1" x14ac:dyDescent="0.2">
      <c r="A2802" s="405"/>
    </row>
    <row r="2803" spans="1:1" x14ac:dyDescent="0.2">
      <c r="A2803" s="405"/>
    </row>
    <row r="2804" spans="1:1" x14ac:dyDescent="0.2">
      <c r="A2804" s="405"/>
    </row>
    <row r="2805" spans="1:1" x14ac:dyDescent="0.2">
      <c r="A2805" s="405"/>
    </row>
    <row r="2806" spans="1:1" x14ac:dyDescent="0.2">
      <c r="A2806" s="405"/>
    </row>
    <row r="2807" spans="1:1" x14ac:dyDescent="0.2">
      <c r="A2807" s="405"/>
    </row>
    <row r="2808" spans="1:1" x14ac:dyDescent="0.2">
      <c r="A2808" s="405"/>
    </row>
    <row r="2809" spans="1:1" x14ac:dyDescent="0.2">
      <c r="A2809" s="405"/>
    </row>
    <row r="2810" spans="1:1" x14ac:dyDescent="0.2">
      <c r="A2810" s="405"/>
    </row>
    <row r="2811" spans="1:1" x14ac:dyDescent="0.2">
      <c r="A2811" s="405"/>
    </row>
    <row r="2812" spans="1:1" x14ac:dyDescent="0.2">
      <c r="A2812" s="405"/>
    </row>
    <row r="2813" spans="1:1" x14ac:dyDescent="0.2">
      <c r="A2813" s="405"/>
    </row>
    <row r="2814" spans="1:1" x14ac:dyDescent="0.2">
      <c r="A2814" s="405"/>
    </row>
    <row r="2815" spans="1:1" x14ac:dyDescent="0.2">
      <c r="A2815" s="405"/>
    </row>
    <row r="2816" spans="1:1" x14ac:dyDescent="0.2">
      <c r="A2816" s="405"/>
    </row>
    <row r="2817" spans="1:9" x14ac:dyDescent="0.2">
      <c r="A2817" s="405"/>
    </row>
    <row r="2818" spans="1:9" x14ac:dyDescent="0.2">
      <c r="A2818" s="405"/>
    </row>
    <row r="2819" spans="1:9" x14ac:dyDescent="0.2">
      <c r="A2819" s="405"/>
    </row>
    <row r="2820" spans="1:9" x14ac:dyDescent="0.2">
      <c r="A2820" s="405"/>
      <c r="H2820" s="19"/>
      <c r="I2820" s="19"/>
    </row>
    <row r="2821" spans="1:9" x14ac:dyDescent="0.2">
      <c r="A2821" s="405"/>
      <c r="H2821" s="19"/>
      <c r="I2821" s="19"/>
    </row>
    <row r="2822" spans="1:9" x14ac:dyDescent="0.2">
      <c r="A2822" s="405"/>
      <c r="H2822" s="19"/>
      <c r="I2822" s="19"/>
    </row>
    <row r="2823" spans="1:9" x14ac:dyDescent="0.2">
      <c r="A2823" s="405"/>
    </row>
    <row r="2824" spans="1:9" x14ac:dyDescent="0.2">
      <c r="A2824" s="405"/>
      <c r="H2824" s="19"/>
      <c r="I2824" s="19"/>
    </row>
    <row r="2825" spans="1:9" x14ac:dyDescent="0.2">
      <c r="A2825" s="405"/>
    </row>
    <row r="2826" spans="1:9" x14ac:dyDescent="0.2">
      <c r="A2826" s="405"/>
    </row>
    <row r="2827" spans="1:9" x14ac:dyDescent="0.2">
      <c r="A2827" s="405"/>
    </row>
    <row r="2828" spans="1:9" x14ac:dyDescent="0.2">
      <c r="A2828" s="405"/>
      <c r="H2828" s="19"/>
      <c r="I2828" s="19"/>
    </row>
    <row r="2829" spans="1:9" x14ac:dyDescent="0.2">
      <c r="A2829" s="405"/>
      <c r="H2829" s="19"/>
      <c r="I2829" s="19"/>
    </row>
    <row r="2830" spans="1:9" x14ac:dyDescent="0.2">
      <c r="A2830" s="405"/>
      <c r="H2830" s="19"/>
      <c r="I2830" s="19"/>
    </row>
    <row r="2831" spans="1:9" x14ac:dyDescent="0.2">
      <c r="A2831" s="405"/>
    </row>
    <row r="2832" spans="1:9" x14ac:dyDescent="0.2">
      <c r="A2832" s="405"/>
      <c r="H2832" s="19"/>
      <c r="I2832" s="19"/>
    </row>
    <row r="2833" spans="1:1" x14ac:dyDescent="0.2">
      <c r="A2833" s="405"/>
    </row>
    <row r="2834" spans="1:1" x14ac:dyDescent="0.2">
      <c r="A2834" s="405"/>
    </row>
    <row r="2835" spans="1:1" x14ac:dyDescent="0.2">
      <c r="A2835" s="405"/>
    </row>
    <row r="2836" spans="1:1" x14ac:dyDescent="0.2">
      <c r="A2836" s="405"/>
    </row>
    <row r="2837" spans="1:1" x14ac:dyDescent="0.2">
      <c r="A2837" s="405"/>
    </row>
    <row r="2838" spans="1:1" x14ac:dyDescent="0.2">
      <c r="A2838" s="405"/>
    </row>
    <row r="2839" spans="1:1" x14ac:dyDescent="0.2">
      <c r="A2839" s="405"/>
    </row>
    <row r="2840" spans="1:1" x14ac:dyDescent="0.2">
      <c r="A2840" s="405"/>
    </row>
    <row r="2841" spans="1:1" x14ac:dyDescent="0.2">
      <c r="A2841" s="405"/>
    </row>
    <row r="2842" spans="1:1" x14ac:dyDescent="0.2">
      <c r="A2842" s="405"/>
    </row>
    <row r="2843" spans="1:1" x14ac:dyDescent="0.2">
      <c r="A2843" s="405"/>
    </row>
    <row r="2844" spans="1:1" x14ac:dyDescent="0.2">
      <c r="A2844" s="405"/>
    </row>
    <row r="2845" spans="1:1" x14ac:dyDescent="0.2">
      <c r="A2845" s="405"/>
    </row>
    <row r="2846" spans="1:1" x14ac:dyDescent="0.2">
      <c r="A2846" s="405"/>
    </row>
    <row r="2847" spans="1:1" x14ac:dyDescent="0.2">
      <c r="A2847" s="405"/>
    </row>
    <row r="2848" spans="1:1" x14ac:dyDescent="0.2">
      <c r="A2848" s="405"/>
    </row>
    <row r="2849" spans="1:1" x14ac:dyDescent="0.2">
      <c r="A2849" s="405"/>
    </row>
    <row r="2850" spans="1:1" x14ac:dyDescent="0.2">
      <c r="A2850" s="405"/>
    </row>
    <row r="2851" spans="1:1" x14ac:dyDescent="0.2">
      <c r="A2851" s="405"/>
    </row>
    <row r="2852" spans="1:1" x14ac:dyDescent="0.2">
      <c r="A2852" s="405"/>
    </row>
    <row r="2853" spans="1:1" x14ac:dyDescent="0.2">
      <c r="A2853" s="405"/>
    </row>
    <row r="2854" spans="1:1" x14ac:dyDescent="0.2">
      <c r="A2854" s="405"/>
    </row>
    <row r="2855" spans="1:1" x14ac:dyDescent="0.2">
      <c r="A2855" s="405"/>
    </row>
    <row r="2856" spans="1:1" x14ac:dyDescent="0.2">
      <c r="A2856" s="405"/>
    </row>
    <row r="2857" spans="1:1" x14ac:dyDescent="0.2">
      <c r="A2857" s="405"/>
    </row>
    <row r="2858" spans="1:1" x14ac:dyDescent="0.2">
      <c r="A2858" s="405"/>
    </row>
    <row r="2859" spans="1:1" x14ac:dyDescent="0.2">
      <c r="A2859" s="405"/>
    </row>
    <row r="2860" spans="1:1" x14ac:dyDescent="0.2">
      <c r="A2860" s="405"/>
    </row>
    <row r="2861" spans="1:1" x14ac:dyDescent="0.2">
      <c r="A2861" s="405"/>
    </row>
    <row r="2862" spans="1:1" x14ac:dyDescent="0.2">
      <c r="A2862" s="405"/>
    </row>
    <row r="2863" spans="1:1" x14ac:dyDescent="0.2">
      <c r="A2863" s="405"/>
    </row>
    <row r="2864" spans="1:1" x14ac:dyDescent="0.2">
      <c r="A2864" s="405"/>
    </row>
    <row r="2865" spans="1:1" x14ac:dyDescent="0.2">
      <c r="A2865" s="405"/>
    </row>
    <row r="2866" spans="1:1" x14ac:dyDescent="0.2">
      <c r="A2866" s="405"/>
    </row>
    <row r="2867" spans="1:1" x14ac:dyDescent="0.2">
      <c r="A2867" s="405"/>
    </row>
    <row r="2868" spans="1:1" x14ac:dyDescent="0.2">
      <c r="A2868" s="405"/>
    </row>
    <row r="2869" spans="1:1" x14ac:dyDescent="0.2">
      <c r="A2869" s="405"/>
    </row>
    <row r="2870" spans="1:1" x14ac:dyDescent="0.2">
      <c r="A2870" s="405"/>
    </row>
    <row r="2871" spans="1:1" x14ac:dyDescent="0.2">
      <c r="A2871" s="405"/>
    </row>
    <row r="2872" spans="1:1" x14ac:dyDescent="0.2">
      <c r="A2872" s="405"/>
    </row>
    <row r="2873" spans="1:1" x14ac:dyDescent="0.2">
      <c r="A2873" s="405"/>
    </row>
    <row r="2874" spans="1:1" x14ac:dyDescent="0.2">
      <c r="A2874" s="405"/>
    </row>
    <row r="2875" spans="1:1" x14ac:dyDescent="0.2">
      <c r="A2875" s="405"/>
    </row>
    <row r="2876" spans="1:1" x14ac:dyDescent="0.2">
      <c r="A2876" s="405"/>
    </row>
    <row r="2877" spans="1:1" x14ac:dyDescent="0.2">
      <c r="A2877" s="405"/>
    </row>
    <row r="2878" spans="1:1" x14ac:dyDescent="0.2">
      <c r="A2878" s="405"/>
    </row>
    <row r="2879" spans="1:1" x14ac:dyDescent="0.2">
      <c r="A2879" s="405"/>
    </row>
    <row r="2880" spans="1:1" x14ac:dyDescent="0.2">
      <c r="A2880" s="405"/>
    </row>
    <row r="2881" spans="1:1" x14ac:dyDescent="0.2">
      <c r="A2881" s="405"/>
    </row>
    <row r="2882" spans="1:1" x14ac:dyDescent="0.2">
      <c r="A2882" s="405"/>
    </row>
    <row r="2883" spans="1:1" x14ac:dyDescent="0.2">
      <c r="A2883" s="405"/>
    </row>
    <row r="2884" spans="1:1" x14ac:dyDescent="0.2">
      <c r="A2884" s="405"/>
    </row>
    <row r="2885" spans="1:1" x14ac:dyDescent="0.2">
      <c r="A2885" s="405"/>
    </row>
    <row r="2886" spans="1:1" x14ac:dyDescent="0.2">
      <c r="A2886" s="405"/>
    </row>
    <row r="2887" spans="1:1" x14ac:dyDescent="0.2">
      <c r="A2887" s="405"/>
    </row>
    <row r="2888" spans="1:1" x14ac:dyDescent="0.2">
      <c r="A2888" s="405"/>
    </row>
    <row r="2889" spans="1:1" x14ac:dyDescent="0.2">
      <c r="A2889" s="405"/>
    </row>
    <row r="2890" spans="1:1" x14ac:dyDescent="0.2">
      <c r="A2890" s="405"/>
    </row>
    <row r="2891" spans="1:1" x14ac:dyDescent="0.2">
      <c r="A2891" s="405"/>
    </row>
    <row r="2892" spans="1:1" x14ac:dyDescent="0.2">
      <c r="A2892" s="405"/>
    </row>
    <row r="2893" spans="1:1" x14ac:dyDescent="0.2">
      <c r="A2893" s="405"/>
    </row>
    <row r="2894" spans="1:1" x14ac:dyDescent="0.2">
      <c r="A2894" s="405"/>
    </row>
    <row r="2895" spans="1:1" x14ac:dyDescent="0.2">
      <c r="A2895" s="405"/>
    </row>
    <row r="2896" spans="1:1" x14ac:dyDescent="0.2">
      <c r="A2896" s="405"/>
    </row>
    <row r="2897" spans="1:1" x14ac:dyDescent="0.2">
      <c r="A2897" s="405"/>
    </row>
    <row r="2898" spans="1:1" x14ac:dyDescent="0.2">
      <c r="A2898" s="405"/>
    </row>
    <row r="2899" spans="1:1" x14ac:dyDescent="0.2">
      <c r="A2899" s="405"/>
    </row>
    <row r="2900" spans="1:1" x14ac:dyDescent="0.2">
      <c r="A2900" s="405"/>
    </row>
    <row r="2901" spans="1:1" x14ac:dyDescent="0.2">
      <c r="A2901" s="405"/>
    </row>
    <row r="2902" spans="1:1" x14ac:dyDescent="0.2">
      <c r="A2902" s="405"/>
    </row>
    <row r="2903" spans="1:1" x14ac:dyDescent="0.2">
      <c r="A2903" s="405"/>
    </row>
    <row r="2904" spans="1:1" x14ac:dyDescent="0.2">
      <c r="A2904" s="405"/>
    </row>
    <row r="2905" spans="1:1" x14ac:dyDescent="0.2">
      <c r="A2905" s="405"/>
    </row>
    <row r="2906" spans="1:1" x14ac:dyDescent="0.2">
      <c r="A2906" s="405"/>
    </row>
    <row r="2907" spans="1:1" x14ac:dyDescent="0.2">
      <c r="A2907" s="405"/>
    </row>
    <row r="2908" spans="1:1" x14ac:dyDescent="0.2">
      <c r="A2908" s="405"/>
    </row>
    <row r="2909" spans="1:1" x14ac:dyDescent="0.2">
      <c r="A2909" s="405"/>
    </row>
    <row r="2910" spans="1:1" x14ac:dyDescent="0.2">
      <c r="A2910" s="405"/>
    </row>
    <row r="2911" spans="1:1" x14ac:dyDescent="0.2">
      <c r="A2911" s="405"/>
    </row>
    <row r="2912" spans="1:1" x14ac:dyDescent="0.2">
      <c r="A2912" s="405"/>
    </row>
    <row r="2913" spans="1:1" x14ac:dyDescent="0.2">
      <c r="A2913" s="405"/>
    </row>
    <row r="2914" spans="1:1" x14ac:dyDescent="0.2">
      <c r="A2914" s="405"/>
    </row>
    <row r="2915" spans="1:1" x14ac:dyDescent="0.2">
      <c r="A2915" s="405"/>
    </row>
    <row r="2916" spans="1:1" x14ac:dyDescent="0.2">
      <c r="A2916" s="405"/>
    </row>
    <row r="2917" spans="1:1" x14ac:dyDescent="0.2">
      <c r="A2917" s="405"/>
    </row>
    <row r="2918" spans="1:1" x14ac:dyDescent="0.2">
      <c r="A2918" s="405"/>
    </row>
    <row r="2919" spans="1:1" x14ac:dyDescent="0.2">
      <c r="A2919" s="405"/>
    </row>
    <row r="2920" spans="1:1" x14ac:dyDescent="0.2">
      <c r="A2920" s="405"/>
    </row>
    <row r="2921" spans="1:1" x14ac:dyDescent="0.2">
      <c r="A2921" s="405"/>
    </row>
    <row r="2922" spans="1:1" x14ac:dyDescent="0.2">
      <c r="A2922" s="405"/>
    </row>
    <row r="2923" spans="1:1" x14ac:dyDescent="0.2">
      <c r="A2923" s="405"/>
    </row>
    <row r="2924" spans="1:1" x14ac:dyDescent="0.2">
      <c r="A2924" s="405"/>
    </row>
    <row r="2925" spans="1:1" x14ac:dyDescent="0.2">
      <c r="A2925" s="405"/>
    </row>
    <row r="2926" spans="1:1" x14ac:dyDescent="0.2">
      <c r="A2926" s="405"/>
    </row>
    <row r="2927" spans="1:1" x14ac:dyDescent="0.2">
      <c r="A2927" s="405"/>
    </row>
    <row r="2928" spans="1:1" x14ac:dyDescent="0.2">
      <c r="A2928" s="405"/>
    </row>
    <row r="2929" spans="1:1" x14ac:dyDescent="0.2">
      <c r="A2929" s="405"/>
    </row>
    <row r="2930" spans="1:1" x14ac:dyDescent="0.2">
      <c r="A2930" s="405"/>
    </row>
    <row r="2931" spans="1:1" x14ac:dyDescent="0.2">
      <c r="A2931" s="405"/>
    </row>
    <row r="2932" spans="1:1" x14ac:dyDescent="0.2">
      <c r="A2932" s="405"/>
    </row>
    <row r="2933" spans="1:1" x14ac:dyDescent="0.2">
      <c r="A2933" s="405"/>
    </row>
    <row r="2934" spans="1:1" x14ac:dyDescent="0.2">
      <c r="A2934" s="405"/>
    </row>
    <row r="2935" spans="1:1" x14ac:dyDescent="0.2">
      <c r="A2935" s="405"/>
    </row>
    <row r="2936" spans="1:1" x14ac:dyDescent="0.2">
      <c r="A2936" s="405"/>
    </row>
    <row r="2937" spans="1:1" x14ac:dyDescent="0.2">
      <c r="A2937" s="405"/>
    </row>
    <row r="2938" spans="1:1" x14ac:dyDescent="0.2">
      <c r="A2938" s="405"/>
    </row>
    <row r="2939" spans="1:1" x14ac:dyDescent="0.2">
      <c r="A2939" s="405"/>
    </row>
    <row r="2940" spans="1:1" x14ac:dyDescent="0.2">
      <c r="A2940" s="405"/>
    </row>
    <row r="2941" spans="1:1" x14ac:dyDescent="0.2">
      <c r="A2941" s="405"/>
    </row>
    <row r="2942" spans="1:1" x14ac:dyDescent="0.2">
      <c r="A2942" s="405"/>
    </row>
    <row r="2943" spans="1:1" x14ac:dyDescent="0.2">
      <c r="A2943" s="405"/>
    </row>
    <row r="2944" spans="1:1" x14ac:dyDescent="0.2">
      <c r="A2944" s="405"/>
    </row>
    <row r="2945" spans="1:1" x14ac:dyDescent="0.2">
      <c r="A2945" s="405"/>
    </row>
    <row r="2946" spans="1:1" x14ac:dyDescent="0.2">
      <c r="A2946" s="405"/>
    </row>
    <row r="2947" spans="1:1" x14ac:dyDescent="0.2">
      <c r="A2947" s="405"/>
    </row>
    <row r="2948" spans="1:1" x14ac:dyDescent="0.2">
      <c r="A2948" s="405"/>
    </row>
    <row r="2949" spans="1:1" x14ac:dyDescent="0.2">
      <c r="A2949" s="405"/>
    </row>
    <row r="2950" spans="1:1" x14ac:dyDescent="0.2">
      <c r="A2950" s="405"/>
    </row>
    <row r="2951" spans="1:1" x14ac:dyDescent="0.2">
      <c r="A2951" s="405"/>
    </row>
    <row r="2952" spans="1:1" x14ac:dyDescent="0.2">
      <c r="A2952" s="405"/>
    </row>
    <row r="2953" spans="1:1" x14ac:dyDescent="0.2">
      <c r="A2953" s="405"/>
    </row>
    <row r="2954" spans="1:1" x14ac:dyDescent="0.2">
      <c r="A2954" s="405"/>
    </row>
    <row r="2955" spans="1:1" x14ac:dyDescent="0.2">
      <c r="A2955" s="405"/>
    </row>
    <row r="2956" spans="1:1" x14ac:dyDescent="0.2">
      <c r="A2956" s="405"/>
    </row>
    <row r="2957" spans="1:1" x14ac:dyDescent="0.2">
      <c r="A2957" s="405"/>
    </row>
    <row r="2958" spans="1:1" x14ac:dyDescent="0.2">
      <c r="A2958" s="405"/>
    </row>
    <row r="2959" spans="1:1" x14ac:dyDescent="0.2">
      <c r="A2959" s="405"/>
    </row>
    <row r="2960" spans="1:1" x14ac:dyDescent="0.2">
      <c r="A2960" s="405"/>
    </row>
    <row r="2961" spans="1:1" x14ac:dyDescent="0.2">
      <c r="A2961" s="405"/>
    </row>
    <row r="2962" spans="1:1" x14ac:dyDescent="0.2">
      <c r="A2962" s="405"/>
    </row>
    <row r="2963" spans="1:1" x14ac:dyDescent="0.2">
      <c r="A2963" s="405"/>
    </row>
    <row r="2964" spans="1:1" x14ac:dyDescent="0.2">
      <c r="A2964" s="405"/>
    </row>
    <row r="2965" spans="1:1" x14ac:dyDescent="0.2">
      <c r="A2965" s="405"/>
    </row>
    <row r="2966" spans="1:1" x14ac:dyDescent="0.2">
      <c r="A2966" s="405"/>
    </row>
    <row r="2967" spans="1:1" x14ac:dyDescent="0.2">
      <c r="A2967" s="405"/>
    </row>
    <row r="2968" spans="1:1" x14ac:dyDescent="0.2">
      <c r="A2968" s="405"/>
    </row>
    <row r="2969" spans="1:1" x14ac:dyDescent="0.2">
      <c r="A2969" s="405"/>
    </row>
    <row r="2970" spans="1:1" x14ac:dyDescent="0.2">
      <c r="A2970" s="405"/>
    </row>
    <row r="2971" spans="1:1" x14ac:dyDescent="0.2">
      <c r="A2971" s="405"/>
    </row>
    <row r="2972" spans="1:1" x14ac:dyDescent="0.2">
      <c r="A2972" s="405"/>
    </row>
    <row r="2973" spans="1:1" x14ac:dyDescent="0.2">
      <c r="A2973" s="405"/>
    </row>
    <row r="2974" spans="1:1" x14ac:dyDescent="0.2">
      <c r="A2974" s="405"/>
    </row>
    <row r="2975" spans="1:1" x14ac:dyDescent="0.2">
      <c r="A2975" s="405"/>
    </row>
    <row r="2976" spans="1:1" x14ac:dyDescent="0.2">
      <c r="A2976" s="405"/>
    </row>
    <row r="2977" spans="1:1" x14ac:dyDescent="0.2">
      <c r="A2977" s="405"/>
    </row>
    <row r="2978" spans="1:1" x14ac:dyDescent="0.2">
      <c r="A2978" s="405"/>
    </row>
    <row r="2979" spans="1:1" x14ac:dyDescent="0.2">
      <c r="A2979" s="405"/>
    </row>
    <row r="2980" spans="1:1" x14ac:dyDescent="0.2">
      <c r="A2980" s="405"/>
    </row>
    <row r="2981" spans="1:1" x14ac:dyDescent="0.2">
      <c r="A2981" s="405"/>
    </row>
    <row r="2982" spans="1:1" x14ac:dyDescent="0.2">
      <c r="A2982" s="405"/>
    </row>
    <row r="2983" spans="1:1" x14ac:dyDescent="0.2">
      <c r="A2983" s="405"/>
    </row>
    <row r="2984" spans="1:1" x14ac:dyDescent="0.2">
      <c r="A2984" s="405"/>
    </row>
    <row r="2985" spans="1:1" x14ac:dyDescent="0.2">
      <c r="A2985" s="405"/>
    </row>
    <row r="2986" spans="1:1" x14ac:dyDescent="0.2">
      <c r="A2986" s="405"/>
    </row>
    <row r="2987" spans="1:1" x14ac:dyDescent="0.2">
      <c r="A2987" s="405"/>
    </row>
    <row r="2988" spans="1:1" x14ac:dyDescent="0.2">
      <c r="A2988" s="405"/>
    </row>
    <row r="2989" spans="1:1" x14ac:dyDescent="0.2">
      <c r="A2989" s="405"/>
    </row>
    <row r="2990" spans="1:1" x14ac:dyDescent="0.2">
      <c r="A2990" s="405"/>
    </row>
    <row r="2991" spans="1:1" x14ac:dyDescent="0.2">
      <c r="A2991" s="405"/>
    </row>
    <row r="2992" spans="1:1" x14ac:dyDescent="0.2">
      <c r="A2992" s="405"/>
    </row>
    <row r="2993" spans="1:1" x14ac:dyDescent="0.2">
      <c r="A2993" s="405"/>
    </row>
    <row r="2994" spans="1:1" x14ac:dyDescent="0.2">
      <c r="A2994" s="405"/>
    </row>
    <row r="2995" spans="1:1" x14ac:dyDescent="0.2">
      <c r="A2995" s="405"/>
    </row>
    <row r="2996" spans="1:1" x14ac:dyDescent="0.2">
      <c r="A2996" s="405"/>
    </row>
    <row r="2997" spans="1:1" x14ac:dyDescent="0.2">
      <c r="A2997" s="405"/>
    </row>
    <row r="2998" spans="1:1" x14ac:dyDescent="0.2">
      <c r="A2998" s="405"/>
    </row>
    <row r="2999" spans="1:1" x14ac:dyDescent="0.2">
      <c r="A2999" s="405"/>
    </row>
    <row r="3000" spans="1:1" x14ac:dyDescent="0.2">
      <c r="A3000" s="405"/>
    </row>
    <row r="3001" spans="1:1" x14ac:dyDescent="0.2">
      <c r="A3001" s="405"/>
    </row>
    <row r="3002" spans="1:1" x14ac:dyDescent="0.2">
      <c r="A3002" s="405"/>
    </row>
    <row r="3003" spans="1:1" x14ac:dyDescent="0.2">
      <c r="A3003" s="405"/>
    </row>
    <row r="3004" spans="1:1" x14ac:dyDescent="0.2">
      <c r="A3004" s="405"/>
    </row>
    <row r="3005" spans="1:1" x14ac:dyDescent="0.2">
      <c r="A3005" s="405"/>
    </row>
    <row r="3006" spans="1:1" x14ac:dyDescent="0.2">
      <c r="A3006" s="405"/>
    </row>
    <row r="3007" spans="1:1" x14ac:dyDescent="0.2">
      <c r="A3007" s="405"/>
    </row>
    <row r="3008" spans="1:1" x14ac:dyDescent="0.2">
      <c r="A3008" s="405"/>
    </row>
    <row r="3009" spans="1:1" x14ac:dyDescent="0.2">
      <c r="A3009" s="405"/>
    </row>
    <row r="3010" spans="1:1" x14ac:dyDescent="0.2">
      <c r="A3010" s="405"/>
    </row>
    <row r="3011" spans="1:1" x14ac:dyDescent="0.2">
      <c r="A3011" s="405"/>
    </row>
    <row r="3012" spans="1:1" x14ac:dyDescent="0.2">
      <c r="A3012" s="405"/>
    </row>
    <row r="3013" spans="1:1" x14ac:dyDescent="0.2">
      <c r="A3013" s="405"/>
    </row>
    <row r="3014" spans="1:1" x14ac:dyDescent="0.2">
      <c r="A3014" s="405"/>
    </row>
    <row r="3015" spans="1:1" x14ac:dyDescent="0.2">
      <c r="A3015" s="405"/>
    </row>
    <row r="3016" spans="1:1" x14ac:dyDescent="0.2">
      <c r="A3016" s="405"/>
    </row>
    <row r="3017" spans="1:1" x14ac:dyDescent="0.2">
      <c r="A3017" s="405"/>
    </row>
    <row r="3018" spans="1:1" x14ac:dyDescent="0.2">
      <c r="A3018" s="405"/>
    </row>
    <row r="3019" spans="1:1" x14ac:dyDescent="0.2">
      <c r="A3019" s="405"/>
    </row>
    <row r="3020" spans="1:1" x14ac:dyDescent="0.2">
      <c r="A3020" s="405"/>
    </row>
    <row r="3021" spans="1:1" x14ac:dyDescent="0.2">
      <c r="A3021" s="405"/>
    </row>
    <row r="3022" spans="1:1" x14ac:dyDescent="0.2">
      <c r="A3022" s="405"/>
    </row>
    <row r="3023" spans="1:1" x14ac:dyDescent="0.2">
      <c r="A3023" s="405"/>
    </row>
    <row r="3024" spans="1:1" x14ac:dyDescent="0.2">
      <c r="A3024" s="405"/>
    </row>
    <row r="3025" spans="1:1" x14ac:dyDescent="0.2">
      <c r="A3025" s="405"/>
    </row>
    <row r="3026" spans="1:1" x14ac:dyDescent="0.2">
      <c r="A3026" s="405"/>
    </row>
    <row r="3027" spans="1:1" x14ac:dyDescent="0.2">
      <c r="A3027" s="405"/>
    </row>
    <row r="3028" spans="1:1" x14ac:dyDescent="0.2">
      <c r="A3028" s="405"/>
    </row>
    <row r="3029" spans="1:1" x14ac:dyDescent="0.2">
      <c r="A3029" s="405"/>
    </row>
    <row r="3030" spans="1:1" x14ac:dyDescent="0.2">
      <c r="A3030" s="405"/>
    </row>
    <row r="3031" spans="1:1" x14ac:dyDescent="0.2">
      <c r="A3031" s="405"/>
    </row>
    <row r="3032" spans="1:1" x14ac:dyDescent="0.2">
      <c r="A3032" s="405"/>
    </row>
    <row r="3033" spans="1:1" x14ac:dyDescent="0.2">
      <c r="A3033" s="405"/>
    </row>
    <row r="3034" spans="1:1" x14ac:dyDescent="0.2">
      <c r="A3034" s="405"/>
    </row>
    <row r="3035" spans="1:1" x14ac:dyDescent="0.2">
      <c r="A3035" s="405"/>
    </row>
    <row r="3036" spans="1:1" x14ac:dyDescent="0.2">
      <c r="A3036" s="405"/>
    </row>
    <row r="3037" spans="1:1" x14ac:dyDescent="0.2">
      <c r="A3037" s="405"/>
    </row>
    <row r="3038" spans="1:1" x14ac:dyDescent="0.2">
      <c r="A3038" s="405"/>
    </row>
    <row r="3039" spans="1:1" x14ac:dyDescent="0.2">
      <c r="A3039" s="405"/>
    </row>
    <row r="3040" spans="1:1" x14ac:dyDescent="0.2">
      <c r="A3040" s="405"/>
    </row>
    <row r="3041" spans="1:1" x14ac:dyDescent="0.2">
      <c r="A3041" s="405"/>
    </row>
    <row r="3042" spans="1:1" x14ac:dyDescent="0.2">
      <c r="A3042" s="405"/>
    </row>
    <row r="3043" spans="1:1" x14ac:dyDescent="0.2">
      <c r="A3043" s="405"/>
    </row>
    <row r="3044" spans="1:1" x14ac:dyDescent="0.2">
      <c r="A3044" s="405"/>
    </row>
    <row r="3045" spans="1:1" x14ac:dyDescent="0.2">
      <c r="A3045" s="405"/>
    </row>
    <row r="3046" spans="1:1" x14ac:dyDescent="0.2">
      <c r="A3046" s="405"/>
    </row>
    <row r="3047" spans="1:1" x14ac:dyDescent="0.2">
      <c r="A3047" s="405"/>
    </row>
    <row r="3048" spans="1:1" x14ac:dyDescent="0.2">
      <c r="A3048" s="405"/>
    </row>
    <row r="3049" spans="1:1" x14ac:dyDescent="0.2">
      <c r="A3049" s="405"/>
    </row>
    <row r="3050" spans="1:1" x14ac:dyDescent="0.2">
      <c r="A3050" s="405"/>
    </row>
    <row r="3051" spans="1:1" x14ac:dyDescent="0.2">
      <c r="A3051" s="405"/>
    </row>
    <row r="3052" spans="1:1" x14ac:dyDescent="0.2">
      <c r="A3052" s="405"/>
    </row>
    <row r="3053" spans="1:1" x14ac:dyDescent="0.2">
      <c r="A3053" s="405"/>
    </row>
    <row r="3054" spans="1:1" x14ac:dyDescent="0.2">
      <c r="A3054" s="405"/>
    </row>
    <row r="3055" spans="1:1" x14ac:dyDescent="0.2">
      <c r="A3055" s="405"/>
    </row>
    <row r="3056" spans="1:1" x14ac:dyDescent="0.2">
      <c r="A3056" s="405"/>
    </row>
    <row r="3057" spans="1:1" x14ac:dyDescent="0.2">
      <c r="A3057" s="405"/>
    </row>
    <row r="3058" spans="1:1" x14ac:dyDescent="0.2">
      <c r="A3058" s="405"/>
    </row>
    <row r="3059" spans="1:1" x14ac:dyDescent="0.2">
      <c r="A3059" s="405"/>
    </row>
    <row r="3060" spans="1:1" x14ac:dyDescent="0.2">
      <c r="A3060" s="405"/>
    </row>
    <row r="3061" spans="1:1" x14ac:dyDescent="0.2">
      <c r="A3061" s="405"/>
    </row>
    <row r="3062" spans="1:1" x14ac:dyDescent="0.2">
      <c r="A3062" s="405"/>
    </row>
    <row r="3063" spans="1:1" x14ac:dyDescent="0.2">
      <c r="A3063" s="405"/>
    </row>
    <row r="3064" spans="1:1" x14ac:dyDescent="0.2">
      <c r="A3064" s="405"/>
    </row>
    <row r="3065" spans="1:1" x14ac:dyDescent="0.2">
      <c r="A3065" s="405"/>
    </row>
    <row r="3066" spans="1:1" x14ac:dyDescent="0.2">
      <c r="A3066" s="405"/>
    </row>
    <row r="3067" spans="1:1" x14ac:dyDescent="0.2">
      <c r="A3067" s="405"/>
    </row>
    <row r="3068" spans="1:1" x14ac:dyDescent="0.2">
      <c r="A3068" s="405"/>
    </row>
    <row r="3069" spans="1:1" x14ac:dyDescent="0.2">
      <c r="A3069" s="405"/>
    </row>
    <row r="3070" spans="1:1" x14ac:dyDescent="0.2">
      <c r="A3070" s="405"/>
    </row>
    <row r="3071" spans="1:1" x14ac:dyDescent="0.2">
      <c r="A3071" s="405"/>
    </row>
    <row r="3072" spans="1:1" x14ac:dyDescent="0.2">
      <c r="A3072" s="405"/>
    </row>
    <row r="3073" spans="1:1" x14ac:dyDescent="0.2">
      <c r="A3073" s="405"/>
    </row>
    <row r="3074" spans="1:1" x14ac:dyDescent="0.2">
      <c r="A3074" s="405"/>
    </row>
    <row r="3075" spans="1:1" x14ac:dyDescent="0.2">
      <c r="A3075" s="405"/>
    </row>
    <row r="3076" spans="1:1" x14ac:dyDescent="0.2">
      <c r="A3076" s="405"/>
    </row>
    <row r="3077" spans="1:1" x14ac:dyDescent="0.2">
      <c r="A3077" s="405"/>
    </row>
    <row r="3078" spans="1:1" x14ac:dyDescent="0.2">
      <c r="A3078" s="405"/>
    </row>
    <row r="3079" spans="1:1" x14ac:dyDescent="0.2">
      <c r="A3079" s="405"/>
    </row>
    <row r="3080" spans="1:1" x14ac:dyDescent="0.2">
      <c r="A3080" s="405"/>
    </row>
    <row r="3081" spans="1:1" x14ac:dyDescent="0.2">
      <c r="A3081" s="405"/>
    </row>
    <row r="3082" spans="1:1" x14ac:dyDescent="0.2">
      <c r="A3082" s="405"/>
    </row>
    <row r="3083" spans="1:1" x14ac:dyDescent="0.2">
      <c r="A3083" s="405"/>
    </row>
    <row r="3084" spans="1:1" x14ac:dyDescent="0.2">
      <c r="A3084" s="405"/>
    </row>
    <row r="3085" spans="1:1" x14ac:dyDescent="0.2">
      <c r="A3085" s="405"/>
    </row>
    <row r="3086" spans="1:1" x14ac:dyDescent="0.2">
      <c r="A3086" s="405"/>
    </row>
    <row r="3087" spans="1:1" x14ac:dyDescent="0.2">
      <c r="A3087" s="405"/>
    </row>
    <row r="3088" spans="1:1" x14ac:dyDescent="0.2">
      <c r="A3088" s="405"/>
    </row>
    <row r="3089" spans="1:1" x14ac:dyDescent="0.2">
      <c r="A3089" s="405"/>
    </row>
    <row r="3090" spans="1:1" x14ac:dyDescent="0.2">
      <c r="A3090" s="405"/>
    </row>
    <row r="3091" spans="1:1" x14ac:dyDescent="0.2">
      <c r="A3091" s="405"/>
    </row>
    <row r="3092" spans="1:1" x14ac:dyDescent="0.2">
      <c r="A3092" s="405"/>
    </row>
    <row r="3093" spans="1:1" x14ac:dyDescent="0.2">
      <c r="A3093" s="405"/>
    </row>
    <row r="3094" spans="1:1" x14ac:dyDescent="0.2">
      <c r="A3094" s="405"/>
    </row>
    <row r="3095" spans="1:1" x14ac:dyDescent="0.2">
      <c r="A3095" s="405"/>
    </row>
    <row r="3096" spans="1:1" x14ac:dyDescent="0.2">
      <c r="A3096" s="405"/>
    </row>
    <row r="3097" spans="1:1" x14ac:dyDescent="0.2">
      <c r="A3097" s="405"/>
    </row>
    <row r="3098" spans="1:1" x14ac:dyDescent="0.2">
      <c r="A3098" s="405"/>
    </row>
    <row r="3099" spans="1:1" x14ac:dyDescent="0.2">
      <c r="A3099" s="405"/>
    </row>
    <row r="3100" spans="1:1" x14ac:dyDescent="0.2">
      <c r="A3100" s="405"/>
    </row>
    <row r="3101" spans="1:1" x14ac:dyDescent="0.2">
      <c r="A3101" s="405"/>
    </row>
    <row r="3102" spans="1:1" x14ac:dyDescent="0.2">
      <c r="A3102" s="405"/>
    </row>
    <row r="3103" spans="1:1" x14ac:dyDescent="0.2">
      <c r="A3103" s="405"/>
    </row>
    <row r="3104" spans="1:1" x14ac:dyDescent="0.2">
      <c r="A3104" s="405"/>
    </row>
    <row r="3105" spans="1:1" x14ac:dyDescent="0.2">
      <c r="A3105" s="405"/>
    </row>
    <row r="3106" spans="1:1" x14ac:dyDescent="0.2">
      <c r="A3106" s="405"/>
    </row>
    <row r="3107" spans="1:1" x14ac:dyDescent="0.2">
      <c r="A3107" s="405"/>
    </row>
    <row r="3108" spans="1:1" x14ac:dyDescent="0.2">
      <c r="A3108" s="405"/>
    </row>
    <row r="3109" spans="1:1" x14ac:dyDescent="0.2">
      <c r="A3109" s="405"/>
    </row>
    <row r="3110" spans="1:1" x14ac:dyDescent="0.2">
      <c r="A3110" s="405"/>
    </row>
    <row r="3111" spans="1:1" x14ac:dyDescent="0.2">
      <c r="A3111" s="405"/>
    </row>
    <row r="3112" spans="1:1" x14ac:dyDescent="0.2">
      <c r="A3112" s="405"/>
    </row>
    <row r="3113" spans="1:1" x14ac:dyDescent="0.2">
      <c r="A3113" s="405"/>
    </row>
    <row r="3114" spans="1:1" x14ac:dyDescent="0.2">
      <c r="A3114" s="405"/>
    </row>
    <row r="3115" spans="1:1" x14ac:dyDescent="0.2">
      <c r="A3115" s="405"/>
    </row>
    <row r="3116" spans="1:1" x14ac:dyDescent="0.2">
      <c r="A3116" s="405"/>
    </row>
    <row r="3117" spans="1:1" x14ac:dyDescent="0.2">
      <c r="A3117" s="405"/>
    </row>
    <row r="3118" spans="1:1" x14ac:dyDescent="0.2">
      <c r="A3118" s="405"/>
    </row>
    <row r="3119" spans="1:1" x14ac:dyDescent="0.2">
      <c r="A3119" s="405"/>
    </row>
    <row r="3120" spans="1:1" x14ac:dyDescent="0.2">
      <c r="A3120" s="405"/>
    </row>
    <row r="3121" spans="1:1" x14ac:dyDescent="0.2">
      <c r="A3121" s="405"/>
    </row>
    <row r="3122" spans="1:1" x14ac:dyDescent="0.2">
      <c r="A3122" s="405"/>
    </row>
    <row r="3123" spans="1:1" x14ac:dyDescent="0.2">
      <c r="A3123" s="405"/>
    </row>
    <row r="3124" spans="1:1" x14ac:dyDescent="0.2">
      <c r="A3124" s="405"/>
    </row>
    <row r="3125" spans="1:1" x14ac:dyDescent="0.2">
      <c r="A3125" s="405"/>
    </row>
    <row r="3126" spans="1:1" x14ac:dyDescent="0.2">
      <c r="A3126" s="405"/>
    </row>
    <row r="3127" spans="1:1" x14ac:dyDescent="0.2">
      <c r="A3127" s="405"/>
    </row>
    <row r="3128" spans="1:1" x14ac:dyDescent="0.2">
      <c r="A3128" s="405"/>
    </row>
    <row r="3129" spans="1:1" x14ac:dyDescent="0.2">
      <c r="A3129" s="405"/>
    </row>
    <row r="3130" spans="1:1" x14ac:dyDescent="0.2">
      <c r="A3130" s="405"/>
    </row>
    <row r="3131" spans="1:1" x14ac:dyDescent="0.2">
      <c r="A3131" s="405"/>
    </row>
    <row r="3132" spans="1:1" x14ac:dyDescent="0.2">
      <c r="A3132" s="405"/>
    </row>
    <row r="3133" spans="1:1" x14ac:dyDescent="0.2">
      <c r="A3133" s="405"/>
    </row>
    <row r="3134" spans="1:1" x14ac:dyDescent="0.2">
      <c r="A3134" s="405"/>
    </row>
    <row r="3135" spans="1:1" x14ac:dyDescent="0.2">
      <c r="A3135" s="405"/>
    </row>
    <row r="3136" spans="1:1" x14ac:dyDescent="0.2">
      <c r="A3136" s="405"/>
    </row>
    <row r="3137" spans="1:1" x14ac:dyDescent="0.2">
      <c r="A3137" s="405"/>
    </row>
    <row r="3138" spans="1:1" x14ac:dyDescent="0.2">
      <c r="A3138" s="405"/>
    </row>
    <row r="3139" spans="1:1" x14ac:dyDescent="0.2">
      <c r="A3139" s="405"/>
    </row>
    <row r="3140" spans="1:1" x14ac:dyDescent="0.2">
      <c r="A3140" s="405"/>
    </row>
    <row r="3141" spans="1:1" x14ac:dyDescent="0.2">
      <c r="A3141" s="405"/>
    </row>
    <row r="3142" spans="1:1" x14ac:dyDescent="0.2">
      <c r="A3142" s="405"/>
    </row>
    <row r="3143" spans="1:1" x14ac:dyDescent="0.2">
      <c r="A3143" s="405"/>
    </row>
    <row r="3144" spans="1:1" x14ac:dyDescent="0.2">
      <c r="A3144" s="405"/>
    </row>
    <row r="3145" spans="1:1" x14ac:dyDescent="0.2">
      <c r="A3145" s="405"/>
    </row>
    <row r="3146" spans="1:1" x14ac:dyDescent="0.2">
      <c r="A3146" s="405"/>
    </row>
    <row r="3147" spans="1:1" x14ac:dyDescent="0.2">
      <c r="A3147" s="405"/>
    </row>
    <row r="3148" spans="1:1" x14ac:dyDescent="0.2">
      <c r="A3148" s="405"/>
    </row>
    <row r="3149" spans="1:1" x14ac:dyDescent="0.2">
      <c r="A3149" s="405"/>
    </row>
    <row r="3150" spans="1:1" x14ac:dyDescent="0.2">
      <c r="A3150" s="405"/>
    </row>
    <row r="3151" spans="1:1" x14ac:dyDescent="0.2">
      <c r="A3151" s="405"/>
    </row>
    <row r="3152" spans="1:1" x14ac:dyDescent="0.2">
      <c r="A3152" s="405"/>
    </row>
    <row r="3153" spans="1:1" x14ac:dyDescent="0.2">
      <c r="A3153" s="405"/>
    </row>
    <row r="3154" spans="1:1" x14ac:dyDescent="0.2">
      <c r="A3154" s="405"/>
    </row>
    <row r="3155" spans="1:1" x14ac:dyDescent="0.2">
      <c r="A3155" s="405"/>
    </row>
    <row r="3156" spans="1:1" x14ac:dyDescent="0.2">
      <c r="A3156" s="405"/>
    </row>
    <row r="3157" spans="1:1" x14ac:dyDescent="0.2">
      <c r="A3157" s="405"/>
    </row>
    <row r="3158" spans="1:1" x14ac:dyDescent="0.2">
      <c r="A3158" s="405"/>
    </row>
    <row r="3159" spans="1:1" x14ac:dyDescent="0.2">
      <c r="A3159" s="405"/>
    </row>
    <row r="3160" spans="1:1" x14ac:dyDescent="0.2">
      <c r="A3160" s="405"/>
    </row>
    <row r="3161" spans="1:1" x14ac:dyDescent="0.2">
      <c r="A3161" s="405"/>
    </row>
    <row r="3162" spans="1:1" x14ac:dyDescent="0.2">
      <c r="A3162" s="405"/>
    </row>
    <row r="3163" spans="1:1" x14ac:dyDescent="0.2">
      <c r="A3163" s="405"/>
    </row>
    <row r="3164" spans="1:1" x14ac:dyDescent="0.2">
      <c r="A3164" s="405"/>
    </row>
    <row r="3165" spans="1:1" x14ac:dyDescent="0.2">
      <c r="A3165" s="405"/>
    </row>
    <row r="3166" spans="1:1" x14ac:dyDescent="0.2">
      <c r="A3166" s="405"/>
    </row>
    <row r="3167" spans="1:1" x14ac:dyDescent="0.2">
      <c r="A3167" s="405"/>
    </row>
    <row r="3168" spans="1:1" x14ac:dyDescent="0.2">
      <c r="A3168" s="405"/>
    </row>
    <row r="3169" spans="1:1" x14ac:dyDescent="0.2">
      <c r="A3169" s="405"/>
    </row>
    <row r="3170" spans="1:1" x14ac:dyDescent="0.2">
      <c r="A3170" s="405"/>
    </row>
    <row r="3171" spans="1:1" x14ac:dyDescent="0.2">
      <c r="A3171" s="405"/>
    </row>
    <row r="3172" spans="1:1" x14ac:dyDescent="0.2">
      <c r="A3172" s="405"/>
    </row>
    <row r="3173" spans="1:1" x14ac:dyDescent="0.2">
      <c r="A3173" s="405"/>
    </row>
    <row r="3174" spans="1:1" x14ac:dyDescent="0.2">
      <c r="A3174" s="405"/>
    </row>
    <row r="3175" spans="1:1" x14ac:dyDescent="0.2">
      <c r="A3175" s="405"/>
    </row>
    <row r="3176" spans="1:1" x14ac:dyDescent="0.2">
      <c r="A3176" s="405"/>
    </row>
    <row r="3177" spans="1:1" x14ac:dyDescent="0.2">
      <c r="A3177" s="405"/>
    </row>
    <row r="3178" spans="1:1" x14ac:dyDescent="0.2">
      <c r="A3178" s="405"/>
    </row>
    <row r="3179" spans="1:1" x14ac:dyDescent="0.2">
      <c r="A3179" s="405"/>
    </row>
    <row r="3180" spans="1:1" x14ac:dyDescent="0.2">
      <c r="A3180" s="405"/>
    </row>
    <row r="3181" spans="1:1" x14ac:dyDescent="0.2">
      <c r="A3181" s="405"/>
    </row>
    <row r="3182" spans="1:1" x14ac:dyDescent="0.2">
      <c r="A3182" s="405"/>
    </row>
    <row r="3183" spans="1:1" x14ac:dyDescent="0.2">
      <c r="A3183" s="405"/>
    </row>
    <row r="3184" spans="1:1" x14ac:dyDescent="0.2">
      <c r="A3184" s="405"/>
    </row>
    <row r="3185" spans="1:1" x14ac:dyDescent="0.2">
      <c r="A3185" s="405"/>
    </row>
    <row r="3186" spans="1:1" x14ac:dyDescent="0.2">
      <c r="A3186" s="405"/>
    </row>
    <row r="3187" spans="1:1" x14ac:dyDescent="0.2">
      <c r="A3187" s="405"/>
    </row>
    <row r="3188" spans="1:1" x14ac:dyDescent="0.2">
      <c r="A3188" s="405"/>
    </row>
    <row r="3189" spans="1:1" x14ac:dyDescent="0.2">
      <c r="A3189" s="405"/>
    </row>
    <row r="3190" spans="1:1" x14ac:dyDescent="0.2">
      <c r="A3190" s="405"/>
    </row>
    <row r="3191" spans="1:1" x14ac:dyDescent="0.2">
      <c r="A3191" s="405"/>
    </row>
    <row r="3192" spans="1:1" x14ac:dyDescent="0.2">
      <c r="A3192" s="405"/>
    </row>
    <row r="3193" spans="1:1" x14ac:dyDescent="0.2">
      <c r="A3193" s="405"/>
    </row>
    <row r="3194" spans="1:1" x14ac:dyDescent="0.2">
      <c r="A3194" s="405"/>
    </row>
    <row r="3195" spans="1:1" x14ac:dyDescent="0.2">
      <c r="A3195" s="405"/>
    </row>
    <row r="3196" spans="1:1" x14ac:dyDescent="0.2">
      <c r="A3196" s="405"/>
    </row>
    <row r="3197" spans="1:1" x14ac:dyDescent="0.2">
      <c r="A3197" s="405"/>
    </row>
    <row r="3198" spans="1:1" x14ac:dyDescent="0.2">
      <c r="A3198" s="405"/>
    </row>
    <row r="3199" spans="1:1" x14ac:dyDescent="0.2">
      <c r="A3199" s="405"/>
    </row>
    <row r="3200" spans="1:1" x14ac:dyDescent="0.2">
      <c r="A3200" s="405"/>
    </row>
    <row r="3201" spans="1:1" x14ac:dyDescent="0.2">
      <c r="A3201" s="405"/>
    </row>
    <row r="3202" spans="1:1" x14ac:dyDescent="0.2">
      <c r="A3202" s="405"/>
    </row>
    <row r="3203" spans="1:1" x14ac:dyDescent="0.2">
      <c r="A3203" s="405"/>
    </row>
    <row r="3204" spans="1:1" x14ac:dyDescent="0.2">
      <c r="A3204" s="405"/>
    </row>
    <row r="3205" spans="1:1" x14ac:dyDescent="0.2">
      <c r="A3205" s="405"/>
    </row>
    <row r="3206" spans="1:1" x14ac:dyDescent="0.2">
      <c r="A3206" s="405"/>
    </row>
    <row r="3207" spans="1:1" x14ac:dyDescent="0.2">
      <c r="A3207" s="405"/>
    </row>
    <row r="3208" spans="1:1" x14ac:dyDescent="0.2">
      <c r="A3208" s="405"/>
    </row>
    <row r="3209" spans="1:1" x14ac:dyDescent="0.2">
      <c r="A3209" s="405"/>
    </row>
    <row r="3210" spans="1:1" x14ac:dyDescent="0.2">
      <c r="A3210" s="405"/>
    </row>
    <row r="3211" spans="1:1" x14ac:dyDescent="0.2">
      <c r="A3211" s="405"/>
    </row>
    <row r="3212" spans="1:1" x14ac:dyDescent="0.2">
      <c r="A3212" s="405"/>
    </row>
    <row r="3213" spans="1:1" x14ac:dyDescent="0.2">
      <c r="A3213" s="405"/>
    </row>
    <row r="3214" spans="1:1" x14ac:dyDescent="0.2">
      <c r="A3214" s="405"/>
    </row>
    <row r="3215" spans="1:1" x14ac:dyDescent="0.2">
      <c r="A3215" s="405"/>
    </row>
    <row r="3216" spans="1:1" x14ac:dyDescent="0.2">
      <c r="A3216" s="405"/>
    </row>
    <row r="3217" spans="1:1" x14ac:dyDescent="0.2">
      <c r="A3217" s="405"/>
    </row>
    <row r="3218" spans="1:1" x14ac:dyDescent="0.2">
      <c r="A3218" s="405"/>
    </row>
    <row r="3219" spans="1:1" x14ac:dyDescent="0.2">
      <c r="A3219" s="405"/>
    </row>
    <row r="3220" spans="1:1" x14ac:dyDescent="0.2">
      <c r="A3220" s="405"/>
    </row>
    <row r="3221" spans="1:1" x14ac:dyDescent="0.2">
      <c r="A3221" s="405"/>
    </row>
    <row r="3222" spans="1:1" x14ac:dyDescent="0.2">
      <c r="A3222" s="405"/>
    </row>
    <row r="3223" spans="1:1" x14ac:dyDescent="0.2">
      <c r="A3223" s="405"/>
    </row>
    <row r="3224" spans="1:1" x14ac:dyDescent="0.2">
      <c r="A3224" s="405"/>
    </row>
    <row r="3225" spans="1:1" x14ac:dyDescent="0.2">
      <c r="A3225" s="405"/>
    </row>
    <row r="3226" spans="1:1" x14ac:dyDescent="0.2">
      <c r="A3226" s="405"/>
    </row>
    <row r="3227" spans="1:1" x14ac:dyDescent="0.2">
      <c r="A3227" s="405"/>
    </row>
    <row r="3228" spans="1:1" x14ac:dyDescent="0.2">
      <c r="A3228" s="405"/>
    </row>
    <row r="3229" spans="1:1" x14ac:dyDescent="0.2">
      <c r="A3229" s="405"/>
    </row>
    <row r="3230" spans="1:1" x14ac:dyDescent="0.2">
      <c r="A3230" s="405"/>
    </row>
    <row r="3231" spans="1:1" x14ac:dyDescent="0.2">
      <c r="A3231" s="405"/>
    </row>
    <row r="3232" spans="1:1" x14ac:dyDescent="0.2">
      <c r="A3232" s="405"/>
    </row>
    <row r="3233" spans="1:1" x14ac:dyDescent="0.2">
      <c r="A3233" s="405"/>
    </row>
    <row r="3234" spans="1:1" x14ac:dyDescent="0.2">
      <c r="A3234" s="405"/>
    </row>
    <row r="3235" spans="1:1" x14ac:dyDescent="0.2">
      <c r="A3235" s="405"/>
    </row>
    <row r="3236" spans="1:1" x14ac:dyDescent="0.2">
      <c r="A3236" s="405"/>
    </row>
    <row r="3237" spans="1:1" x14ac:dyDescent="0.2">
      <c r="A3237" s="405"/>
    </row>
    <row r="3238" spans="1:1" x14ac:dyDescent="0.2">
      <c r="A3238" s="405"/>
    </row>
    <row r="3239" spans="1:1" x14ac:dyDescent="0.2">
      <c r="A3239" s="405"/>
    </row>
    <row r="3240" spans="1:1" x14ac:dyDescent="0.2">
      <c r="A3240" s="405"/>
    </row>
    <row r="3241" spans="1:1" x14ac:dyDescent="0.2">
      <c r="A3241" s="405"/>
    </row>
    <row r="3242" spans="1:1" x14ac:dyDescent="0.2">
      <c r="A3242" s="405"/>
    </row>
    <row r="3243" spans="1:1" x14ac:dyDescent="0.2">
      <c r="A3243" s="405"/>
    </row>
    <row r="3244" spans="1:1" x14ac:dyDescent="0.2">
      <c r="A3244" s="405"/>
    </row>
    <row r="3245" spans="1:1" x14ac:dyDescent="0.2">
      <c r="A3245" s="405"/>
    </row>
    <row r="3246" spans="1:1" x14ac:dyDescent="0.2">
      <c r="A3246" s="405"/>
    </row>
    <row r="3247" spans="1:1" x14ac:dyDescent="0.2">
      <c r="A3247" s="405"/>
    </row>
    <row r="3248" spans="1:1" x14ac:dyDescent="0.2">
      <c r="A3248" s="405"/>
    </row>
    <row r="3249" spans="1:1" x14ac:dyDescent="0.2">
      <c r="A3249" s="405"/>
    </row>
    <row r="3250" spans="1:1" x14ac:dyDescent="0.2">
      <c r="A3250" s="405"/>
    </row>
    <row r="3251" spans="1:1" x14ac:dyDescent="0.2">
      <c r="A3251" s="405"/>
    </row>
    <row r="3252" spans="1:1" x14ac:dyDescent="0.2">
      <c r="A3252" s="405"/>
    </row>
    <row r="3253" spans="1:1" x14ac:dyDescent="0.2">
      <c r="A3253" s="405"/>
    </row>
    <row r="3254" spans="1:1" x14ac:dyDescent="0.2">
      <c r="A3254" s="405"/>
    </row>
    <row r="3255" spans="1:1" x14ac:dyDescent="0.2">
      <c r="A3255" s="405"/>
    </row>
    <row r="3256" spans="1:1" x14ac:dyDescent="0.2">
      <c r="A3256" s="405"/>
    </row>
    <row r="3257" spans="1:1" x14ac:dyDescent="0.2">
      <c r="A3257" s="405"/>
    </row>
    <row r="3258" spans="1:1" x14ac:dyDescent="0.2">
      <c r="A3258" s="405"/>
    </row>
    <row r="3259" spans="1:1" x14ac:dyDescent="0.2">
      <c r="A3259" s="405"/>
    </row>
    <row r="3260" spans="1:1" x14ac:dyDescent="0.2">
      <c r="A3260" s="405"/>
    </row>
    <row r="3261" spans="1:1" x14ac:dyDescent="0.2">
      <c r="A3261" s="405"/>
    </row>
    <row r="3262" spans="1:1" x14ac:dyDescent="0.2">
      <c r="A3262" s="405"/>
    </row>
    <row r="3263" spans="1:1" x14ac:dyDescent="0.2">
      <c r="A3263" s="405"/>
    </row>
    <row r="3264" spans="1:1" x14ac:dyDescent="0.2">
      <c r="A3264" s="405"/>
    </row>
    <row r="3265" spans="1:1" x14ac:dyDescent="0.2">
      <c r="A3265" s="405"/>
    </row>
    <row r="3266" spans="1:1" x14ac:dyDescent="0.2">
      <c r="A3266" s="405"/>
    </row>
    <row r="3267" spans="1:1" x14ac:dyDescent="0.2">
      <c r="A3267" s="405"/>
    </row>
    <row r="3268" spans="1:1" x14ac:dyDescent="0.2">
      <c r="A3268" s="405"/>
    </row>
    <row r="3269" spans="1:1" x14ac:dyDescent="0.2">
      <c r="A3269" s="405"/>
    </row>
    <row r="3270" spans="1:1" x14ac:dyDescent="0.2">
      <c r="A3270" s="405"/>
    </row>
    <row r="3271" spans="1:1" x14ac:dyDescent="0.2">
      <c r="A3271" s="405"/>
    </row>
    <row r="3272" spans="1:1" x14ac:dyDescent="0.2">
      <c r="A3272" s="405"/>
    </row>
    <row r="3273" spans="1:1" x14ac:dyDescent="0.2">
      <c r="A3273" s="405"/>
    </row>
    <row r="3274" spans="1:1" x14ac:dyDescent="0.2">
      <c r="A3274" s="405"/>
    </row>
    <row r="3275" spans="1:1" x14ac:dyDescent="0.2">
      <c r="A3275" s="405"/>
    </row>
    <row r="3276" spans="1:1" x14ac:dyDescent="0.2">
      <c r="A3276" s="405"/>
    </row>
    <row r="3277" spans="1:1" x14ac:dyDescent="0.2">
      <c r="A3277" s="405"/>
    </row>
    <row r="3278" spans="1:1" x14ac:dyDescent="0.2">
      <c r="A3278" s="405"/>
    </row>
    <row r="3279" spans="1:1" x14ac:dyDescent="0.2">
      <c r="A3279" s="405"/>
    </row>
    <row r="3280" spans="1:1" x14ac:dyDescent="0.2">
      <c r="A3280" s="405"/>
    </row>
    <row r="3281" spans="1:1" x14ac:dyDescent="0.2">
      <c r="A3281" s="405"/>
    </row>
    <row r="3282" spans="1:1" x14ac:dyDescent="0.2">
      <c r="A3282" s="405"/>
    </row>
    <row r="3283" spans="1:1" x14ac:dyDescent="0.2">
      <c r="A3283" s="405"/>
    </row>
    <row r="3284" spans="1:1" x14ac:dyDescent="0.2">
      <c r="A3284" s="405"/>
    </row>
    <row r="3285" spans="1:1" x14ac:dyDescent="0.2">
      <c r="A3285" s="405"/>
    </row>
    <row r="3286" spans="1:1" x14ac:dyDescent="0.2">
      <c r="A3286" s="405"/>
    </row>
    <row r="3287" spans="1:1" x14ac:dyDescent="0.2">
      <c r="A3287" s="405"/>
    </row>
    <row r="3288" spans="1:1" x14ac:dyDescent="0.2">
      <c r="A3288" s="405"/>
    </row>
    <row r="3289" spans="1:1" x14ac:dyDescent="0.2">
      <c r="A3289" s="405"/>
    </row>
    <row r="3290" spans="1:1" x14ac:dyDescent="0.2">
      <c r="A3290" s="405"/>
    </row>
    <row r="3291" spans="1:1" x14ac:dyDescent="0.2">
      <c r="A3291" s="405"/>
    </row>
    <row r="3292" spans="1:1" x14ac:dyDescent="0.2">
      <c r="A3292" s="405"/>
    </row>
    <row r="3293" spans="1:1" x14ac:dyDescent="0.2">
      <c r="A3293" s="405"/>
    </row>
    <row r="3294" spans="1:1" x14ac:dyDescent="0.2">
      <c r="A3294" s="405"/>
    </row>
    <row r="3295" spans="1:1" x14ac:dyDescent="0.2">
      <c r="A3295" s="405"/>
    </row>
    <row r="3296" spans="1:1" x14ac:dyDescent="0.2">
      <c r="A3296" s="405"/>
    </row>
    <row r="3297" spans="1:1" x14ac:dyDescent="0.2">
      <c r="A3297" s="405"/>
    </row>
    <row r="3298" spans="1:1" x14ac:dyDescent="0.2">
      <c r="A3298" s="405"/>
    </row>
    <row r="3299" spans="1:1" x14ac:dyDescent="0.2">
      <c r="A3299" s="405"/>
    </row>
    <row r="3300" spans="1:1" x14ac:dyDescent="0.2">
      <c r="A3300" s="405"/>
    </row>
    <row r="3301" spans="1:1" x14ac:dyDescent="0.2">
      <c r="A3301" s="405"/>
    </row>
    <row r="3302" spans="1:1" x14ac:dyDescent="0.2">
      <c r="A3302" s="405"/>
    </row>
    <row r="3303" spans="1:1" x14ac:dyDescent="0.2">
      <c r="A3303" s="405"/>
    </row>
    <row r="3304" spans="1:1" x14ac:dyDescent="0.2">
      <c r="A3304" s="405"/>
    </row>
    <row r="3305" spans="1:1" x14ac:dyDescent="0.2">
      <c r="A3305" s="405"/>
    </row>
    <row r="3306" spans="1:1" x14ac:dyDescent="0.2">
      <c r="A3306" s="405"/>
    </row>
    <row r="3307" spans="1:1" x14ac:dyDescent="0.2">
      <c r="A3307" s="405"/>
    </row>
    <row r="3308" spans="1:1" x14ac:dyDescent="0.2">
      <c r="A3308" s="405"/>
    </row>
    <row r="3309" spans="1:1" x14ac:dyDescent="0.2">
      <c r="A3309" s="405"/>
    </row>
    <row r="3310" spans="1:1" x14ac:dyDescent="0.2">
      <c r="A3310" s="405"/>
    </row>
    <row r="3311" spans="1:1" x14ac:dyDescent="0.2">
      <c r="A3311" s="405"/>
    </row>
    <row r="3312" spans="1:1" x14ac:dyDescent="0.2">
      <c r="A3312" s="405"/>
    </row>
    <row r="3313" spans="1:1" x14ac:dyDescent="0.2">
      <c r="A3313" s="405"/>
    </row>
    <row r="3314" spans="1:1" x14ac:dyDescent="0.2">
      <c r="A3314" s="405"/>
    </row>
    <row r="3315" spans="1:1" x14ac:dyDescent="0.2">
      <c r="A3315" s="405"/>
    </row>
    <row r="3316" spans="1:1" x14ac:dyDescent="0.2">
      <c r="A3316" s="405"/>
    </row>
    <row r="3317" spans="1:1" x14ac:dyDescent="0.2">
      <c r="A3317" s="405"/>
    </row>
    <row r="3318" spans="1:1" x14ac:dyDescent="0.2">
      <c r="A3318" s="405"/>
    </row>
    <row r="3319" spans="1:1" x14ac:dyDescent="0.2">
      <c r="A3319" s="405"/>
    </row>
    <row r="3320" spans="1:1" x14ac:dyDescent="0.2">
      <c r="A3320" s="405"/>
    </row>
    <row r="3321" spans="1:1" x14ac:dyDescent="0.2">
      <c r="A3321" s="405"/>
    </row>
    <row r="3322" spans="1:1" x14ac:dyDescent="0.2">
      <c r="A3322" s="405"/>
    </row>
    <row r="3323" spans="1:1" x14ac:dyDescent="0.2">
      <c r="A3323" s="405"/>
    </row>
    <row r="3324" spans="1:1" x14ac:dyDescent="0.2">
      <c r="A3324" s="405"/>
    </row>
    <row r="3325" spans="1:1" x14ac:dyDescent="0.2">
      <c r="A3325" s="405"/>
    </row>
    <row r="3326" spans="1:1" x14ac:dyDescent="0.2">
      <c r="A3326" s="405"/>
    </row>
    <row r="3327" spans="1:1" x14ac:dyDescent="0.2">
      <c r="A3327" s="405"/>
    </row>
    <row r="3328" spans="1:1" x14ac:dyDescent="0.2">
      <c r="A3328" s="405"/>
    </row>
    <row r="3329" spans="1:1" x14ac:dyDescent="0.2">
      <c r="A3329" s="405"/>
    </row>
    <row r="3330" spans="1:1" x14ac:dyDescent="0.2">
      <c r="A3330" s="405"/>
    </row>
    <row r="3331" spans="1:1" x14ac:dyDescent="0.2">
      <c r="A3331" s="405"/>
    </row>
    <row r="3332" spans="1:1" x14ac:dyDescent="0.2">
      <c r="A3332" s="405"/>
    </row>
    <row r="3333" spans="1:1" x14ac:dyDescent="0.2">
      <c r="A3333" s="405"/>
    </row>
    <row r="3334" spans="1:1" x14ac:dyDescent="0.2">
      <c r="A3334" s="405"/>
    </row>
    <row r="3335" spans="1:1" x14ac:dyDescent="0.2">
      <c r="A3335" s="405"/>
    </row>
    <row r="3336" spans="1:1" x14ac:dyDescent="0.2">
      <c r="A3336" s="405"/>
    </row>
    <row r="3337" spans="1:1" x14ac:dyDescent="0.2">
      <c r="A3337" s="405"/>
    </row>
    <row r="3338" spans="1:1" x14ac:dyDescent="0.2">
      <c r="A3338" s="405"/>
    </row>
    <row r="3339" spans="1:1" x14ac:dyDescent="0.2">
      <c r="A3339" s="405"/>
    </row>
    <row r="3340" spans="1:1" x14ac:dyDescent="0.2">
      <c r="A3340" s="405"/>
    </row>
    <row r="3341" spans="1:1" x14ac:dyDescent="0.2">
      <c r="A3341" s="405"/>
    </row>
    <row r="3342" spans="1:1" x14ac:dyDescent="0.2">
      <c r="A3342" s="405"/>
    </row>
    <row r="3343" spans="1:1" x14ac:dyDescent="0.2">
      <c r="A3343" s="405"/>
    </row>
    <row r="3344" spans="1:1" x14ac:dyDescent="0.2">
      <c r="A3344" s="405"/>
    </row>
    <row r="3345" spans="1:1" x14ac:dyDescent="0.2">
      <c r="A3345" s="405"/>
    </row>
    <row r="3346" spans="1:1" x14ac:dyDescent="0.2">
      <c r="A3346" s="405"/>
    </row>
    <row r="3347" spans="1:1" x14ac:dyDescent="0.2">
      <c r="A3347" s="405"/>
    </row>
    <row r="3348" spans="1:1" x14ac:dyDescent="0.2">
      <c r="A3348" s="405"/>
    </row>
    <row r="3349" spans="1:1" x14ac:dyDescent="0.2">
      <c r="A3349" s="405"/>
    </row>
    <row r="3350" spans="1:1" x14ac:dyDescent="0.2">
      <c r="A3350" s="405"/>
    </row>
    <row r="3351" spans="1:1" x14ac:dyDescent="0.2">
      <c r="A3351" s="405"/>
    </row>
    <row r="3352" spans="1:1" x14ac:dyDescent="0.2">
      <c r="A3352" s="405"/>
    </row>
    <row r="3353" spans="1:1" x14ac:dyDescent="0.2">
      <c r="A3353" s="405"/>
    </row>
    <row r="3354" spans="1:1" x14ac:dyDescent="0.2">
      <c r="A3354" s="405"/>
    </row>
    <row r="3355" spans="1:1" x14ac:dyDescent="0.2">
      <c r="A3355" s="405"/>
    </row>
    <row r="3356" spans="1:1" x14ac:dyDescent="0.2">
      <c r="A3356" s="405"/>
    </row>
    <row r="3357" spans="1:1" x14ac:dyDescent="0.2">
      <c r="A3357" s="405"/>
    </row>
    <row r="3358" spans="1:1" x14ac:dyDescent="0.2">
      <c r="A3358" s="405"/>
    </row>
    <row r="3359" spans="1:1" x14ac:dyDescent="0.2">
      <c r="A3359" s="405"/>
    </row>
    <row r="3360" spans="1:1" x14ac:dyDescent="0.2">
      <c r="A3360" s="405"/>
    </row>
    <row r="3361" spans="1:1" x14ac:dyDescent="0.2">
      <c r="A3361" s="405"/>
    </row>
    <row r="3362" spans="1:1" x14ac:dyDescent="0.2">
      <c r="A3362" s="405"/>
    </row>
    <row r="3363" spans="1:1" x14ac:dyDescent="0.2">
      <c r="A3363" s="405"/>
    </row>
    <row r="3364" spans="1:1" x14ac:dyDescent="0.2">
      <c r="A3364" s="405"/>
    </row>
    <row r="3365" spans="1:1" x14ac:dyDescent="0.2">
      <c r="A3365" s="405"/>
    </row>
    <row r="3366" spans="1:1" x14ac:dyDescent="0.2">
      <c r="A3366" s="405"/>
    </row>
    <row r="3367" spans="1:1" x14ac:dyDescent="0.2">
      <c r="A3367" s="405"/>
    </row>
    <row r="3368" spans="1:1" x14ac:dyDescent="0.2">
      <c r="A3368" s="405"/>
    </row>
    <row r="3369" spans="1:1" x14ac:dyDescent="0.2">
      <c r="A3369" s="405"/>
    </row>
    <row r="3370" spans="1:1" x14ac:dyDescent="0.2">
      <c r="A3370" s="405"/>
    </row>
    <row r="3371" spans="1:1" x14ac:dyDescent="0.2">
      <c r="A3371" s="405"/>
    </row>
    <row r="3372" spans="1:1" x14ac:dyDescent="0.2">
      <c r="A3372" s="405"/>
    </row>
    <row r="3373" spans="1:1" x14ac:dyDescent="0.2">
      <c r="A3373" s="405"/>
    </row>
    <row r="3374" spans="1:1" x14ac:dyDescent="0.2">
      <c r="A3374" s="405"/>
    </row>
    <row r="3375" spans="1:1" x14ac:dyDescent="0.2">
      <c r="A3375" s="405"/>
    </row>
    <row r="3376" spans="1:1" x14ac:dyDescent="0.2">
      <c r="A3376" s="405"/>
    </row>
    <row r="3377" spans="1:1" x14ac:dyDescent="0.2">
      <c r="A3377" s="405"/>
    </row>
    <row r="3378" spans="1:1" x14ac:dyDescent="0.2">
      <c r="A3378" s="405"/>
    </row>
    <row r="3379" spans="1:1" x14ac:dyDescent="0.2">
      <c r="A3379" s="405"/>
    </row>
    <row r="3380" spans="1:1" x14ac:dyDescent="0.2">
      <c r="A3380" s="405"/>
    </row>
    <row r="3381" spans="1:1" x14ac:dyDescent="0.2">
      <c r="A3381" s="405"/>
    </row>
    <row r="3382" spans="1:1" x14ac:dyDescent="0.2">
      <c r="A3382" s="405"/>
    </row>
    <row r="3383" spans="1:1" x14ac:dyDescent="0.2">
      <c r="A3383" s="405"/>
    </row>
    <row r="3384" spans="1:1" x14ac:dyDescent="0.2">
      <c r="A3384" s="405"/>
    </row>
    <row r="3385" spans="1:1" x14ac:dyDescent="0.2">
      <c r="A3385" s="405"/>
    </row>
    <row r="3386" spans="1:1" x14ac:dyDescent="0.2">
      <c r="A3386" s="405"/>
    </row>
    <row r="3387" spans="1:1" x14ac:dyDescent="0.2">
      <c r="A3387" s="405"/>
    </row>
    <row r="3388" spans="1:1" x14ac:dyDescent="0.2">
      <c r="A3388" s="405"/>
    </row>
    <row r="3389" spans="1:1" x14ac:dyDescent="0.2">
      <c r="A3389" s="405"/>
    </row>
    <row r="3390" spans="1:1" x14ac:dyDescent="0.2">
      <c r="A3390" s="405"/>
    </row>
    <row r="3391" spans="1:1" x14ac:dyDescent="0.2">
      <c r="A3391" s="405"/>
    </row>
    <row r="3392" spans="1:1" x14ac:dyDescent="0.2">
      <c r="A3392" s="405"/>
    </row>
    <row r="3393" spans="1:9" x14ac:dyDescent="0.2">
      <c r="A3393" s="405"/>
    </row>
    <row r="3394" spans="1:9" x14ac:dyDescent="0.2">
      <c r="A3394" s="405"/>
    </row>
    <row r="3395" spans="1:9" x14ac:dyDescent="0.2">
      <c r="A3395" s="405"/>
    </row>
    <row r="3396" spans="1:9" x14ac:dyDescent="0.2">
      <c r="A3396" s="405"/>
    </row>
    <row r="3397" spans="1:9" x14ac:dyDescent="0.2">
      <c r="A3397" s="405"/>
    </row>
    <row r="3398" spans="1:9" x14ac:dyDescent="0.2">
      <c r="A3398" s="405"/>
    </row>
    <row r="3399" spans="1:9" x14ac:dyDescent="0.2">
      <c r="A3399" s="405"/>
    </row>
    <row r="3400" spans="1:9" x14ac:dyDescent="0.2">
      <c r="A3400" s="405"/>
    </row>
    <row r="3401" spans="1:9" x14ac:dyDescent="0.2">
      <c r="A3401" s="405"/>
    </row>
    <row r="3402" spans="1:9" x14ac:dyDescent="0.2">
      <c r="A3402" s="405"/>
    </row>
    <row r="3403" spans="1:9" x14ac:dyDescent="0.2">
      <c r="A3403" s="405"/>
    </row>
    <row r="3404" spans="1:9" x14ac:dyDescent="0.2">
      <c r="A3404" s="405"/>
    </row>
    <row r="3405" spans="1:9" x14ac:dyDescent="0.2">
      <c r="A3405" s="405"/>
    </row>
    <row r="3406" spans="1:9" x14ac:dyDescent="0.2">
      <c r="A3406" s="405"/>
      <c r="H3406" s="19"/>
      <c r="I3406" s="19"/>
    </row>
    <row r="3407" spans="1:9" x14ac:dyDescent="0.2">
      <c r="A3407" s="405"/>
      <c r="H3407" s="19"/>
      <c r="I3407" s="19"/>
    </row>
    <row r="3408" spans="1:9" x14ac:dyDescent="0.2">
      <c r="A3408" s="405"/>
      <c r="H3408" s="19"/>
      <c r="I3408" s="19"/>
    </row>
    <row r="3409" spans="1:9" x14ac:dyDescent="0.2">
      <c r="A3409" s="405"/>
      <c r="H3409" s="19"/>
      <c r="I3409" s="19"/>
    </row>
    <row r="3410" spans="1:9" x14ac:dyDescent="0.2">
      <c r="A3410" s="405"/>
      <c r="H3410" s="19"/>
      <c r="I3410" s="19"/>
    </row>
    <row r="3411" spans="1:9" x14ac:dyDescent="0.2">
      <c r="A3411" s="405"/>
      <c r="H3411" s="19"/>
      <c r="I3411" s="19"/>
    </row>
    <row r="3412" spans="1:9" x14ac:dyDescent="0.2">
      <c r="A3412" s="405"/>
      <c r="H3412" s="19"/>
      <c r="I3412" s="19"/>
    </row>
    <row r="3413" spans="1:9" x14ac:dyDescent="0.2">
      <c r="A3413" s="405"/>
      <c r="H3413" s="19"/>
      <c r="I3413" s="19"/>
    </row>
    <row r="3414" spans="1:9" x14ac:dyDescent="0.2">
      <c r="A3414" s="405"/>
      <c r="H3414" s="19"/>
      <c r="I3414" s="19"/>
    </row>
    <row r="3415" spans="1:9" x14ac:dyDescent="0.2">
      <c r="A3415" s="405"/>
      <c r="H3415" s="19"/>
      <c r="I3415" s="19"/>
    </row>
    <row r="3416" spans="1:9" x14ac:dyDescent="0.2">
      <c r="A3416" s="405"/>
      <c r="H3416" s="19"/>
      <c r="I3416" s="19"/>
    </row>
    <row r="3417" spans="1:9" x14ac:dyDescent="0.2">
      <c r="A3417" s="405"/>
      <c r="H3417" s="19"/>
      <c r="I3417" s="19"/>
    </row>
    <row r="3418" spans="1:9" x14ac:dyDescent="0.2">
      <c r="A3418" s="405"/>
      <c r="H3418" s="19"/>
      <c r="I3418" s="19"/>
    </row>
    <row r="3419" spans="1:9" x14ac:dyDescent="0.2">
      <c r="A3419" s="405"/>
      <c r="H3419" s="19"/>
      <c r="I3419" s="19"/>
    </row>
    <row r="3420" spans="1:9" x14ac:dyDescent="0.2">
      <c r="A3420" s="405"/>
      <c r="H3420" s="19"/>
      <c r="I3420" s="19"/>
    </row>
    <row r="3421" spans="1:9" x14ac:dyDescent="0.2">
      <c r="A3421" s="405"/>
    </row>
    <row r="3422" spans="1:9" x14ac:dyDescent="0.2">
      <c r="A3422" s="405"/>
      <c r="H3422" s="19"/>
      <c r="I3422" s="19"/>
    </row>
    <row r="3423" spans="1:9" x14ac:dyDescent="0.2">
      <c r="A3423" s="405"/>
      <c r="H3423" s="19"/>
      <c r="I3423" s="19"/>
    </row>
    <row r="3424" spans="1:9" x14ac:dyDescent="0.2">
      <c r="A3424" s="405"/>
      <c r="H3424" s="19"/>
      <c r="I3424" s="19"/>
    </row>
    <row r="3425" spans="1:9" x14ac:dyDescent="0.2">
      <c r="A3425" s="405"/>
      <c r="H3425" s="19"/>
      <c r="I3425" s="19"/>
    </row>
    <row r="3426" spans="1:9" x14ac:dyDescent="0.2">
      <c r="A3426" s="405"/>
      <c r="H3426" s="19"/>
      <c r="I3426" s="19"/>
    </row>
    <row r="3427" spans="1:9" x14ac:dyDescent="0.2">
      <c r="A3427" s="405"/>
      <c r="H3427" s="19"/>
      <c r="I3427" s="19"/>
    </row>
    <row r="3428" spans="1:9" x14ac:dyDescent="0.2">
      <c r="A3428" s="405"/>
      <c r="H3428" s="19"/>
      <c r="I3428" s="19"/>
    </row>
    <row r="3429" spans="1:9" x14ac:dyDescent="0.2">
      <c r="A3429" s="405"/>
      <c r="H3429" s="19"/>
      <c r="I3429" s="19"/>
    </row>
    <row r="3430" spans="1:9" x14ac:dyDescent="0.2">
      <c r="A3430" s="405"/>
      <c r="H3430" s="19"/>
      <c r="I3430" s="19"/>
    </row>
    <row r="3431" spans="1:9" x14ac:dyDescent="0.2">
      <c r="A3431" s="405"/>
      <c r="H3431" s="19"/>
      <c r="I3431" s="19"/>
    </row>
    <row r="3432" spans="1:9" x14ac:dyDescent="0.2">
      <c r="A3432" s="405"/>
      <c r="H3432" s="19"/>
      <c r="I3432" s="19"/>
    </row>
    <row r="3433" spans="1:9" x14ac:dyDescent="0.2">
      <c r="A3433" s="405"/>
      <c r="H3433" s="19"/>
      <c r="I3433" s="19"/>
    </row>
    <row r="3434" spans="1:9" x14ac:dyDescent="0.2">
      <c r="A3434" s="405"/>
      <c r="H3434" s="19"/>
      <c r="I3434" s="19"/>
    </row>
    <row r="3435" spans="1:9" x14ac:dyDescent="0.2">
      <c r="A3435" s="405"/>
      <c r="H3435" s="19"/>
      <c r="I3435" s="19"/>
    </row>
    <row r="3436" spans="1:9" x14ac:dyDescent="0.2">
      <c r="A3436" s="405"/>
      <c r="H3436" s="19"/>
      <c r="I3436" s="19"/>
    </row>
    <row r="3437" spans="1:9" x14ac:dyDescent="0.2">
      <c r="A3437" s="405"/>
      <c r="H3437" s="19"/>
      <c r="I3437" s="19"/>
    </row>
    <row r="3438" spans="1:9" x14ac:dyDescent="0.2">
      <c r="A3438" s="405"/>
      <c r="H3438" s="19"/>
      <c r="I3438" s="19"/>
    </row>
    <row r="3439" spans="1:9" x14ac:dyDescent="0.2">
      <c r="A3439" s="405"/>
      <c r="H3439" s="19"/>
      <c r="I3439" s="19"/>
    </row>
    <row r="3440" spans="1:9" x14ac:dyDescent="0.2">
      <c r="A3440" s="405"/>
      <c r="H3440" s="19"/>
      <c r="I3440" s="19"/>
    </row>
    <row r="3441" spans="1:9" x14ac:dyDescent="0.2">
      <c r="A3441" s="405"/>
    </row>
    <row r="3442" spans="1:9" x14ac:dyDescent="0.2">
      <c r="A3442" s="405"/>
      <c r="H3442" s="19"/>
      <c r="I3442" s="19"/>
    </row>
    <row r="3443" spans="1:9" x14ac:dyDescent="0.2">
      <c r="A3443" s="405"/>
    </row>
    <row r="3444" spans="1:9" x14ac:dyDescent="0.2">
      <c r="A3444" s="405"/>
      <c r="H3444" s="19"/>
      <c r="I3444" s="19"/>
    </row>
    <row r="3445" spans="1:9" x14ac:dyDescent="0.2">
      <c r="A3445" s="405"/>
    </row>
    <row r="3446" spans="1:9" x14ac:dyDescent="0.2">
      <c r="A3446" s="405"/>
      <c r="H3446" s="19"/>
      <c r="I3446" s="19"/>
    </row>
    <row r="3447" spans="1:9" x14ac:dyDescent="0.2">
      <c r="A3447" s="405"/>
      <c r="H3447" s="19"/>
      <c r="I3447" s="19"/>
    </row>
    <row r="3448" spans="1:9" x14ac:dyDescent="0.2">
      <c r="A3448" s="405"/>
      <c r="H3448" s="19"/>
      <c r="I3448" s="19"/>
    </row>
    <row r="3449" spans="1:9" x14ac:dyDescent="0.2">
      <c r="A3449" s="405"/>
      <c r="H3449" s="19"/>
      <c r="I3449" s="19"/>
    </row>
    <row r="3450" spans="1:9" x14ac:dyDescent="0.2">
      <c r="A3450" s="405"/>
      <c r="H3450" s="19"/>
      <c r="I3450" s="19"/>
    </row>
    <row r="3451" spans="1:9" x14ac:dyDescent="0.2">
      <c r="A3451" s="405"/>
      <c r="H3451" s="19"/>
      <c r="I3451" s="19"/>
    </row>
    <row r="3452" spans="1:9" x14ac:dyDescent="0.2">
      <c r="A3452" s="405"/>
      <c r="H3452" s="19"/>
      <c r="I3452" s="19"/>
    </row>
    <row r="3453" spans="1:9" x14ac:dyDescent="0.2">
      <c r="A3453" s="405"/>
      <c r="H3453" s="19"/>
      <c r="I3453" s="19"/>
    </row>
    <row r="3454" spans="1:9" x14ac:dyDescent="0.2">
      <c r="A3454" s="405"/>
      <c r="H3454" s="19"/>
      <c r="I3454" s="19"/>
    </row>
    <row r="3455" spans="1:9" x14ac:dyDescent="0.2">
      <c r="A3455" s="405"/>
      <c r="H3455" s="19"/>
      <c r="I3455" s="19"/>
    </row>
    <row r="3456" spans="1:9" x14ac:dyDescent="0.2">
      <c r="A3456" s="405"/>
      <c r="H3456" s="19"/>
      <c r="I3456" s="19"/>
    </row>
    <row r="3457" spans="1:9" x14ac:dyDescent="0.2">
      <c r="A3457" s="405"/>
      <c r="H3457" s="19"/>
      <c r="I3457" s="19"/>
    </row>
    <row r="3458" spans="1:9" x14ac:dyDescent="0.2">
      <c r="A3458" s="405"/>
    </row>
    <row r="3459" spans="1:9" x14ac:dyDescent="0.2">
      <c r="A3459" s="405"/>
      <c r="H3459" s="19"/>
      <c r="I3459" s="19"/>
    </row>
    <row r="3460" spans="1:9" x14ac:dyDescent="0.2">
      <c r="A3460" s="405"/>
    </row>
    <row r="3461" spans="1:9" x14ac:dyDescent="0.2">
      <c r="A3461" s="405"/>
      <c r="H3461" s="19"/>
      <c r="I3461" s="19"/>
    </row>
    <row r="3462" spans="1:9" x14ac:dyDescent="0.2">
      <c r="A3462" s="405"/>
    </row>
    <row r="3463" spans="1:9" x14ac:dyDescent="0.2">
      <c r="A3463" s="405"/>
      <c r="H3463" s="19"/>
      <c r="I3463" s="19"/>
    </row>
    <row r="3464" spans="1:9" x14ac:dyDescent="0.2">
      <c r="A3464" s="405"/>
    </row>
    <row r="3465" spans="1:9" x14ac:dyDescent="0.2">
      <c r="A3465" s="405"/>
    </row>
    <row r="3466" spans="1:9" x14ac:dyDescent="0.2">
      <c r="A3466" s="405"/>
    </row>
    <row r="3467" spans="1:9" x14ac:dyDescent="0.2">
      <c r="A3467" s="405"/>
    </row>
    <row r="3468" spans="1:9" x14ac:dyDescent="0.2">
      <c r="A3468" s="405"/>
    </row>
    <row r="3469" spans="1:9" x14ac:dyDescent="0.2">
      <c r="A3469" s="405"/>
    </row>
    <row r="3470" spans="1:9" x14ac:dyDescent="0.2">
      <c r="A3470" s="405"/>
    </row>
    <row r="3471" spans="1:9" x14ac:dyDescent="0.2">
      <c r="A3471" s="405"/>
    </row>
    <row r="3472" spans="1:9" x14ac:dyDescent="0.2">
      <c r="A3472" s="405"/>
    </row>
    <row r="3473" spans="1:9" x14ac:dyDescent="0.2">
      <c r="A3473" s="405"/>
    </row>
    <row r="3474" spans="1:9" x14ac:dyDescent="0.2">
      <c r="A3474" s="405"/>
    </row>
    <row r="3475" spans="1:9" x14ac:dyDescent="0.2">
      <c r="A3475" s="405"/>
    </row>
    <row r="3476" spans="1:9" x14ac:dyDescent="0.2">
      <c r="A3476" s="405"/>
    </row>
    <row r="3477" spans="1:9" x14ac:dyDescent="0.2">
      <c r="A3477" s="405"/>
    </row>
    <row r="3478" spans="1:9" x14ac:dyDescent="0.2">
      <c r="A3478" s="405"/>
      <c r="H3478" s="19"/>
      <c r="I3478" s="19"/>
    </row>
    <row r="3479" spans="1:9" x14ac:dyDescent="0.2">
      <c r="A3479" s="405"/>
      <c r="H3479" s="19"/>
      <c r="I3479" s="19"/>
    </row>
    <row r="3480" spans="1:9" x14ac:dyDescent="0.2">
      <c r="A3480" s="405"/>
      <c r="H3480" s="19"/>
      <c r="I3480" s="19"/>
    </row>
    <row r="3481" spans="1:9" x14ac:dyDescent="0.2">
      <c r="A3481" s="405"/>
    </row>
    <row r="3482" spans="1:9" x14ac:dyDescent="0.2">
      <c r="A3482" s="405"/>
    </row>
    <row r="3483" spans="1:9" x14ac:dyDescent="0.2">
      <c r="A3483" s="405"/>
    </row>
    <row r="3484" spans="1:9" x14ac:dyDescent="0.2">
      <c r="A3484" s="405"/>
    </row>
    <row r="3485" spans="1:9" x14ac:dyDescent="0.2">
      <c r="A3485" s="405"/>
    </row>
    <row r="3486" spans="1:9" x14ac:dyDescent="0.2">
      <c r="A3486" s="405"/>
    </row>
    <row r="3487" spans="1:9" x14ac:dyDescent="0.2">
      <c r="A3487" s="405"/>
    </row>
    <row r="3488" spans="1:9" x14ac:dyDescent="0.2">
      <c r="A3488" s="405"/>
      <c r="H3488" s="19"/>
      <c r="I3488" s="19"/>
    </row>
    <row r="3489" spans="1:9" x14ac:dyDescent="0.2">
      <c r="A3489" s="405"/>
      <c r="H3489" s="19"/>
      <c r="I3489" s="19"/>
    </row>
    <row r="3490" spans="1:9" x14ac:dyDescent="0.2">
      <c r="A3490" s="405"/>
      <c r="H3490" s="19"/>
      <c r="I3490" s="19"/>
    </row>
    <row r="3491" spans="1:9" x14ac:dyDescent="0.2">
      <c r="A3491" s="405"/>
      <c r="H3491" s="19"/>
      <c r="I3491" s="19"/>
    </row>
    <row r="3492" spans="1:9" x14ac:dyDescent="0.2">
      <c r="A3492" s="405"/>
      <c r="H3492" s="19"/>
      <c r="I3492" s="19"/>
    </row>
    <row r="3493" spans="1:9" x14ac:dyDescent="0.2">
      <c r="A3493" s="405"/>
      <c r="H3493" s="19"/>
      <c r="I3493" s="19"/>
    </row>
    <row r="3494" spans="1:9" x14ac:dyDescent="0.2">
      <c r="A3494" s="405"/>
      <c r="H3494" s="19"/>
      <c r="I3494" s="19"/>
    </row>
    <row r="3495" spans="1:9" x14ac:dyDescent="0.2">
      <c r="A3495" s="405"/>
      <c r="H3495" s="19"/>
      <c r="I3495" s="19"/>
    </row>
    <row r="3496" spans="1:9" x14ac:dyDescent="0.2">
      <c r="A3496" s="405"/>
      <c r="H3496" s="19"/>
      <c r="I3496" s="19"/>
    </row>
    <row r="3497" spans="1:9" x14ac:dyDescent="0.2">
      <c r="A3497" s="405"/>
    </row>
    <row r="3498" spans="1:9" x14ac:dyDescent="0.2">
      <c r="A3498" s="405"/>
    </row>
    <row r="3499" spans="1:9" x14ac:dyDescent="0.2">
      <c r="A3499" s="405"/>
    </row>
    <row r="3500" spans="1:9" x14ac:dyDescent="0.2">
      <c r="A3500" s="405"/>
    </row>
    <row r="3501" spans="1:9" x14ac:dyDescent="0.2">
      <c r="A3501" s="405"/>
    </row>
    <row r="3502" spans="1:9" x14ac:dyDescent="0.2">
      <c r="A3502" s="405"/>
    </row>
    <row r="3503" spans="1:9" x14ac:dyDescent="0.2">
      <c r="A3503" s="405"/>
    </row>
    <row r="3504" spans="1:9" x14ac:dyDescent="0.2">
      <c r="A3504" s="405"/>
    </row>
    <row r="3505" spans="1:9" x14ac:dyDescent="0.2">
      <c r="A3505" s="405"/>
      <c r="H3505" s="19"/>
      <c r="I3505" s="19"/>
    </row>
    <row r="3506" spans="1:9" x14ac:dyDescent="0.2">
      <c r="A3506" s="405"/>
      <c r="H3506" s="19"/>
      <c r="I3506" s="19"/>
    </row>
    <row r="3507" spans="1:9" x14ac:dyDescent="0.2">
      <c r="A3507" s="405"/>
      <c r="H3507" s="19"/>
      <c r="I3507" s="19"/>
    </row>
    <row r="3508" spans="1:9" x14ac:dyDescent="0.2">
      <c r="A3508" s="405"/>
      <c r="H3508" s="19"/>
      <c r="I3508" s="19"/>
    </row>
    <row r="3509" spans="1:9" x14ac:dyDescent="0.2">
      <c r="A3509" s="405"/>
      <c r="H3509" s="19"/>
      <c r="I3509" s="19"/>
    </row>
    <row r="3510" spans="1:9" x14ac:dyDescent="0.2">
      <c r="A3510" s="405"/>
      <c r="H3510" s="19"/>
      <c r="I3510" s="19"/>
    </row>
    <row r="3511" spans="1:9" x14ac:dyDescent="0.2">
      <c r="A3511" s="405"/>
      <c r="H3511" s="19"/>
      <c r="I3511" s="19"/>
    </row>
    <row r="3512" spans="1:9" x14ac:dyDescent="0.2">
      <c r="A3512" s="405"/>
      <c r="H3512" s="19"/>
      <c r="I3512" s="19"/>
    </row>
    <row r="3513" spans="1:9" x14ac:dyDescent="0.2">
      <c r="A3513" s="405"/>
      <c r="H3513" s="19"/>
    </row>
    <row r="3514" spans="1:9" x14ac:dyDescent="0.2">
      <c r="A3514" s="405"/>
    </row>
    <row r="3515" spans="1:9" x14ac:dyDescent="0.2">
      <c r="A3515" s="405"/>
    </row>
    <row r="3516" spans="1:9" x14ac:dyDescent="0.2">
      <c r="A3516" s="405"/>
    </row>
    <row r="3517" spans="1:9" x14ac:dyDescent="0.2">
      <c r="A3517" s="405"/>
    </row>
    <row r="3518" spans="1:9" x14ac:dyDescent="0.2">
      <c r="A3518" s="405"/>
    </row>
    <row r="3519" spans="1:9" x14ac:dyDescent="0.2">
      <c r="A3519" s="405"/>
    </row>
    <row r="3520" spans="1:9" x14ac:dyDescent="0.2">
      <c r="A3520" s="405"/>
    </row>
    <row r="3521" spans="1:9" x14ac:dyDescent="0.2">
      <c r="A3521" s="405"/>
    </row>
    <row r="3522" spans="1:9" x14ac:dyDescent="0.2">
      <c r="A3522" s="405"/>
    </row>
    <row r="3523" spans="1:9" x14ac:dyDescent="0.2">
      <c r="A3523" s="405"/>
    </row>
    <row r="3524" spans="1:9" x14ac:dyDescent="0.2">
      <c r="A3524" s="405"/>
    </row>
    <row r="3525" spans="1:9" x14ac:dyDescent="0.2">
      <c r="A3525" s="405"/>
    </row>
    <row r="3526" spans="1:9" x14ac:dyDescent="0.2">
      <c r="A3526" s="405"/>
    </row>
    <row r="3527" spans="1:9" x14ac:dyDescent="0.2">
      <c r="A3527" s="405"/>
      <c r="H3527" s="19"/>
      <c r="I3527" s="19"/>
    </row>
    <row r="3528" spans="1:9" x14ac:dyDescent="0.2">
      <c r="A3528" s="405"/>
    </row>
    <row r="3529" spans="1:9" x14ac:dyDescent="0.2">
      <c r="A3529" s="405"/>
    </row>
    <row r="3530" spans="1:9" x14ac:dyDescent="0.2">
      <c r="A3530" s="405"/>
    </row>
    <row r="3531" spans="1:9" x14ac:dyDescent="0.2">
      <c r="A3531" s="405"/>
    </row>
    <row r="3532" spans="1:9" x14ac:dyDescent="0.2">
      <c r="A3532" s="405"/>
      <c r="H3532" s="19"/>
      <c r="I3532" s="19"/>
    </row>
    <row r="3533" spans="1:9" x14ac:dyDescent="0.2">
      <c r="A3533" s="405"/>
    </row>
    <row r="3534" spans="1:9" x14ac:dyDescent="0.2">
      <c r="A3534" s="405"/>
      <c r="H3534" s="19"/>
      <c r="I3534" s="19"/>
    </row>
    <row r="3535" spans="1:9" x14ac:dyDescent="0.2">
      <c r="A3535" s="405"/>
    </row>
    <row r="3536" spans="1:9" x14ac:dyDescent="0.2">
      <c r="A3536" s="405"/>
    </row>
    <row r="3537" spans="1:9" x14ac:dyDescent="0.2">
      <c r="A3537" s="405"/>
    </row>
    <row r="3538" spans="1:9" x14ac:dyDescent="0.2">
      <c r="A3538" s="405"/>
    </row>
    <row r="3539" spans="1:9" x14ac:dyDescent="0.2">
      <c r="A3539" s="405"/>
      <c r="H3539" s="19"/>
      <c r="I3539" s="19"/>
    </row>
    <row r="3540" spans="1:9" x14ac:dyDescent="0.2">
      <c r="A3540" s="405"/>
      <c r="H3540" s="19"/>
      <c r="I3540" s="19"/>
    </row>
    <row r="3541" spans="1:9" x14ac:dyDescent="0.2">
      <c r="A3541" s="405"/>
      <c r="H3541" s="19"/>
      <c r="I3541" s="19"/>
    </row>
    <row r="3542" spans="1:9" x14ac:dyDescent="0.2">
      <c r="A3542" s="405"/>
    </row>
    <row r="3543" spans="1:9" x14ac:dyDescent="0.2">
      <c r="A3543" s="405"/>
    </row>
    <row r="3544" spans="1:9" x14ac:dyDescent="0.2">
      <c r="A3544" s="405"/>
    </row>
    <row r="3545" spans="1:9" x14ac:dyDescent="0.2">
      <c r="A3545" s="405"/>
    </row>
    <row r="3546" spans="1:9" x14ac:dyDescent="0.2">
      <c r="A3546" s="405"/>
      <c r="H3546" s="19"/>
      <c r="I3546" s="19"/>
    </row>
    <row r="3547" spans="1:9" x14ac:dyDescent="0.2">
      <c r="A3547" s="405"/>
    </row>
    <row r="3548" spans="1:9" x14ac:dyDescent="0.2">
      <c r="A3548" s="405"/>
    </row>
    <row r="3549" spans="1:9" x14ac:dyDescent="0.2">
      <c r="A3549" s="405"/>
      <c r="H3549" s="19"/>
      <c r="I3549" s="19"/>
    </row>
    <row r="3550" spans="1:9" x14ac:dyDescent="0.2">
      <c r="A3550" s="405"/>
    </row>
    <row r="3551" spans="1:9" x14ac:dyDescent="0.2">
      <c r="A3551" s="405"/>
      <c r="H3551" s="19"/>
      <c r="I3551" s="19"/>
    </row>
    <row r="3552" spans="1:9" x14ac:dyDescent="0.2">
      <c r="A3552" s="405"/>
    </row>
    <row r="3553" spans="1:9" x14ac:dyDescent="0.2">
      <c r="A3553" s="405"/>
    </row>
    <row r="3554" spans="1:9" x14ac:dyDescent="0.2">
      <c r="A3554" s="405"/>
    </row>
    <row r="3555" spans="1:9" x14ac:dyDescent="0.2">
      <c r="A3555" s="405"/>
    </row>
    <row r="3556" spans="1:9" x14ac:dyDescent="0.2">
      <c r="A3556" s="405"/>
      <c r="H3556" s="19"/>
      <c r="I3556" s="19"/>
    </row>
    <row r="3557" spans="1:9" x14ac:dyDescent="0.2">
      <c r="A3557" s="405"/>
      <c r="H3557" s="19"/>
      <c r="I3557" s="19"/>
    </row>
    <row r="3558" spans="1:9" x14ac:dyDescent="0.2">
      <c r="A3558" s="405"/>
      <c r="H3558" s="19"/>
      <c r="I3558" s="19"/>
    </row>
    <row r="3559" spans="1:9" x14ac:dyDescent="0.2">
      <c r="A3559" s="405"/>
    </row>
    <row r="3560" spans="1:9" x14ac:dyDescent="0.2">
      <c r="A3560" s="405"/>
    </row>
    <row r="3561" spans="1:9" x14ac:dyDescent="0.2">
      <c r="A3561" s="405"/>
    </row>
    <row r="3562" spans="1:9" x14ac:dyDescent="0.2">
      <c r="A3562" s="405"/>
    </row>
    <row r="3563" spans="1:9" x14ac:dyDescent="0.2">
      <c r="A3563" s="405"/>
      <c r="H3563" s="19"/>
      <c r="I3563" s="19"/>
    </row>
    <row r="3564" spans="1:9" x14ac:dyDescent="0.2">
      <c r="A3564" s="405"/>
    </row>
    <row r="3565" spans="1:9" x14ac:dyDescent="0.2">
      <c r="A3565" s="405"/>
    </row>
    <row r="3566" spans="1:9" x14ac:dyDescent="0.2">
      <c r="A3566" s="405"/>
    </row>
    <row r="3567" spans="1:9" x14ac:dyDescent="0.2">
      <c r="A3567" s="405"/>
    </row>
    <row r="3568" spans="1:9" x14ac:dyDescent="0.2">
      <c r="A3568" s="405"/>
    </row>
    <row r="3569" spans="1:1" x14ac:dyDescent="0.2">
      <c r="A3569" s="405"/>
    </row>
    <row r="3570" spans="1:1" x14ac:dyDescent="0.2">
      <c r="A3570" s="405"/>
    </row>
    <row r="3571" spans="1:1" x14ac:dyDescent="0.2">
      <c r="A3571" s="405"/>
    </row>
    <row r="3572" spans="1:1" x14ac:dyDescent="0.2">
      <c r="A3572" s="405"/>
    </row>
    <row r="3573" spans="1:1" x14ac:dyDescent="0.2">
      <c r="A3573" s="405"/>
    </row>
    <row r="3574" spans="1:1" x14ac:dyDescent="0.2">
      <c r="A3574" s="405"/>
    </row>
    <row r="3575" spans="1:1" x14ac:dyDescent="0.2">
      <c r="A3575" s="405"/>
    </row>
    <row r="3576" spans="1:1" x14ac:dyDescent="0.2">
      <c r="A3576" s="405"/>
    </row>
    <row r="3577" spans="1:1" x14ac:dyDescent="0.2">
      <c r="A3577" s="405"/>
    </row>
    <row r="3578" spans="1:1" x14ac:dyDescent="0.2">
      <c r="A3578" s="405"/>
    </row>
    <row r="3579" spans="1:1" x14ac:dyDescent="0.2">
      <c r="A3579" s="405"/>
    </row>
    <row r="3580" spans="1:1" x14ac:dyDescent="0.2">
      <c r="A3580" s="405"/>
    </row>
    <row r="3581" spans="1:1" x14ac:dyDescent="0.2">
      <c r="A3581" s="405"/>
    </row>
    <row r="3582" spans="1:1" x14ac:dyDescent="0.2">
      <c r="A3582" s="405"/>
    </row>
    <row r="3583" spans="1:1" x14ac:dyDescent="0.2">
      <c r="A3583" s="405"/>
    </row>
    <row r="3584" spans="1:1" x14ac:dyDescent="0.2">
      <c r="A3584" s="405"/>
    </row>
    <row r="3585" spans="1:9" x14ac:dyDescent="0.2">
      <c r="A3585" s="405"/>
    </row>
    <row r="3586" spans="1:9" x14ac:dyDescent="0.2">
      <c r="A3586" s="405"/>
    </row>
    <row r="3587" spans="1:9" x14ac:dyDescent="0.2">
      <c r="A3587" s="405"/>
    </row>
    <row r="3588" spans="1:9" x14ac:dyDescent="0.2">
      <c r="A3588" s="405"/>
    </row>
    <row r="3589" spans="1:9" x14ac:dyDescent="0.2">
      <c r="A3589" s="405"/>
    </row>
    <row r="3590" spans="1:9" x14ac:dyDescent="0.2">
      <c r="A3590" s="405"/>
    </row>
    <row r="3591" spans="1:9" x14ac:dyDescent="0.2">
      <c r="A3591" s="405"/>
    </row>
    <row r="3592" spans="1:9" x14ac:dyDescent="0.2">
      <c r="A3592" s="405"/>
    </row>
    <row r="3593" spans="1:9" x14ac:dyDescent="0.2">
      <c r="A3593" s="405"/>
    </row>
    <row r="3594" spans="1:9" x14ac:dyDescent="0.2">
      <c r="A3594" s="405"/>
    </row>
    <row r="3595" spans="1:9" x14ac:dyDescent="0.2">
      <c r="A3595" s="405"/>
    </row>
    <row r="3596" spans="1:9" x14ac:dyDescent="0.2">
      <c r="A3596" s="405"/>
    </row>
    <row r="3597" spans="1:9" x14ac:dyDescent="0.2">
      <c r="A3597" s="405"/>
    </row>
    <row r="3598" spans="1:9" x14ac:dyDescent="0.2">
      <c r="A3598" s="405"/>
      <c r="H3598" s="19"/>
      <c r="I3598" s="19"/>
    </row>
    <row r="3599" spans="1:9" x14ac:dyDescent="0.2">
      <c r="A3599" s="405"/>
    </row>
    <row r="3600" spans="1:9" x14ac:dyDescent="0.2">
      <c r="A3600" s="405"/>
    </row>
    <row r="3601" spans="1:9" x14ac:dyDescent="0.2">
      <c r="A3601" s="405"/>
    </row>
    <row r="3602" spans="1:9" x14ac:dyDescent="0.2">
      <c r="A3602" s="405"/>
    </row>
    <row r="3603" spans="1:9" x14ac:dyDescent="0.2">
      <c r="A3603" s="405"/>
    </row>
    <row r="3604" spans="1:9" x14ac:dyDescent="0.2">
      <c r="A3604" s="405"/>
    </row>
    <row r="3605" spans="1:9" x14ac:dyDescent="0.2">
      <c r="A3605" s="405"/>
    </row>
    <row r="3606" spans="1:9" x14ac:dyDescent="0.2">
      <c r="A3606" s="405"/>
    </row>
    <row r="3607" spans="1:9" x14ac:dyDescent="0.2">
      <c r="A3607" s="405"/>
      <c r="H3607" s="19"/>
      <c r="I3607" s="19"/>
    </row>
    <row r="3608" spans="1:9" x14ac:dyDescent="0.2">
      <c r="A3608" s="405"/>
    </row>
    <row r="3609" spans="1:9" x14ac:dyDescent="0.2">
      <c r="A3609" s="405"/>
    </row>
    <row r="3610" spans="1:9" x14ac:dyDescent="0.2">
      <c r="A3610" s="405"/>
    </row>
    <row r="3611" spans="1:9" x14ac:dyDescent="0.2">
      <c r="A3611" s="405"/>
    </row>
    <row r="3612" spans="1:9" x14ac:dyDescent="0.2">
      <c r="A3612" s="405"/>
    </row>
    <row r="3613" spans="1:9" x14ac:dyDescent="0.2">
      <c r="A3613" s="405"/>
    </row>
    <row r="3614" spans="1:9" x14ac:dyDescent="0.2">
      <c r="A3614" s="405"/>
    </row>
    <row r="3615" spans="1:9" x14ac:dyDescent="0.2">
      <c r="A3615" s="405"/>
      <c r="H3615" s="19"/>
      <c r="I3615" s="19"/>
    </row>
    <row r="3616" spans="1:9" x14ac:dyDescent="0.2">
      <c r="A3616" s="405"/>
      <c r="H3616" s="19"/>
      <c r="I3616" s="19"/>
    </row>
    <row r="3617" spans="1:9" x14ac:dyDescent="0.2">
      <c r="A3617" s="405"/>
      <c r="H3617" s="19"/>
      <c r="I3617" s="19"/>
    </row>
    <row r="3618" spans="1:9" x14ac:dyDescent="0.2">
      <c r="A3618" s="405"/>
      <c r="H3618" s="19"/>
      <c r="I3618" s="19"/>
    </row>
    <row r="3619" spans="1:9" x14ac:dyDescent="0.2">
      <c r="A3619" s="405"/>
      <c r="H3619" s="19"/>
      <c r="I3619" s="19"/>
    </row>
    <row r="3620" spans="1:9" x14ac:dyDescent="0.2">
      <c r="A3620" s="405"/>
      <c r="H3620" s="19"/>
      <c r="I3620" s="19"/>
    </row>
    <row r="3621" spans="1:9" x14ac:dyDescent="0.2">
      <c r="A3621" s="405"/>
      <c r="H3621" s="19"/>
      <c r="I3621" s="19"/>
    </row>
    <row r="3622" spans="1:9" x14ac:dyDescent="0.2">
      <c r="A3622" s="405"/>
    </row>
    <row r="3623" spans="1:9" x14ac:dyDescent="0.2">
      <c r="A3623" s="405"/>
    </row>
    <row r="3624" spans="1:9" x14ac:dyDescent="0.2">
      <c r="A3624" s="405"/>
      <c r="H3624" s="19"/>
      <c r="I3624" s="19"/>
    </row>
    <row r="3625" spans="1:9" x14ac:dyDescent="0.2">
      <c r="A3625" s="405"/>
    </row>
    <row r="3626" spans="1:9" x14ac:dyDescent="0.2">
      <c r="A3626" s="405"/>
    </row>
    <row r="3627" spans="1:9" x14ac:dyDescent="0.2">
      <c r="A3627" s="405"/>
    </row>
    <row r="3628" spans="1:9" x14ac:dyDescent="0.2">
      <c r="A3628" s="405"/>
    </row>
    <row r="3629" spans="1:9" x14ac:dyDescent="0.2">
      <c r="A3629" s="405"/>
    </row>
    <row r="3630" spans="1:9" x14ac:dyDescent="0.2">
      <c r="A3630" s="405"/>
    </row>
    <row r="3631" spans="1:9" x14ac:dyDescent="0.2">
      <c r="A3631" s="405"/>
    </row>
    <row r="3632" spans="1:9" x14ac:dyDescent="0.2">
      <c r="A3632" s="405"/>
      <c r="H3632" s="19"/>
      <c r="I3632" s="19"/>
    </row>
    <row r="3633" spans="1:9" x14ac:dyDescent="0.2">
      <c r="A3633" s="405"/>
      <c r="H3633" s="19"/>
      <c r="I3633" s="19"/>
    </row>
    <row r="3634" spans="1:9" x14ac:dyDescent="0.2">
      <c r="A3634" s="405"/>
      <c r="H3634" s="19"/>
      <c r="I3634" s="19"/>
    </row>
    <row r="3635" spans="1:9" x14ac:dyDescent="0.2">
      <c r="A3635" s="405"/>
      <c r="H3635" s="19"/>
      <c r="I3635" s="19"/>
    </row>
    <row r="3636" spans="1:9" x14ac:dyDescent="0.2">
      <c r="A3636" s="405"/>
      <c r="H3636" s="19"/>
      <c r="I3636" s="19"/>
    </row>
    <row r="3637" spans="1:9" x14ac:dyDescent="0.2">
      <c r="A3637" s="405"/>
      <c r="H3637" s="19"/>
      <c r="I3637" s="19"/>
    </row>
    <row r="3638" spans="1:9" x14ac:dyDescent="0.2">
      <c r="A3638" s="405"/>
      <c r="H3638" s="19"/>
      <c r="I3638" s="19"/>
    </row>
    <row r="3639" spans="1:9" x14ac:dyDescent="0.2">
      <c r="A3639" s="405"/>
    </row>
    <row r="3640" spans="1:9" x14ac:dyDescent="0.2">
      <c r="A3640" s="405"/>
    </row>
    <row r="3641" spans="1:9" x14ac:dyDescent="0.2">
      <c r="A3641" s="405"/>
    </row>
    <row r="3642" spans="1:9" x14ac:dyDescent="0.2">
      <c r="A3642" s="405"/>
    </row>
    <row r="3643" spans="1:9" x14ac:dyDescent="0.2">
      <c r="A3643" s="405"/>
    </row>
    <row r="3644" spans="1:9" x14ac:dyDescent="0.2">
      <c r="A3644" s="405"/>
    </row>
    <row r="3645" spans="1:9" x14ac:dyDescent="0.2">
      <c r="A3645" s="405"/>
    </row>
    <row r="3646" spans="1:9" x14ac:dyDescent="0.2">
      <c r="A3646" s="405"/>
    </row>
    <row r="3647" spans="1:9" x14ac:dyDescent="0.2">
      <c r="A3647" s="405"/>
    </row>
    <row r="3648" spans="1:9" x14ac:dyDescent="0.2">
      <c r="A3648" s="405"/>
    </row>
    <row r="3649" spans="1:9" x14ac:dyDescent="0.2">
      <c r="A3649" s="405"/>
    </row>
    <row r="3650" spans="1:9" x14ac:dyDescent="0.2">
      <c r="A3650" s="405"/>
      <c r="H3650" s="19"/>
      <c r="I3650" s="19"/>
    </row>
    <row r="3651" spans="1:9" x14ac:dyDescent="0.2">
      <c r="A3651" s="405"/>
    </row>
    <row r="3652" spans="1:9" x14ac:dyDescent="0.2">
      <c r="A3652" s="405"/>
    </row>
    <row r="3653" spans="1:9" x14ac:dyDescent="0.2">
      <c r="A3653" s="405"/>
      <c r="H3653" s="19"/>
      <c r="I3653" s="19"/>
    </row>
    <row r="3654" spans="1:9" x14ac:dyDescent="0.2">
      <c r="A3654" s="405"/>
    </row>
    <row r="3655" spans="1:9" x14ac:dyDescent="0.2">
      <c r="A3655" s="405"/>
    </row>
    <row r="3656" spans="1:9" x14ac:dyDescent="0.2">
      <c r="A3656" s="405"/>
    </row>
    <row r="3657" spans="1:9" x14ac:dyDescent="0.2">
      <c r="A3657" s="405"/>
    </row>
    <row r="3658" spans="1:9" x14ac:dyDescent="0.2">
      <c r="A3658" s="405"/>
    </row>
    <row r="3659" spans="1:9" x14ac:dyDescent="0.2">
      <c r="A3659" s="405"/>
    </row>
    <row r="3660" spans="1:9" x14ac:dyDescent="0.2">
      <c r="A3660" s="405"/>
    </row>
    <row r="3661" spans="1:9" x14ac:dyDescent="0.2">
      <c r="A3661" s="405"/>
    </row>
    <row r="3662" spans="1:9" x14ac:dyDescent="0.2">
      <c r="A3662" s="405"/>
    </row>
    <row r="3663" spans="1:9" x14ac:dyDescent="0.2">
      <c r="A3663" s="405"/>
    </row>
    <row r="3664" spans="1:9" x14ac:dyDescent="0.2">
      <c r="A3664" s="405"/>
    </row>
    <row r="3665" spans="1:1" x14ac:dyDescent="0.2">
      <c r="A3665" s="405"/>
    </row>
    <row r="3666" spans="1:1" x14ac:dyDescent="0.2">
      <c r="A3666" s="405"/>
    </row>
    <row r="3667" spans="1:1" x14ac:dyDescent="0.2">
      <c r="A3667" s="405"/>
    </row>
    <row r="3668" spans="1:1" x14ac:dyDescent="0.2">
      <c r="A3668" s="405"/>
    </row>
    <row r="3669" spans="1:1" x14ac:dyDescent="0.2">
      <c r="A3669" s="405"/>
    </row>
    <row r="3670" spans="1:1" x14ac:dyDescent="0.2">
      <c r="A3670" s="405"/>
    </row>
    <row r="3671" spans="1:1" x14ac:dyDescent="0.2">
      <c r="A3671" s="405"/>
    </row>
    <row r="3672" spans="1:1" x14ac:dyDescent="0.2">
      <c r="A3672" s="405"/>
    </row>
    <row r="3673" spans="1:1" x14ac:dyDescent="0.2">
      <c r="A3673" s="405"/>
    </row>
    <row r="3674" spans="1:1" x14ac:dyDescent="0.2">
      <c r="A3674" s="405"/>
    </row>
    <row r="3675" spans="1:1" x14ac:dyDescent="0.2">
      <c r="A3675" s="405"/>
    </row>
    <row r="3676" spans="1:1" x14ac:dyDescent="0.2">
      <c r="A3676" s="405"/>
    </row>
    <row r="3677" spans="1:1" x14ac:dyDescent="0.2">
      <c r="A3677" s="405"/>
    </row>
    <row r="3678" spans="1:1" x14ac:dyDescent="0.2">
      <c r="A3678" s="405"/>
    </row>
    <row r="3679" spans="1:1" x14ac:dyDescent="0.2">
      <c r="A3679" s="405"/>
    </row>
    <row r="3680" spans="1:1" x14ac:dyDescent="0.2">
      <c r="A3680" s="405"/>
    </row>
    <row r="3681" spans="1:9" x14ac:dyDescent="0.2">
      <c r="A3681" s="405"/>
    </row>
    <row r="3682" spans="1:9" x14ac:dyDescent="0.2">
      <c r="A3682" s="405"/>
    </row>
    <row r="3683" spans="1:9" x14ac:dyDescent="0.2">
      <c r="A3683" s="405"/>
      <c r="H3683" s="19"/>
      <c r="I3683" s="19"/>
    </row>
    <row r="3684" spans="1:9" x14ac:dyDescent="0.2">
      <c r="A3684" s="405"/>
      <c r="H3684" s="19"/>
      <c r="I3684" s="19"/>
    </row>
    <row r="3685" spans="1:9" x14ac:dyDescent="0.2">
      <c r="A3685" s="405"/>
    </row>
    <row r="3686" spans="1:9" x14ac:dyDescent="0.2">
      <c r="A3686" s="405"/>
    </row>
    <row r="3687" spans="1:9" x14ac:dyDescent="0.2">
      <c r="A3687" s="405"/>
    </row>
    <row r="3688" spans="1:9" x14ac:dyDescent="0.2">
      <c r="A3688" s="405"/>
    </row>
    <row r="3689" spans="1:9" x14ac:dyDescent="0.2">
      <c r="A3689" s="405"/>
    </row>
    <row r="3690" spans="1:9" x14ac:dyDescent="0.2">
      <c r="A3690" s="405"/>
    </row>
    <row r="3691" spans="1:9" x14ac:dyDescent="0.2">
      <c r="A3691" s="405"/>
      <c r="H3691" s="19"/>
      <c r="I3691" s="19"/>
    </row>
    <row r="3692" spans="1:9" x14ac:dyDescent="0.2">
      <c r="A3692" s="405"/>
    </row>
    <row r="3693" spans="1:9" x14ac:dyDescent="0.2">
      <c r="A3693" s="405"/>
    </row>
    <row r="3694" spans="1:9" x14ac:dyDescent="0.2">
      <c r="A3694" s="405"/>
    </row>
    <row r="3695" spans="1:9" x14ac:dyDescent="0.2">
      <c r="A3695" s="405"/>
    </row>
    <row r="3696" spans="1:9" x14ac:dyDescent="0.2">
      <c r="A3696" s="405"/>
    </row>
    <row r="3697" spans="1:9" x14ac:dyDescent="0.2">
      <c r="A3697" s="405"/>
    </row>
    <row r="3698" spans="1:9" x14ac:dyDescent="0.2">
      <c r="A3698" s="405"/>
    </row>
    <row r="3699" spans="1:9" x14ac:dyDescent="0.2">
      <c r="A3699" s="405"/>
    </row>
    <row r="3700" spans="1:9" x14ac:dyDescent="0.2">
      <c r="A3700" s="405"/>
      <c r="H3700" s="19"/>
      <c r="I3700" s="19"/>
    </row>
    <row r="3701" spans="1:9" x14ac:dyDescent="0.2">
      <c r="A3701" s="405"/>
      <c r="H3701" s="19"/>
      <c r="I3701" s="19"/>
    </row>
    <row r="3702" spans="1:9" x14ac:dyDescent="0.2">
      <c r="A3702" s="405"/>
    </row>
    <row r="3703" spans="1:9" x14ac:dyDescent="0.2">
      <c r="A3703" s="405"/>
    </row>
    <row r="3704" spans="1:9" x14ac:dyDescent="0.2">
      <c r="A3704" s="405"/>
    </row>
    <row r="3705" spans="1:9" x14ac:dyDescent="0.2">
      <c r="A3705" s="405"/>
    </row>
    <row r="3706" spans="1:9" x14ac:dyDescent="0.2">
      <c r="A3706" s="405"/>
    </row>
    <row r="3707" spans="1:9" x14ac:dyDescent="0.2">
      <c r="A3707" s="405"/>
    </row>
    <row r="3708" spans="1:9" x14ac:dyDescent="0.2">
      <c r="A3708" s="405"/>
      <c r="H3708" s="19"/>
      <c r="I3708" s="19"/>
    </row>
    <row r="3709" spans="1:9" x14ac:dyDescent="0.2">
      <c r="A3709" s="405"/>
    </row>
    <row r="3710" spans="1:9" x14ac:dyDescent="0.2">
      <c r="A3710" s="405"/>
    </row>
    <row r="3711" spans="1:9" x14ac:dyDescent="0.2">
      <c r="A3711" s="405"/>
    </row>
    <row r="3712" spans="1:9" x14ac:dyDescent="0.2">
      <c r="A3712" s="405"/>
    </row>
    <row r="3713" spans="1:9" x14ac:dyDescent="0.2">
      <c r="A3713" s="405"/>
    </row>
    <row r="3714" spans="1:9" x14ac:dyDescent="0.2">
      <c r="A3714" s="405"/>
    </row>
    <row r="3715" spans="1:9" x14ac:dyDescent="0.2">
      <c r="A3715" s="405"/>
    </row>
    <row r="3716" spans="1:9" x14ac:dyDescent="0.2">
      <c r="A3716" s="405"/>
    </row>
    <row r="3717" spans="1:9" x14ac:dyDescent="0.2">
      <c r="A3717" s="405"/>
    </row>
    <row r="3718" spans="1:9" x14ac:dyDescent="0.2">
      <c r="A3718" s="405"/>
    </row>
    <row r="3719" spans="1:9" x14ac:dyDescent="0.2">
      <c r="A3719" s="405"/>
    </row>
    <row r="3720" spans="1:9" x14ac:dyDescent="0.2">
      <c r="A3720" s="405"/>
      <c r="H3720" s="19"/>
      <c r="I3720" s="19"/>
    </row>
    <row r="3721" spans="1:9" x14ac:dyDescent="0.2">
      <c r="A3721" s="405"/>
    </row>
    <row r="3722" spans="1:9" x14ac:dyDescent="0.2">
      <c r="A3722" s="405"/>
    </row>
    <row r="3723" spans="1:9" x14ac:dyDescent="0.2">
      <c r="A3723" s="405"/>
    </row>
    <row r="3724" spans="1:9" x14ac:dyDescent="0.2">
      <c r="A3724" s="405"/>
    </row>
    <row r="3725" spans="1:9" x14ac:dyDescent="0.2">
      <c r="A3725" s="405"/>
    </row>
    <row r="3726" spans="1:9" x14ac:dyDescent="0.2">
      <c r="A3726" s="405"/>
    </row>
    <row r="3727" spans="1:9" x14ac:dyDescent="0.2">
      <c r="A3727" s="405"/>
    </row>
    <row r="3728" spans="1:9" x14ac:dyDescent="0.2">
      <c r="A3728" s="405"/>
    </row>
    <row r="3729" spans="1:9" x14ac:dyDescent="0.2">
      <c r="A3729" s="405"/>
    </row>
    <row r="3730" spans="1:9" x14ac:dyDescent="0.2">
      <c r="A3730" s="405"/>
    </row>
    <row r="3731" spans="1:9" x14ac:dyDescent="0.2">
      <c r="A3731" s="405"/>
    </row>
    <row r="3732" spans="1:9" x14ac:dyDescent="0.2">
      <c r="A3732" s="405"/>
    </row>
    <row r="3733" spans="1:9" x14ac:dyDescent="0.2">
      <c r="A3733" s="405"/>
    </row>
    <row r="3734" spans="1:9" x14ac:dyDescent="0.2">
      <c r="A3734" s="405"/>
    </row>
    <row r="3735" spans="1:9" x14ac:dyDescent="0.2">
      <c r="A3735" s="405"/>
    </row>
    <row r="3736" spans="1:9" x14ac:dyDescent="0.2">
      <c r="A3736" s="405"/>
    </row>
    <row r="3737" spans="1:9" x14ac:dyDescent="0.2">
      <c r="A3737" s="405"/>
      <c r="H3737" s="19"/>
      <c r="I3737" s="19"/>
    </row>
    <row r="3738" spans="1:9" x14ac:dyDescent="0.2">
      <c r="A3738" s="405"/>
    </row>
    <row r="3739" spans="1:9" x14ac:dyDescent="0.2">
      <c r="A3739" s="405"/>
    </row>
    <row r="3740" spans="1:9" x14ac:dyDescent="0.2">
      <c r="A3740" s="405"/>
      <c r="H3740" s="19"/>
      <c r="I3740" s="19"/>
    </row>
    <row r="3741" spans="1:9" x14ac:dyDescent="0.2">
      <c r="A3741" s="405"/>
    </row>
    <row r="3742" spans="1:9" x14ac:dyDescent="0.2">
      <c r="A3742" s="405"/>
    </row>
    <row r="3743" spans="1:9" x14ac:dyDescent="0.2">
      <c r="A3743" s="405"/>
    </row>
    <row r="3744" spans="1:9" x14ac:dyDescent="0.2">
      <c r="A3744" s="405"/>
    </row>
    <row r="3745" spans="1:9" x14ac:dyDescent="0.2">
      <c r="A3745" s="405"/>
    </row>
    <row r="3746" spans="1:9" x14ac:dyDescent="0.2">
      <c r="A3746" s="405"/>
    </row>
    <row r="3747" spans="1:9" x14ac:dyDescent="0.2">
      <c r="A3747" s="405"/>
    </row>
    <row r="3748" spans="1:9" x14ac:dyDescent="0.2">
      <c r="A3748" s="405"/>
    </row>
    <row r="3749" spans="1:9" x14ac:dyDescent="0.2">
      <c r="A3749" s="405"/>
    </row>
    <row r="3750" spans="1:9" x14ac:dyDescent="0.2">
      <c r="A3750" s="405"/>
    </row>
    <row r="3751" spans="1:9" x14ac:dyDescent="0.2">
      <c r="A3751" s="405"/>
    </row>
    <row r="3752" spans="1:9" x14ac:dyDescent="0.2">
      <c r="A3752" s="405"/>
    </row>
    <row r="3753" spans="1:9" x14ac:dyDescent="0.2">
      <c r="A3753" s="405"/>
    </row>
    <row r="3754" spans="1:9" x14ac:dyDescent="0.2">
      <c r="A3754" s="405"/>
    </row>
    <row r="3755" spans="1:9" x14ac:dyDescent="0.2">
      <c r="A3755" s="405"/>
    </row>
    <row r="3756" spans="1:9" x14ac:dyDescent="0.2">
      <c r="A3756" s="405"/>
    </row>
    <row r="3757" spans="1:9" x14ac:dyDescent="0.2">
      <c r="A3757" s="405"/>
      <c r="H3757" s="19"/>
      <c r="I3757" s="19"/>
    </row>
    <row r="3758" spans="1:9" x14ac:dyDescent="0.2">
      <c r="A3758" s="405"/>
    </row>
    <row r="3759" spans="1:9" x14ac:dyDescent="0.2">
      <c r="A3759" s="405"/>
    </row>
    <row r="3760" spans="1:9" x14ac:dyDescent="0.2">
      <c r="A3760" s="405"/>
    </row>
    <row r="3761" spans="1:1" x14ac:dyDescent="0.2">
      <c r="A3761" s="405"/>
    </row>
    <row r="3762" spans="1:1" x14ac:dyDescent="0.2">
      <c r="A3762" s="405"/>
    </row>
    <row r="3763" spans="1:1" x14ac:dyDescent="0.2">
      <c r="A3763" s="405"/>
    </row>
    <row r="3764" spans="1:1" x14ac:dyDescent="0.2">
      <c r="A3764" s="405"/>
    </row>
    <row r="3765" spans="1:1" x14ac:dyDescent="0.2">
      <c r="A3765" s="405"/>
    </row>
    <row r="3766" spans="1:1" x14ac:dyDescent="0.2">
      <c r="A3766" s="405"/>
    </row>
    <row r="3767" spans="1:1" x14ac:dyDescent="0.2">
      <c r="A3767" s="405"/>
    </row>
    <row r="3768" spans="1:1" x14ac:dyDescent="0.2">
      <c r="A3768" s="405"/>
    </row>
    <row r="3769" spans="1:1" x14ac:dyDescent="0.2">
      <c r="A3769" s="405"/>
    </row>
    <row r="3770" spans="1:1" x14ac:dyDescent="0.2">
      <c r="A3770" s="405"/>
    </row>
    <row r="3771" spans="1:1" x14ac:dyDescent="0.2">
      <c r="A3771" s="405"/>
    </row>
    <row r="3772" spans="1:1" x14ac:dyDescent="0.2">
      <c r="A3772" s="405"/>
    </row>
    <row r="3773" spans="1:1" x14ac:dyDescent="0.2">
      <c r="A3773" s="405"/>
    </row>
    <row r="3774" spans="1:1" x14ac:dyDescent="0.2">
      <c r="A3774" s="405"/>
    </row>
    <row r="3775" spans="1:1" x14ac:dyDescent="0.2">
      <c r="A3775" s="405"/>
    </row>
    <row r="3776" spans="1:1" x14ac:dyDescent="0.2">
      <c r="A3776" s="405"/>
    </row>
    <row r="3777" spans="1:9" x14ac:dyDescent="0.2">
      <c r="A3777" s="405"/>
    </row>
    <row r="3778" spans="1:9" x14ac:dyDescent="0.2">
      <c r="A3778" s="405"/>
    </row>
    <row r="3779" spans="1:9" x14ac:dyDescent="0.2">
      <c r="A3779" s="405"/>
    </row>
    <row r="3780" spans="1:9" x14ac:dyDescent="0.2">
      <c r="A3780" s="405"/>
    </row>
    <row r="3781" spans="1:9" x14ac:dyDescent="0.2">
      <c r="A3781" s="405"/>
      <c r="H3781" s="19"/>
      <c r="I3781" s="19"/>
    </row>
    <row r="3782" spans="1:9" x14ac:dyDescent="0.2">
      <c r="A3782" s="405"/>
    </row>
    <row r="3783" spans="1:9" x14ac:dyDescent="0.2">
      <c r="A3783" s="405"/>
    </row>
    <row r="3784" spans="1:9" x14ac:dyDescent="0.2">
      <c r="A3784" s="405"/>
    </row>
    <row r="3785" spans="1:9" x14ac:dyDescent="0.2">
      <c r="A3785" s="405"/>
    </row>
    <row r="3786" spans="1:9" x14ac:dyDescent="0.2">
      <c r="A3786" s="405"/>
    </row>
    <row r="3787" spans="1:9" x14ac:dyDescent="0.2">
      <c r="A3787" s="405"/>
    </row>
    <row r="3788" spans="1:9" x14ac:dyDescent="0.2">
      <c r="A3788" s="405"/>
    </row>
    <row r="3789" spans="1:9" x14ac:dyDescent="0.2">
      <c r="A3789" s="405"/>
    </row>
    <row r="3790" spans="1:9" x14ac:dyDescent="0.2">
      <c r="A3790" s="405"/>
    </row>
    <row r="3791" spans="1:9" x14ac:dyDescent="0.2">
      <c r="A3791" s="405"/>
    </row>
    <row r="3792" spans="1:9" x14ac:dyDescent="0.2">
      <c r="A3792" s="405"/>
    </row>
    <row r="3793" spans="1:9" x14ac:dyDescent="0.2">
      <c r="A3793" s="405"/>
    </row>
    <row r="3794" spans="1:9" x14ac:dyDescent="0.2">
      <c r="A3794" s="405"/>
    </row>
    <row r="3795" spans="1:9" x14ac:dyDescent="0.2">
      <c r="A3795" s="405"/>
    </row>
    <row r="3796" spans="1:9" x14ac:dyDescent="0.2">
      <c r="A3796" s="405"/>
    </row>
    <row r="3797" spans="1:9" x14ac:dyDescent="0.2">
      <c r="A3797" s="405"/>
    </row>
    <row r="3798" spans="1:9" x14ac:dyDescent="0.2">
      <c r="A3798" s="405"/>
      <c r="H3798" s="19"/>
      <c r="I3798" s="19"/>
    </row>
    <row r="3799" spans="1:9" x14ac:dyDescent="0.2">
      <c r="A3799" s="405"/>
    </row>
    <row r="3800" spans="1:9" x14ac:dyDescent="0.2">
      <c r="A3800" s="405"/>
    </row>
    <row r="3801" spans="1:9" x14ac:dyDescent="0.2">
      <c r="A3801" s="405"/>
    </row>
    <row r="3802" spans="1:9" x14ac:dyDescent="0.2">
      <c r="A3802" s="405"/>
    </row>
    <row r="3803" spans="1:9" x14ac:dyDescent="0.2">
      <c r="A3803" s="405"/>
    </row>
    <row r="3804" spans="1:9" x14ac:dyDescent="0.2">
      <c r="A3804" s="405"/>
    </row>
    <row r="3805" spans="1:9" x14ac:dyDescent="0.2">
      <c r="A3805" s="405"/>
    </row>
    <row r="3806" spans="1:9" x14ac:dyDescent="0.2">
      <c r="A3806" s="405"/>
    </row>
    <row r="3807" spans="1:9" x14ac:dyDescent="0.2">
      <c r="A3807" s="405"/>
    </row>
    <row r="3808" spans="1:9" x14ac:dyDescent="0.2">
      <c r="A3808" s="405"/>
    </row>
    <row r="3809" spans="1:9" x14ac:dyDescent="0.2">
      <c r="A3809" s="405"/>
    </row>
    <row r="3810" spans="1:9" x14ac:dyDescent="0.2">
      <c r="A3810" s="405"/>
    </row>
    <row r="3811" spans="1:9" x14ac:dyDescent="0.2">
      <c r="A3811" s="405"/>
    </row>
    <row r="3812" spans="1:9" x14ac:dyDescent="0.2">
      <c r="A3812" s="405"/>
    </row>
    <row r="3813" spans="1:9" x14ac:dyDescent="0.2">
      <c r="A3813" s="405"/>
    </row>
    <row r="3814" spans="1:9" x14ac:dyDescent="0.2">
      <c r="A3814" s="405"/>
    </row>
    <row r="3815" spans="1:9" x14ac:dyDescent="0.2">
      <c r="A3815" s="405"/>
    </row>
    <row r="3816" spans="1:9" x14ac:dyDescent="0.2">
      <c r="A3816" s="405"/>
    </row>
    <row r="3817" spans="1:9" x14ac:dyDescent="0.2">
      <c r="A3817" s="405"/>
    </row>
    <row r="3818" spans="1:9" x14ac:dyDescent="0.2">
      <c r="A3818" s="405"/>
    </row>
    <row r="3819" spans="1:9" x14ac:dyDescent="0.2">
      <c r="A3819" s="405"/>
    </row>
    <row r="3820" spans="1:9" x14ac:dyDescent="0.2">
      <c r="A3820" s="405"/>
      <c r="H3820" s="19"/>
      <c r="I3820" s="19"/>
    </row>
    <row r="3821" spans="1:9" x14ac:dyDescent="0.2">
      <c r="A3821" s="405"/>
    </row>
    <row r="3822" spans="1:9" x14ac:dyDescent="0.2">
      <c r="A3822" s="405"/>
    </row>
    <row r="3823" spans="1:9" x14ac:dyDescent="0.2">
      <c r="A3823" s="405"/>
    </row>
    <row r="3824" spans="1:9" x14ac:dyDescent="0.2">
      <c r="A3824" s="405"/>
    </row>
    <row r="3825" spans="1:9" x14ac:dyDescent="0.2">
      <c r="A3825" s="405"/>
    </row>
    <row r="3826" spans="1:9" x14ac:dyDescent="0.2">
      <c r="A3826" s="405"/>
    </row>
    <row r="3827" spans="1:9" x14ac:dyDescent="0.2">
      <c r="A3827" s="405"/>
    </row>
    <row r="3828" spans="1:9" x14ac:dyDescent="0.2">
      <c r="A3828" s="405"/>
    </row>
    <row r="3829" spans="1:9" x14ac:dyDescent="0.2">
      <c r="A3829" s="405"/>
    </row>
    <row r="3830" spans="1:9" x14ac:dyDescent="0.2">
      <c r="A3830" s="405"/>
    </row>
    <row r="3831" spans="1:9" x14ac:dyDescent="0.2">
      <c r="A3831" s="405"/>
    </row>
    <row r="3832" spans="1:9" x14ac:dyDescent="0.2">
      <c r="A3832" s="405"/>
    </row>
    <row r="3833" spans="1:9" x14ac:dyDescent="0.2">
      <c r="A3833" s="405"/>
    </row>
    <row r="3834" spans="1:9" x14ac:dyDescent="0.2">
      <c r="A3834" s="405"/>
    </row>
    <row r="3835" spans="1:9" x14ac:dyDescent="0.2">
      <c r="A3835" s="405"/>
    </row>
    <row r="3836" spans="1:9" x14ac:dyDescent="0.2">
      <c r="A3836" s="405"/>
    </row>
    <row r="3837" spans="1:9" x14ac:dyDescent="0.2">
      <c r="A3837" s="405"/>
      <c r="H3837" s="19"/>
      <c r="I3837" s="19"/>
    </row>
    <row r="3838" spans="1:9" x14ac:dyDescent="0.2">
      <c r="A3838" s="405"/>
      <c r="H3838" s="19"/>
      <c r="I3838" s="19"/>
    </row>
    <row r="3839" spans="1:9" x14ac:dyDescent="0.2">
      <c r="A3839" s="405"/>
    </row>
    <row r="3840" spans="1:9" x14ac:dyDescent="0.2">
      <c r="A3840" s="405"/>
    </row>
    <row r="3841" spans="1:9" x14ac:dyDescent="0.2">
      <c r="A3841" s="405"/>
    </row>
    <row r="3842" spans="1:9" x14ac:dyDescent="0.2">
      <c r="A3842" s="405"/>
    </row>
    <row r="3843" spans="1:9" x14ac:dyDescent="0.2">
      <c r="A3843" s="405"/>
    </row>
    <row r="3844" spans="1:9" x14ac:dyDescent="0.2">
      <c r="A3844" s="405"/>
      <c r="H3844" s="19"/>
      <c r="I3844" s="19"/>
    </row>
    <row r="3845" spans="1:9" x14ac:dyDescent="0.2">
      <c r="A3845" s="405"/>
    </row>
    <row r="3846" spans="1:9" x14ac:dyDescent="0.2">
      <c r="A3846" s="405"/>
    </row>
    <row r="3847" spans="1:9" x14ac:dyDescent="0.2">
      <c r="A3847" s="405"/>
    </row>
    <row r="3848" spans="1:9" x14ac:dyDescent="0.2">
      <c r="A3848" s="405"/>
    </row>
    <row r="3849" spans="1:9" x14ac:dyDescent="0.2">
      <c r="A3849" s="405"/>
    </row>
    <row r="3850" spans="1:9" x14ac:dyDescent="0.2">
      <c r="A3850" s="405"/>
    </row>
    <row r="3851" spans="1:9" x14ac:dyDescent="0.2">
      <c r="A3851" s="405"/>
    </row>
    <row r="3852" spans="1:9" x14ac:dyDescent="0.2">
      <c r="A3852" s="405"/>
    </row>
    <row r="3853" spans="1:9" x14ac:dyDescent="0.2">
      <c r="A3853" s="405"/>
    </row>
    <row r="3854" spans="1:9" x14ac:dyDescent="0.2">
      <c r="A3854" s="405"/>
    </row>
    <row r="3855" spans="1:9" x14ac:dyDescent="0.2">
      <c r="A3855" s="405"/>
      <c r="H3855" s="19"/>
      <c r="I3855" s="19"/>
    </row>
    <row r="3856" spans="1:9" x14ac:dyDescent="0.2">
      <c r="A3856" s="405"/>
    </row>
    <row r="3857" spans="1:9" x14ac:dyDescent="0.2">
      <c r="A3857" s="405"/>
    </row>
    <row r="3858" spans="1:9" x14ac:dyDescent="0.2">
      <c r="A3858" s="405"/>
    </row>
    <row r="3859" spans="1:9" x14ac:dyDescent="0.2">
      <c r="A3859" s="405"/>
    </row>
    <row r="3860" spans="1:9" x14ac:dyDescent="0.2">
      <c r="A3860" s="405"/>
    </row>
    <row r="3861" spans="1:9" x14ac:dyDescent="0.2">
      <c r="A3861" s="405"/>
      <c r="H3861" s="19"/>
      <c r="I3861" s="19"/>
    </row>
    <row r="3862" spans="1:9" x14ac:dyDescent="0.2">
      <c r="A3862" s="405"/>
    </row>
    <row r="3863" spans="1:9" x14ac:dyDescent="0.2">
      <c r="A3863" s="405"/>
    </row>
    <row r="3864" spans="1:9" x14ac:dyDescent="0.2">
      <c r="A3864" s="405"/>
    </row>
    <row r="3865" spans="1:9" x14ac:dyDescent="0.2">
      <c r="A3865" s="405"/>
    </row>
    <row r="3866" spans="1:9" x14ac:dyDescent="0.2">
      <c r="A3866" s="405"/>
    </row>
    <row r="3867" spans="1:9" x14ac:dyDescent="0.2">
      <c r="A3867" s="405"/>
    </row>
    <row r="3868" spans="1:9" x14ac:dyDescent="0.2">
      <c r="A3868" s="405"/>
    </row>
    <row r="3869" spans="1:9" x14ac:dyDescent="0.2">
      <c r="A3869" s="405"/>
    </row>
    <row r="3870" spans="1:9" x14ac:dyDescent="0.2">
      <c r="A3870" s="405"/>
    </row>
    <row r="3871" spans="1:9" x14ac:dyDescent="0.2">
      <c r="A3871" s="405"/>
    </row>
    <row r="3872" spans="1:9" x14ac:dyDescent="0.2">
      <c r="A3872" s="405"/>
    </row>
    <row r="3873" spans="1:9" x14ac:dyDescent="0.2">
      <c r="A3873" s="405"/>
    </row>
    <row r="3874" spans="1:9" x14ac:dyDescent="0.2">
      <c r="A3874" s="405"/>
    </row>
    <row r="3875" spans="1:9" x14ac:dyDescent="0.2">
      <c r="A3875" s="405"/>
    </row>
    <row r="3876" spans="1:9" x14ac:dyDescent="0.2">
      <c r="A3876" s="405"/>
    </row>
    <row r="3877" spans="1:9" x14ac:dyDescent="0.2">
      <c r="A3877" s="405"/>
    </row>
    <row r="3878" spans="1:9" x14ac:dyDescent="0.2">
      <c r="A3878" s="405"/>
    </row>
    <row r="3879" spans="1:9" x14ac:dyDescent="0.2">
      <c r="A3879" s="405"/>
    </row>
    <row r="3880" spans="1:9" x14ac:dyDescent="0.2">
      <c r="A3880" s="405"/>
      <c r="H3880" s="19"/>
      <c r="I3880" s="19"/>
    </row>
    <row r="3881" spans="1:9" x14ac:dyDescent="0.2">
      <c r="A3881" s="405"/>
      <c r="H3881" s="19"/>
      <c r="I3881" s="19"/>
    </row>
    <row r="3882" spans="1:9" x14ac:dyDescent="0.2">
      <c r="A3882" s="405"/>
      <c r="H3882" s="19"/>
      <c r="I3882" s="19"/>
    </row>
    <row r="3883" spans="1:9" x14ac:dyDescent="0.2">
      <c r="A3883" s="405"/>
      <c r="H3883" s="19"/>
      <c r="I3883" s="19"/>
    </row>
    <row r="3884" spans="1:9" x14ac:dyDescent="0.2">
      <c r="A3884" s="405"/>
      <c r="H3884" s="19"/>
      <c r="I3884" s="19"/>
    </row>
    <row r="3885" spans="1:9" x14ac:dyDescent="0.2">
      <c r="A3885" s="405"/>
      <c r="H3885" s="19"/>
      <c r="I3885" s="19"/>
    </row>
    <row r="3886" spans="1:9" x14ac:dyDescent="0.2">
      <c r="A3886" s="405"/>
      <c r="H3886" s="19"/>
      <c r="I3886" s="19"/>
    </row>
    <row r="3887" spans="1:9" x14ac:dyDescent="0.2">
      <c r="A3887" s="405"/>
      <c r="H3887" s="19"/>
      <c r="I3887" s="19"/>
    </row>
    <row r="3888" spans="1:9" x14ac:dyDescent="0.2">
      <c r="A3888" s="405"/>
      <c r="H3888" s="19"/>
      <c r="I3888" s="19"/>
    </row>
    <row r="3889" spans="1:9" x14ac:dyDescent="0.2">
      <c r="A3889" s="405"/>
      <c r="H3889" s="19"/>
      <c r="I3889" s="19"/>
    </row>
    <row r="3890" spans="1:9" x14ac:dyDescent="0.2">
      <c r="A3890" s="405"/>
      <c r="H3890" s="19"/>
      <c r="I3890" s="19"/>
    </row>
    <row r="3891" spans="1:9" x14ac:dyDescent="0.2">
      <c r="A3891" s="405"/>
      <c r="H3891" s="19"/>
      <c r="I3891" s="19"/>
    </row>
    <row r="3892" spans="1:9" x14ac:dyDescent="0.2">
      <c r="A3892" s="405"/>
      <c r="H3892" s="19"/>
      <c r="I3892" s="19"/>
    </row>
    <row r="3893" spans="1:9" x14ac:dyDescent="0.2">
      <c r="A3893" s="405"/>
      <c r="H3893" s="19"/>
      <c r="I3893" s="19"/>
    </row>
    <row r="3894" spans="1:9" x14ac:dyDescent="0.2">
      <c r="A3894" s="405"/>
      <c r="H3894" s="19"/>
      <c r="I3894" s="19"/>
    </row>
    <row r="3895" spans="1:9" x14ac:dyDescent="0.2">
      <c r="A3895" s="405"/>
      <c r="H3895" s="19"/>
      <c r="I3895" s="19"/>
    </row>
    <row r="3896" spans="1:9" x14ac:dyDescent="0.2">
      <c r="A3896" s="405"/>
      <c r="H3896" s="19"/>
      <c r="I3896" s="19"/>
    </row>
    <row r="3897" spans="1:9" x14ac:dyDescent="0.2">
      <c r="A3897" s="405"/>
      <c r="H3897" s="19"/>
      <c r="I3897" s="19"/>
    </row>
    <row r="3898" spans="1:9" x14ac:dyDescent="0.2">
      <c r="A3898" s="405"/>
      <c r="H3898" s="19"/>
      <c r="I3898" s="19"/>
    </row>
    <row r="3899" spans="1:9" x14ac:dyDescent="0.2">
      <c r="A3899" s="405"/>
      <c r="H3899" s="19"/>
      <c r="I3899" s="19"/>
    </row>
    <row r="3900" spans="1:9" x14ac:dyDescent="0.2">
      <c r="A3900" s="405"/>
      <c r="H3900" s="19"/>
      <c r="I3900" s="19"/>
    </row>
    <row r="3901" spans="1:9" x14ac:dyDescent="0.2">
      <c r="A3901" s="405"/>
      <c r="H3901" s="19"/>
      <c r="I3901" s="19"/>
    </row>
    <row r="3902" spans="1:9" x14ac:dyDescent="0.2">
      <c r="A3902" s="405"/>
      <c r="H3902" s="19"/>
      <c r="I3902" s="19"/>
    </row>
    <row r="3903" spans="1:9" x14ac:dyDescent="0.2">
      <c r="A3903" s="405"/>
      <c r="H3903" s="19"/>
      <c r="I3903" s="19"/>
    </row>
    <row r="3904" spans="1:9" x14ac:dyDescent="0.2">
      <c r="A3904" s="405"/>
      <c r="H3904" s="19"/>
      <c r="I3904" s="19"/>
    </row>
    <row r="3905" spans="1:9" x14ac:dyDescent="0.2">
      <c r="A3905" s="405"/>
      <c r="H3905" s="19"/>
      <c r="I3905" s="19"/>
    </row>
    <row r="3906" spans="1:9" x14ac:dyDescent="0.2">
      <c r="A3906" s="405"/>
      <c r="H3906" s="19"/>
      <c r="I3906" s="19"/>
    </row>
    <row r="3907" spans="1:9" x14ac:dyDescent="0.2">
      <c r="A3907" s="405"/>
      <c r="H3907" s="19"/>
      <c r="I3907" s="19"/>
    </row>
    <row r="3908" spans="1:9" x14ac:dyDescent="0.2">
      <c r="A3908" s="405"/>
      <c r="H3908" s="19"/>
      <c r="I3908" s="19"/>
    </row>
    <row r="3909" spans="1:9" x14ac:dyDescent="0.2">
      <c r="A3909" s="405"/>
      <c r="H3909" s="19"/>
      <c r="I3909" s="19"/>
    </row>
    <row r="3910" spans="1:9" x14ac:dyDescent="0.2">
      <c r="A3910" s="405"/>
      <c r="H3910" s="19"/>
      <c r="I3910" s="19"/>
    </row>
    <row r="3911" spans="1:9" x14ac:dyDescent="0.2">
      <c r="A3911" s="405"/>
      <c r="H3911" s="19"/>
      <c r="I3911" s="19"/>
    </row>
    <row r="3912" spans="1:9" x14ac:dyDescent="0.2">
      <c r="A3912" s="405"/>
      <c r="H3912" s="19"/>
      <c r="I3912" s="19"/>
    </row>
    <row r="3913" spans="1:9" x14ac:dyDescent="0.2">
      <c r="A3913" s="405"/>
      <c r="H3913" s="19"/>
      <c r="I3913" s="19"/>
    </row>
    <row r="3914" spans="1:9" x14ac:dyDescent="0.2">
      <c r="A3914" s="405"/>
      <c r="H3914" s="19"/>
      <c r="I3914" s="19"/>
    </row>
    <row r="3915" spans="1:9" x14ac:dyDescent="0.2">
      <c r="A3915" s="405"/>
      <c r="H3915" s="19"/>
      <c r="I3915" s="19"/>
    </row>
    <row r="3916" spans="1:9" x14ac:dyDescent="0.2">
      <c r="A3916" s="405"/>
      <c r="H3916" s="19"/>
      <c r="I3916" s="19"/>
    </row>
    <row r="3917" spans="1:9" x14ac:dyDescent="0.2">
      <c r="A3917" s="405"/>
      <c r="H3917" s="19"/>
      <c r="I3917" s="19"/>
    </row>
    <row r="3918" spans="1:9" x14ac:dyDescent="0.2">
      <c r="A3918" s="405"/>
      <c r="H3918" s="19"/>
      <c r="I3918" s="19"/>
    </row>
    <row r="3919" spans="1:9" x14ac:dyDescent="0.2">
      <c r="A3919" s="405"/>
      <c r="H3919" s="19"/>
      <c r="I3919" s="19"/>
    </row>
    <row r="3920" spans="1:9" x14ac:dyDescent="0.2">
      <c r="A3920" s="405"/>
    </row>
    <row r="3921" spans="1:9" x14ac:dyDescent="0.2">
      <c r="A3921" s="405"/>
    </row>
    <row r="3922" spans="1:9" x14ac:dyDescent="0.2">
      <c r="A3922" s="405"/>
    </row>
    <row r="3923" spans="1:9" x14ac:dyDescent="0.2">
      <c r="A3923" s="405"/>
    </row>
    <row r="3924" spans="1:9" x14ac:dyDescent="0.2">
      <c r="A3924" s="405"/>
    </row>
    <row r="3925" spans="1:9" x14ac:dyDescent="0.2">
      <c r="A3925" s="405"/>
      <c r="H3925" s="19"/>
      <c r="I3925" s="19"/>
    </row>
    <row r="3926" spans="1:9" x14ac:dyDescent="0.2">
      <c r="A3926" s="405"/>
    </row>
    <row r="3927" spans="1:9" x14ac:dyDescent="0.2">
      <c r="A3927" s="405"/>
    </row>
    <row r="3928" spans="1:9" x14ac:dyDescent="0.2">
      <c r="A3928" s="405"/>
    </row>
    <row r="3929" spans="1:9" x14ac:dyDescent="0.2">
      <c r="A3929" s="405"/>
    </row>
    <row r="3930" spans="1:9" x14ac:dyDescent="0.2">
      <c r="A3930" s="405"/>
    </row>
    <row r="3931" spans="1:9" x14ac:dyDescent="0.2">
      <c r="A3931" s="405"/>
    </row>
    <row r="3932" spans="1:9" x14ac:dyDescent="0.2">
      <c r="A3932" s="405"/>
    </row>
    <row r="3933" spans="1:9" x14ac:dyDescent="0.2">
      <c r="A3933" s="405"/>
    </row>
    <row r="3934" spans="1:9" x14ac:dyDescent="0.2">
      <c r="A3934" s="405"/>
    </row>
    <row r="3935" spans="1:9" x14ac:dyDescent="0.2">
      <c r="A3935" s="405"/>
    </row>
    <row r="3936" spans="1:9" x14ac:dyDescent="0.2">
      <c r="A3936" s="405"/>
    </row>
    <row r="3937" spans="1:9" x14ac:dyDescent="0.2">
      <c r="A3937" s="405"/>
    </row>
    <row r="3938" spans="1:9" x14ac:dyDescent="0.2">
      <c r="A3938" s="405"/>
    </row>
    <row r="3939" spans="1:9" x14ac:dyDescent="0.2">
      <c r="A3939" s="405"/>
    </row>
    <row r="3940" spans="1:9" x14ac:dyDescent="0.2">
      <c r="A3940" s="405"/>
    </row>
    <row r="3941" spans="1:9" x14ac:dyDescent="0.2">
      <c r="A3941" s="405"/>
      <c r="H3941" s="19"/>
      <c r="I3941" s="19"/>
    </row>
    <row r="3942" spans="1:9" x14ac:dyDescent="0.2">
      <c r="A3942" s="405"/>
    </row>
    <row r="3943" spans="1:9" x14ac:dyDescent="0.2">
      <c r="A3943" s="405"/>
    </row>
    <row r="3944" spans="1:9" x14ac:dyDescent="0.2">
      <c r="A3944" s="405"/>
    </row>
    <row r="3945" spans="1:9" x14ac:dyDescent="0.2">
      <c r="A3945" s="405"/>
    </row>
    <row r="3946" spans="1:9" x14ac:dyDescent="0.2">
      <c r="A3946" s="405"/>
    </row>
    <row r="3947" spans="1:9" x14ac:dyDescent="0.2">
      <c r="A3947" s="405"/>
    </row>
    <row r="3948" spans="1:9" x14ac:dyDescent="0.2">
      <c r="A3948" s="405"/>
    </row>
    <row r="3949" spans="1:9" x14ac:dyDescent="0.2">
      <c r="A3949" s="405"/>
    </row>
    <row r="3950" spans="1:9" x14ac:dyDescent="0.2">
      <c r="A3950" s="405"/>
    </row>
    <row r="3951" spans="1:9" x14ac:dyDescent="0.2">
      <c r="A3951" s="405"/>
    </row>
    <row r="3952" spans="1:9" x14ac:dyDescent="0.2">
      <c r="A3952" s="405"/>
    </row>
    <row r="3953" spans="1:9" x14ac:dyDescent="0.2">
      <c r="A3953" s="405"/>
    </row>
    <row r="3954" spans="1:9" x14ac:dyDescent="0.2">
      <c r="A3954" s="405"/>
      <c r="H3954" s="19"/>
      <c r="I3954" s="19"/>
    </row>
    <row r="3955" spans="1:9" x14ac:dyDescent="0.2">
      <c r="A3955" s="405"/>
      <c r="H3955" s="19"/>
      <c r="I3955" s="19"/>
    </row>
    <row r="3956" spans="1:9" x14ac:dyDescent="0.2">
      <c r="A3956" s="405"/>
    </row>
    <row r="3957" spans="1:9" x14ac:dyDescent="0.2">
      <c r="A3957" s="405"/>
    </row>
    <row r="3958" spans="1:9" x14ac:dyDescent="0.2">
      <c r="A3958" s="405"/>
      <c r="H3958" s="19"/>
      <c r="I3958" s="19"/>
    </row>
    <row r="3959" spans="1:9" x14ac:dyDescent="0.2">
      <c r="A3959" s="405"/>
    </row>
    <row r="3960" spans="1:9" x14ac:dyDescent="0.2">
      <c r="A3960" s="405"/>
    </row>
    <row r="3961" spans="1:9" x14ac:dyDescent="0.2">
      <c r="A3961" s="405"/>
    </row>
    <row r="3962" spans="1:9" x14ac:dyDescent="0.2">
      <c r="A3962" s="405"/>
    </row>
    <row r="3963" spans="1:9" x14ac:dyDescent="0.2">
      <c r="A3963" s="405"/>
    </row>
    <row r="3964" spans="1:9" x14ac:dyDescent="0.2">
      <c r="A3964" s="405"/>
    </row>
    <row r="3965" spans="1:9" x14ac:dyDescent="0.2">
      <c r="A3965" s="405"/>
    </row>
    <row r="3966" spans="1:9" x14ac:dyDescent="0.2">
      <c r="A3966" s="405"/>
    </row>
    <row r="3967" spans="1:9" x14ac:dyDescent="0.2">
      <c r="A3967" s="405"/>
      <c r="H3967" s="19"/>
      <c r="I3967" s="19"/>
    </row>
    <row r="3968" spans="1:9" x14ac:dyDescent="0.2">
      <c r="A3968" s="405"/>
    </row>
    <row r="3969" spans="1:9" x14ac:dyDescent="0.2">
      <c r="A3969" s="405"/>
    </row>
    <row r="3970" spans="1:9" x14ac:dyDescent="0.2">
      <c r="A3970" s="405"/>
    </row>
    <row r="3971" spans="1:9" x14ac:dyDescent="0.2">
      <c r="A3971" s="405"/>
      <c r="H3971" s="19"/>
      <c r="I3971" s="19"/>
    </row>
    <row r="3972" spans="1:9" x14ac:dyDescent="0.2">
      <c r="A3972" s="405"/>
      <c r="H3972" s="19"/>
      <c r="I3972" s="19"/>
    </row>
    <row r="3973" spans="1:9" x14ac:dyDescent="0.2">
      <c r="A3973" s="405"/>
    </row>
    <row r="3974" spans="1:9" x14ac:dyDescent="0.2">
      <c r="A3974" s="405"/>
    </row>
    <row r="3975" spans="1:9" x14ac:dyDescent="0.2">
      <c r="A3975" s="405"/>
    </row>
    <row r="3976" spans="1:9" x14ac:dyDescent="0.2">
      <c r="A3976" s="405"/>
    </row>
    <row r="3977" spans="1:9" x14ac:dyDescent="0.2">
      <c r="A3977" s="405"/>
    </row>
    <row r="3978" spans="1:9" x14ac:dyDescent="0.2">
      <c r="A3978" s="405"/>
    </row>
    <row r="3979" spans="1:9" x14ac:dyDescent="0.2">
      <c r="A3979" s="405"/>
    </row>
    <row r="3980" spans="1:9" x14ac:dyDescent="0.2">
      <c r="A3980" s="405"/>
    </row>
    <row r="3981" spans="1:9" x14ac:dyDescent="0.2">
      <c r="A3981" s="405"/>
    </row>
    <row r="3982" spans="1:9" x14ac:dyDescent="0.2">
      <c r="A3982" s="405"/>
    </row>
    <row r="3983" spans="1:9" x14ac:dyDescent="0.2">
      <c r="A3983" s="405"/>
    </row>
    <row r="3984" spans="1:9" x14ac:dyDescent="0.2">
      <c r="A3984" s="405"/>
      <c r="H3984" s="19"/>
      <c r="I3984" s="19"/>
    </row>
    <row r="3985" spans="1:1" x14ac:dyDescent="0.2">
      <c r="A3985" s="405"/>
    </row>
    <row r="3986" spans="1:1" x14ac:dyDescent="0.2">
      <c r="A3986" s="405"/>
    </row>
    <row r="3987" spans="1:1" x14ac:dyDescent="0.2">
      <c r="A3987" s="405"/>
    </row>
    <row r="3988" spans="1:1" x14ac:dyDescent="0.2">
      <c r="A3988" s="405"/>
    </row>
    <row r="3989" spans="1:1" x14ac:dyDescent="0.2">
      <c r="A3989" s="405"/>
    </row>
    <row r="3990" spans="1:1" x14ac:dyDescent="0.2">
      <c r="A3990" s="405"/>
    </row>
    <row r="3991" spans="1:1" x14ac:dyDescent="0.2">
      <c r="A3991" s="405"/>
    </row>
    <row r="3992" spans="1:1" x14ac:dyDescent="0.2">
      <c r="A3992" s="405"/>
    </row>
    <row r="3993" spans="1:1" x14ac:dyDescent="0.2">
      <c r="A3993" s="405"/>
    </row>
    <row r="3994" spans="1:1" x14ac:dyDescent="0.2">
      <c r="A3994" s="405"/>
    </row>
    <row r="3995" spans="1:1" x14ac:dyDescent="0.2">
      <c r="A3995" s="405"/>
    </row>
    <row r="3996" spans="1:1" x14ac:dyDescent="0.2">
      <c r="A3996" s="405"/>
    </row>
    <row r="3997" spans="1:1" x14ac:dyDescent="0.2">
      <c r="A3997" s="405"/>
    </row>
    <row r="3998" spans="1:1" x14ac:dyDescent="0.2">
      <c r="A3998" s="405"/>
    </row>
    <row r="3999" spans="1:1" x14ac:dyDescent="0.2">
      <c r="A3999" s="405"/>
    </row>
    <row r="4000" spans="1:1" x14ac:dyDescent="0.2">
      <c r="A4000" s="405"/>
    </row>
    <row r="4001" spans="1:9" x14ac:dyDescent="0.2">
      <c r="A4001" s="405"/>
    </row>
    <row r="4002" spans="1:9" x14ac:dyDescent="0.2">
      <c r="A4002" s="405"/>
    </row>
    <row r="4003" spans="1:9" x14ac:dyDescent="0.2">
      <c r="A4003" s="405"/>
    </row>
    <row r="4004" spans="1:9" x14ac:dyDescent="0.2">
      <c r="A4004" s="405"/>
    </row>
    <row r="4005" spans="1:9" x14ac:dyDescent="0.2">
      <c r="A4005" s="405"/>
    </row>
    <row r="4006" spans="1:9" x14ac:dyDescent="0.2">
      <c r="A4006" s="405"/>
      <c r="H4006" s="19"/>
      <c r="I4006" s="19"/>
    </row>
    <row r="4007" spans="1:9" x14ac:dyDescent="0.2">
      <c r="A4007" s="405"/>
    </row>
    <row r="4008" spans="1:9" x14ac:dyDescent="0.2">
      <c r="A4008" s="405"/>
    </row>
    <row r="4009" spans="1:9" x14ac:dyDescent="0.2">
      <c r="A4009" s="405"/>
    </row>
    <row r="4010" spans="1:9" x14ac:dyDescent="0.2">
      <c r="A4010" s="405"/>
    </row>
    <row r="4011" spans="1:9" x14ac:dyDescent="0.2">
      <c r="A4011" s="405"/>
    </row>
    <row r="4012" spans="1:9" x14ac:dyDescent="0.2">
      <c r="A4012" s="405"/>
    </row>
    <row r="4013" spans="1:9" x14ac:dyDescent="0.2">
      <c r="A4013" s="405"/>
    </row>
    <row r="4014" spans="1:9" x14ac:dyDescent="0.2">
      <c r="A4014" s="405"/>
    </row>
    <row r="4015" spans="1:9" x14ac:dyDescent="0.2">
      <c r="A4015" s="405"/>
    </row>
    <row r="4016" spans="1:9" x14ac:dyDescent="0.2">
      <c r="A4016" s="405"/>
    </row>
    <row r="4017" spans="1:9" x14ac:dyDescent="0.2">
      <c r="A4017" s="405"/>
    </row>
    <row r="4018" spans="1:9" x14ac:dyDescent="0.2">
      <c r="A4018" s="405"/>
    </row>
    <row r="4019" spans="1:9" x14ac:dyDescent="0.2">
      <c r="A4019" s="405"/>
    </row>
    <row r="4020" spans="1:9" x14ac:dyDescent="0.2">
      <c r="A4020" s="405"/>
    </row>
    <row r="4021" spans="1:9" x14ac:dyDescent="0.2">
      <c r="A4021" s="405"/>
    </row>
    <row r="4022" spans="1:9" x14ac:dyDescent="0.2">
      <c r="A4022" s="405"/>
    </row>
    <row r="4023" spans="1:9" x14ac:dyDescent="0.2">
      <c r="A4023" s="405"/>
      <c r="H4023" s="19"/>
      <c r="I4023" s="19"/>
    </row>
    <row r="4024" spans="1:9" x14ac:dyDescent="0.2">
      <c r="A4024" s="405"/>
    </row>
    <row r="4025" spans="1:9" x14ac:dyDescent="0.2">
      <c r="A4025" s="405"/>
    </row>
    <row r="4026" spans="1:9" x14ac:dyDescent="0.2">
      <c r="A4026" s="405"/>
    </row>
    <row r="4027" spans="1:9" x14ac:dyDescent="0.2">
      <c r="A4027" s="405"/>
    </row>
    <row r="4028" spans="1:9" x14ac:dyDescent="0.2">
      <c r="A4028" s="405"/>
    </row>
    <row r="4029" spans="1:9" x14ac:dyDescent="0.2">
      <c r="A4029" s="405"/>
    </row>
    <row r="4030" spans="1:9" x14ac:dyDescent="0.2">
      <c r="A4030" s="405"/>
    </row>
    <row r="4031" spans="1:9" x14ac:dyDescent="0.2">
      <c r="A4031" s="405"/>
    </row>
    <row r="4032" spans="1:9" x14ac:dyDescent="0.2">
      <c r="A4032" s="405"/>
    </row>
    <row r="4033" spans="1:9" x14ac:dyDescent="0.2">
      <c r="A4033" s="405"/>
    </row>
    <row r="4034" spans="1:9" x14ac:dyDescent="0.2">
      <c r="A4034" s="405"/>
    </row>
    <row r="4035" spans="1:9" x14ac:dyDescent="0.2">
      <c r="A4035" s="405"/>
    </row>
    <row r="4036" spans="1:9" x14ac:dyDescent="0.2">
      <c r="A4036" s="405"/>
    </row>
    <row r="4037" spans="1:9" x14ac:dyDescent="0.2">
      <c r="A4037" s="405"/>
    </row>
    <row r="4038" spans="1:9" x14ac:dyDescent="0.2">
      <c r="A4038" s="405"/>
    </row>
    <row r="4039" spans="1:9" x14ac:dyDescent="0.2">
      <c r="A4039" s="405"/>
    </row>
    <row r="4040" spans="1:9" x14ac:dyDescent="0.2">
      <c r="A4040" s="405"/>
    </row>
    <row r="4041" spans="1:9" x14ac:dyDescent="0.2">
      <c r="A4041" s="405"/>
    </row>
    <row r="4042" spans="1:9" x14ac:dyDescent="0.2">
      <c r="A4042" s="405"/>
    </row>
    <row r="4043" spans="1:9" x14ac:dyDescent="0.2">
      <c r="A4043" s="405"/>
    </row>
    <row r="4044" spans="1:9" x14ac:dyDescent="0.2">
      <c r="A4044" s="405"/>
    </row>
    <row r="4045" spans="1:9" x14ac:dyDescent="0.2">
      <c r="A4045" s="405"/>
    </row>
    <row r="4046" spans="1:9" x14ac:dyDescent="0.2">
      <c r="A4046" s="405"/>
      <c r="H4046" s="19"/>
      <c r="I4046" s="19"/>
    </row>
    <row r="4047" spans="1:9" x14ac:dyDescent="0.2">
      <c r="A4047" s="405"/>
    </row>
    <row r="4048" spans="1:9" x14ac:dyDescent="0.2">
      <c r="A4048" s="405"/>
    </row>
    <row r="4049" spans="1:9" x14ac:dyDescent="0.2">
      <c r="A4049" s="405"/>
    </row>
    <row r="4050" spans="1:9" x14ac:dyDescent="0.2">
      <c r="A4050" s="405"/>
    </row>
    <row r="4051" spans="1:9" x14ac:dyDescent="0.2">
      <c r="A4051" s="405"/>
    </row>
    <row r="4052" spans="1:9" x14ac:dyDescent="0.2">
      <c r="A4052" s="405"/>
    </row>
    <row r="4053" spans="1:9" x14ac:dyDescent="0.2">
      <c r="A4053" s="405"/>
    </row>
    <row r="4054" spans="1:9" x14ac:dyDescent="0.2">
      <c r="A4054" s="405"/>
    </row>
    <row r="4055" spans="1:9" x14ac:dyDescent="0.2">
      <c r="A4055" s="405"/>
    </row>
    <row r="4056" spans="1:9" x14ac:dyDescent="0.2">
      <c r="A4056" s="405"/>
    </row>
    <row r="4057" spans="1:9" x14ac:dyDescent="0.2">
      <c r="A4057" s="405"/>
    </row>
    <row r="4058" spans="1:9" x14ac:dyDescent="0.2">
      <c r="A4058" s="405"/>
    </row>
    <row r="4059" spans="1:9" x14ac:dyDescent="0.2">
      <c r="A4059" s="405"/>
    </row>
    <row r="4060" spans="1:9" x14ac:dyDescent="0.2">
      <c r="A4060" s="405"/>
    </row>
    <row r="4061" spans="1:9" x14ac:dyDescent="0.2">
      <c r="A4061" s="405"/>
    </row>
    <row r="4062" spans="1:9" x14ac:dyDescent="0.2">
      <c r="A4062" s="405"/>
    </row>
    <row r="4063" spans="1:9" x14ac:dyDescent="0.2">
      <c r="A4063" s="405"/>
      <c r="H4063" s="19"/>
      <c r="I4063" s="19"/>
    </row>
    <row r="4064" spans="1:9" x14ac:dyDescent="0.2">
      <c r="A4064" s="405"/>
    </row>
    <row r="4065" spans="1:1" x14ac:dyDescent="0.2">
      <c r="A4065" s="405"/>
    </row>
    <row r="4066" spans="1:1" x14ac:dyDescent="0.2">
      <c r="A4066" s="405"/>
    </row>
    <row r="4067" spans="1:1" x14ac:dyDescent="0.2">
      <c r="A4067" s="405"/>
    </row>
    <row r="4068" spans="1:1" x14ac:dyDescent="0.2">
      <c r="A4068" s="405"/>
    </row>
    <row r="4069" spans="1:1" x14ac:dyDescent="0.2">
      <c r="A4069" s="405"/>
    </row>
    <row r="4070" spans="1:1" x14ac:dyDescent="0.2">
      <c r="A4070" s="405"/>
    </row>
    <row r="4071" spans="1:1" x14ac:dyDescent="0.2">
      <c r="A4071" s="405"/>
    </row>
    <row r="4072" spans="1:1" x14ac:dyDescent="0.2">
      <c r="A4072" s="405"/>
    </row>
    <row r="4073" spans="1:1" x14ac:dyDescent="0.2">
      <c r="A4073" s="405"/>
    </row>
    <row r="4074" spans="1:1" x14ac:dyDescent="0.2">
      <c r="A4074" s="405"/>
    </row>
    <row r="4075" spans="1:1" x14ac:dyDescent="0.2">
      <c r="A4075" s="405"/>
    </row>
    <row r="4076" spans="1:1" x14ac:dyDescent="0.2">
      <c r="A4076" s="405"/>
    </row>
    <row r="4077" spans="1:1" x14ac:dyDescent="0.2">
      <c r="A4077" s="405"/>
    </row>
    <row r="4078" spans="1:1" x14ac:dyDescent="0.2">
      <c r="A4078" s="405"/>
    </row>
    <row r="4079" spans="1:1" x14ac:dyDescent="0.2">
      <c r="A4079" s="405"/>
    </row>
    <row r="4080" spans="1:1" x14ac:dyDescent="0.2">
      <c r="A4080" s="405"/>
    </row>
    <row r="4081" spans="1:9" x14ac:dyDescent="0.2">
      <c r="A4081" s="405"/>
    </row>
    <row r="4082" spans="1:9" x14ac:dyDescent="0.2">
      <c r="A4082" s="405"/>
    </row>
    <row r="4083" spans="1:9" x14ac:dyDescent="0.2">
      <c r="A4083" s="405"/>
    </row>
    <row r="4084" spans="1:9" x14ac:dyDescent="0.2">
      <c r="A4084" s="405"/>
    </row>
    <row r="4085" spans="1:9" x14ac:dyDescent="0.2">
      <c r="A4085" s="405"/>
    </row>
    <row r="4086" spans="1:9" x14ac:dyDescent="0.2">
      <c r="A4086" s="405"/>
      <c r="H4086" s="19"/>
      <c r="I4086" s="19"/>
    </row>
    <row r="4087" spans="1:9" x14ac:dyDescent="0.2">
      <c r="A4087" s="405"/>
    </row>
    <row r="4088" spans="1:9" x14ac:dyDescent="0.2">
      <c r="A4088" s="405"/>
    </row>
    <row r="4089" spans="1:9" x14ac:dyDescent="0.2">
      <c r="A4089" s="405"/>
    </row>
    <row r="4090" spans="1:9" x14ac:dyDescent="0.2">
      <c r="A4090" s="405"/>
    </row>
    <row r="4091" spans="1:9" x14ac:dyDescent="0.2">
      <c r="A4091" s="405"/>
    </row>
    <row r="4092" spans="1:9" x14ac:dyDescent="0.2">
      <c r="A4092" s="405"/>
    </row>
    <row r="4093" spans="1:9" x14ac:dyDescent="0.2">
      <c r="A4093" s="405"/>
    </row>
    <row r="4094" spans="1:9" x14ac:dyDescent="0.2">
      <c r="A4094" s="405"/>
    </row>
    <row r="4095" spans="1:9" x14ac:dyDescent="0.2">
      <c r="A4095" s="405"/>
    </row>
    <row r="4096" spans="1:9" x14ac:dyDescent="0.2">
      <c r="A4096" s="405"/>
    </row>
    <row r="4097" spans="1:9" x14ac:dyDescent="0.2">
      <c r="A4097" s="405"/>
    </row>
    <row r="4098" spans="1:9" x14ac:dyDescent="0.2">
      <c r="A4098" s="405"/>
    </row>
    <row r="4099" spans="1:9" x14ac:dyDescent="0.2">
      <c r="A4099" s="405"/>
    </row>
    <row r="4100" spans="1:9" x14ac:dyDescent="0.2">
      <c r="A4100" s="405"/>
      <c r="H4100" s="19"/>
      <c r="I4100" s="19"/>
    </row>
    <row r="4101" spans="1:9" x14ac:dyDescent="0.2">
      <c r="A4101" s="405"/>
      <c r="H4101" s="19"/>
      <c r="I4101" s="19"/>
    </row>
    <row r="4102" spans="1:9" x14ac:dyDescent="0.2">
      <c r="A4102" s="405"/>
      <c r="H4102" s="19"/>
      <c r="I4102" s="19"/>
    </row>
    <row r="4103" spans="1:9" x14ac:dyDescent="0.2">
      <c r="A4103" s="405"/>
      <c r="H4103" s="19"/>
      <c r="I4103" s="19"/>
    </row>
    <row r="4104" spans="1:9" x14ac:dyDescent="0.2">
      <c r="A4104" s="405"/>
      <c r="H4104" s="19"/>
      <c r="I4104" s="19"/>
    </row>
    <row r="4105" spans="1:9" x14ac:dyDescent="0.2">
      <c r="A4105" s="405"/>
      <c r="H4105" s="19"/>
      <c r="I4105" s="19"/>
    </row>
    <row r="4106" spans="1:9" x14ac:dyDescent="0.2">
      <c r="A4106" s="405"/>
      <c r="H4106" s="19"/>
      <c r="I4106" s="19"/>
    </row>
    <row r="4107" spans="1:9" x14ac:dyDescent="0.2">
      <c r="A4107" s="405"/>
    </row>
    <row r="4108" spans="1:9" x14ac:dyDescent="0.2">
      <c r="A4108" s="405"/>
    </row>
    <row r="4109" spans="1:9" x14ac:dyDescent="0.2">
      <c r="A4109" s="405"/>
    </row>
    <row r="4110" spans="1:9" x14ac:dyDescent="0.2">
      <c r="A4110" s="405"/>
    </row>
    <row r="4111" spans="1:9" x14ac:dyDescent="0.2">
      <c r="A4111" s="405"/>
    </row>
    <row r="4112" spans="1:9" x14ac:dyDescent="0.2">
      <c r="A4112" s="405"/>
    </row>
    <row r="4113" spans="1:9" x14ac:dyDescent="0.2">
      <c r="A4113" s="405"/>
    </row>
    <row r="4114" spans="1:9" x14ac:dyDescent="0.2">
      <c r="A4114" s="405"/>
    </row>
    <row r="4115" spans="1:9" x14ac:dyDescent="0.2">
      <c r="A4115" s="405"/>
    </row>
    <row r="4116" spans="1:9" x14ac:dyDescent="0.2">
      <c r="A4116" s="405"/>
    </row>
    <row r="4117" spans="1:9" x14ac:dyDescent="0.2">
      <c r="A4117" s="405"/>
      <c r="H4117" s="19"/>
      <c r="I4117" s="19"/>
    </row>
    <row r="4118" spans="1:9" x14ac:dyDescent="0.2">
      <c r="A4118" s="405"/>
      <c r="H4118" s="19"/>
      <c r="I4118" s="19"/>
    </row>
    <row r="4119" spans="1:9" x14ac:dyDescent="0.2">
      <c r="A4119" s="405"/>
      <c r="H4119" s="19"/>
      <c r="I4119" s="19"/>
    </row>
    <row r="4120" spans="1:9" x14ac:dyDescent="0.2">
      <c r="A4120" s="405"/>
      <c r="H4120" s="19"/>
      <c r="I4120" s="19"/>
    </row>
    <row r="4121" spans="1:9" x14ac:dyDescent="0.2">
      <c r="A4121" s="405"/>
      <c r="H4121" s="19"/>
      <c r="I4121" s="19"/>
    </row>
    <row r="4122" spans="1:9" x14ac:dyDescent="0.2">
      <c r="A4122" s="405"/>
      <c r="H4122" s="19"/>
      <c r="I4122" s="19"/>
    </row>
    <row r="4123" spans="1:9" x14ac:dyDescent="0.2">
      <c r="A4123" s="405"/>
      <c r="H4123" s="19"/>
      <c r="I4123" s="19"/>
    </row>
    <row r="4124" spans="1:9" x14ac:dyDescent="0.2">
      <c r="A4124" s="405"/>
    </row>
    <row r="4125" spans="1:9" x14ac:dyDescent="0.2">
      <c r="A4125" s="405"/>
    </row>
    <row r="4126" spans="1:9" x14ac:dyDescent="0.2">
      <c r="A4126" s="405"/>
    </row>
    <row r="4127" spans="1:9" x14ac:dyDescent="0.2">
      <c r="A4127" s="405"/>
    </row>
    <row r="4128" spans="1:9" x14ac:dyDescent="0.2">
      <c r="A4128" s="405"/>
    </row>
    <row r="4129" spans="1:1" x14ac:dyDescent="0.2">
      <c r="A4129" s="405"/>
    </row>
    <row r="4130" spans="1:1" x14ac:dyDescent="0.2">
      <c r="A4130" s="405"/>
    </row>
    <row r="4131" spans="1:1" x14ac:dyDescent="0.2">
      <c r="A4131" s="405"/>
    </row>
    <row r="4132" spans="1:1" x14ac:dyDescent="0.2">
      <c r="A4132" s="405"/>
    </row>
    <row r="4133" spans="1:1" x14ac:dyDescent="0.2">
      <c r="A4133" s="405"/>
    </row>
    <row r="4134" spans="1:1" x14ac:dyDescent="0.2">
      <c r="A4134" s="405"/>
    </row>
    <row r="4135" spans="1:1" x14ac:dyDescent="0.2">
      <c r="A4135" s="405"/>
    </row>
    <row r="4136" spans="1:1" x14ac:dyDescent="0.2">
      <c r="A4136" s="405"/>
    </row>
    <row r="4137" spans="1:1" x14ac:dyDescent="0.2">
      <c r="A4137" s="405"/>
    </row>
    <row r="4138" spans="1:1" x14ac:dyDescent="0.2">
      <c r="A4138" s="405"/>
    </row>
    <row r="4139" spans="1:1" x14ac:dyDescent="0.2">
      <c r="A4139" s="405"/>
    </row>
    <row r="4140" spans="1:1" x14ac:dyDescent="0.2">
      <c r="A4140" s="405"/>
    </row>
    <row r="4141" spans="1:1" x14ac:dyDescent="0.2">
      <c r="A4141" s="405"/>
    </row>
    <row r="4142" spans="1:1" x14ac:dyDescent="0.2">
      <c r="A4142" s="405"/>
    </row>
    <row r="4143" spans="1:1" x14ac:dyDescent="0.2">
      <c r="A4143" s="405"/>
    </row>
    <row r="4144" spans="1:1" x14ac:dyDescent="0.2">
      <c r="A4144" s="405"/>
    </row>
    <row r="4145" spans="1:1" x14ac:dyDescent="0.2">
      <c r="A4145" s="405"/>
    </row>
    <row r="4146" spans="1:1" x14ac:dyDescent="0.2">
      <c r="A4146" s="405"/>
    </row>
    <row r="4147" spans="1:1" x14ac:dyDescent="0.2">
      <c r="A4147" s="405"/>
    </row>
    <row r="4148" spans="1:1" x14ac:dyDescent="0.2">
      <c r="A4148" s="405"/>
    </row>
    <row r="4149" spans="1:1" x14ac:dyDescent="0.2">
      <c r="A4149" s="405"/>
    </row>
    <row r="4150" spans="1:1" x14ac:dyDescent="0.2">
      <c r="A4150" s="405"/>
    </row>
    <row r="4151" spans="1:1" x14ac:dyDescent="0.2">
      <c r="A4151" s="405"/>
    </row>
    <row r="4152" spans="1:1" x14ac:dyDescent="0.2">
      <c r="A4152" s="405"/>
    </row>
    <row r="4153" spans="1:1" x14ac:dyDescent="0.2">
      <c r="A4153" s="405"/>
    </row>
    <row r="4154" spans="1:1" x14ac:dyDescent="0.2">
      <c r="A4154" s="405"/>
    </row>
    <row r="4155" spans="1:1" x14ac:dyDescent="0.2">
      <c r="A4155" s="405"/>
    </row>
    <row r="4156" spans="1:1" x14ac:dyDescent="0.2">
      <c r="A4156" s="405"/>
    </row>
    <row r="4157" spans="1:1" x14ac:dyDescent="0.2">
      <c r="A4157" s="405"/>
    </row>
    <row r="4158" spans="1:1" x14ac:dyDescent="0.2">
      <c r="A4158" s="405"/>
    </row>
    <row r="4159" spans="1:1" x14ac:dyDescent="0.2">
      <c r="A4159" s="405"/>
    </row>
    <row r="4160" spans="1:1" x14ac:dyDescent="0.2">
      <c r="A4160" s="405"/>
    </row>
    <row r="4161" spans="1:1" x14ac:dyDescent="0.2">
      <c r="A4161" s="405"/>
    </row>
    <row r="4162" spans="1:1" x14ac:dyDescent="0.2">
      <c r="A4162" s="405"/>
    </row>
    <row r="4163" spans="1:1" x14ac:dyDescent="0.2">
      <c r="A4163" s="405"/>
    </row>
    <row r="4164" spans="1:1" x14ac:dyDescent="0.2">
      <c r="A4164" s="405"/>
    </row>
    <row r="4165" spans="1:1" x14ac:dyDescent="0.2">
      <c r="A4165" s="405"/>
    </row>
    <row r="4166" spans="1:1" x14ac:dyDescent="0.2">
      <c r="A4166" s="405"/>
    </row>
    <row r="4167" spans="1:1" x14ac:dyDescent="0.2">
      <c r="A4167" s="405"/>
    </row>
    <row r="4168" spans="1:1" x14ac:dyDescent="0.2">
      <c r="A4168" s="405"/>
    </row>
    <row r="4169" spans="1:1" x14ac:dyDescent="0.2">
      <c r="A4169" s="405"/>
    </row>
    <row r="4170" spans="1:1" x14ac:dyDescent="0.2">
      <c r="A4170" s="405"/>
    </row>
    <row r="4171" spans="1:1" x14ac:dyDescent="0.2">
      <c r="A4171" s="405"/>
    </row>
    <row r="4172" spans="1:1" x14ac:dyDescent="0.2">
      <c r="A4172" s="405"/>
    </row>
    <row r="4173" spans="1:1" x14ac:dyDescent="0.2">
      <c r="A4173" s="405"/>
    </row>
    <row r="4174" spans="1:1" x14ac:dyDescent="0.2">
      <c r="A4174" s="405"/>
    </row>
    <row r="4175" spans="1:1" x14ac:dyDescent="0.2">
      <c r="A4175" s="405"/>
    </row>
    <row r="4176" spans="1:1" x14ac:dyDescent="0.2">
      <c r="A4176" s="405"/>
    </row>
    <row r="4177" spans="1:1" x14ac:dyDescent="0.2">
      <c r="A4177" s="405"/>
    </row>
    <row r="4178" spans="1:1" x14ac:dyDescent="0.2">
      <c r="A4178" s="405"/>
    </row>
    <row r="4179" spans="1:1" x14ac:dyDescent="0.2">
      <c r="A4179" s="405"/>
    </row>
    <row r="4180" spans="1:1" x14ac:dyDescent="0.2">
      <c r="A4180" s="405"/>
    </row>
    <row r="4181" spans="1:1" x14ac:dyDescent="0.2">
      <c r="A4181" s="405"/>
    </row>
    <row r="4182" spans="1:1" x14ac:dyDescent="0.2">
      <c r="A4182" s="405"/>
    </row>
    <row r="4183" spans="1:1" x14ac:dyDescent="0.2">
      <c r="A4183" s="405"/>
    </row>
    <row r="4184" spans="1:1" x14ac:dyDescent="0.2">
      <c r="A4184" s="405"/>
    </row>
    <row r="4185" spans="1:1" x14ac:dyDescent="0.2">
      <c r="A4185" s="405"/>
    </row>
    <row r="4186" spans="1:1" x14ac:dyDescent="0.2">
      <c r="A4186" s="405"/>
    </row>
    <row r="4187" spans="1:1" x14ac:dyDescent="0.2">
      <c r="A4187" s="405"/>
    </row>
    <row r="4188" spans="1:1" x14ac:dyDescent="0.2">
      <c r="A4188" s="405"/>
    </row>
    <row r="4189" spans="1:1" x14ac:dyDescent="0.2">
      <c r="A4189" s="405"/>
    </row>
    <row r="4190" spans="1:1" x14ac:dyDescent="0.2">
      <c r="A4190" s="405"/>
    </row>
    <row r="4191" spans="1:1" x14ac:dyDescent="0.2">
      <c r="A4191" s="405"/>
    </row>
    <row r="4192" spans="1:1" x14ac:dyDescent="0.2">
      <c r="A4192" s="405"/>
    </row>
    <row r="4193" spans="1:19" x14ac:dyDescent="0.2">
      <c r="A4193" s="405"/>
    </row>
    <row r="4194" spans="1:19" x14ac:dyDescent="0.2">
      <c r="A4194" s="405"/>
    </row>
    <row r="4195" spans="1:19" x14ac:dyDescent="0.2">
      <c r="A4195" s="405"/>
    </row>
    <row r="4196" spans="1:19" x14ac:dyDescent="0.2">
      <c r="A4196" s="405"/>
    </row>
    <row r="4197" spans="1:19" x14ac:dyDescent="0.2">
      <c r="A4197" s="405"/>
    </row>
    <row r="4198" spans="1:19" x14ac:dyDescent="0.2">
      <c r="A4198" s="405"/>
    </row>
    <row r="4199" spans="1:19" x14ac:dyDescent="0.2">
      <c r="A4199" s="405"/>
    </row>
    <row r="4200" spans="1:19" x14ac:dyDescent="0.2">
      <c r="A4200" s="405"/>
    </row>
    <row r="4201" spans="1:19" x14ac:dyDescent="0.2">
      <c r="A4201" s="405"/>
    </row>
    <row r="4202" spans="1:19" x14ac:dyDescent="0.2">
      <c r="A4202" s="405"/>
    </row>
    <row r="4203" spans="1:19" x14ac:dyDescent="0.2">
      <c r="A4203" s="405"/>
    </row>
    <row r="4204" spans="1:19" x14ac:dyDescent="0.2">
      <c r="A4204" s="405"/>
      <c r="E4204" s="404"/>
      <c r="S4204" t="s">
        <v>382</v>
      </c>
    </row>
    <row r="4205" spans="1:19" x14ac:dyDescent="0.2">
      <c r="A4205" s="405"/>
    </row>
    <row r="4206" spans="1:19" x14ac:dyDescent="0.2">
      <c r="A4206" s="405"/>
      <c r="E4206" s="404"/>
      <c r="S4206" t="s">
        <v>382</v>
      </c>
    </row>
    <row r="4207" spans="1:19" x14ac:dyDescent="0.2">
      <c r="A4207" s="405"/>
    </row>
    <row r="4208" spans="1:19" x14ac:dyDescent="0.2">
      <c r="A4208" s="405"/>
    </row>
    <row r="4209" spans="1:19" x14ac:dyDescent="0.2">
      <c r="A4209" s="405"/>
    </row>
    <row r="4210" spans="1:19" x14ac:dyDescent="0.2">
      <c r="A4210" s="405"/>
    </row>
    <row r="4211" spans="1:19" x14ac:dyDescent="0.2">
      <c r="A4211" s="405"/>
    </row>
    <row r="4212" spans="1:19" x14ac:dyDescent="0.2">
      <c r="A4212" s="405"/>
    </row>
    <row r="4213" spans="1:19" x14ac:dyDescent="0.2">
      <c r="A4213" s="405"/>
    </row>
    <row r="4214" spans="1:19" x14ac:dyDescent="0.2">
      <c r="A4214" s="405"/>
      <c r="E4214" s="404"/>
      <c r="S4214" t="s">
        <v>382</v>
      </c>
    </row>
    <row r="4215" spans="1:19" x14ac:dyDescent="0.2">
      <c r="A4215" s="405"/>
    </row>
    <row r="4216" spans="1:19" x14ac:dyDescent="0.2">
      <c r="A4216" s="405"/>
      <c r="E4216" s="404"/>
      <c r="S4216" t="s">
        <v>382</v>
      </c>
    </row>
    <row r="4217" spans="1:19" x14ac:dyDescent="0.2">
      <c r="A4217" s="405"/>
      <c r="E4217" s="404"/>
      <c r="S4217" t="s">
        <v>382</v>
      </c>
    </row>
    <row r="4218" spans="1:19" x14ac:dyDescent="0.2">
      <c r="A4218" s="405"/>
    </row>
    <row r="4219" spans="1:19" x14ac:dyDescent="0.2">
      <c r="A4219" s="405"/>
    </row>
    <row r="4220" spans="1:19" x14ac:dyDescent="0.2">
      <c r="A4220" s="405"/>
    </row>
    <row r="4221" spans="1:19" x14ac:dyDescent="0.2">
      <c r="A4221" s="405"/>
    </row>
    <row r="4222" spans="1:19" x14ac:dyDescent="0.2">
      <c r="A4222" s="405"/>
    </row>
    <row r="4223" spans="1:19" x14ac:dyDescent="0.2">
      <c r="A4223" s="405"/>
    </row>
    <row r="4224" spans="1:19" x14ac:dyDescent="0.2">
      <c r="A4224" s="405"/>
      <c r="E4224" s="404"/>
      <c r="S4224" t="s">
        <v>508</v>
      </c>
    </row>
    <row r="4225" spans="1:19" x14ac:dyDescent="0.2">
      <c r="A4225" s="405"/>
    </row>
    <row r="4226" spans="1:19" x14ac:dyDescent="0.2">
      <c r="A4226" s="405"/>
      <c r="E4226" s="404"/>
      <c r="S4226" t="s">
        <v>382</v>
      </c>
    </row>
    <row r="4227" spans="1:19" x14ac:dyDescent="0.2">
      <c r="A4227" s="405"/>
    </row>
    <row r="4228" spans="1:19" x14ac:dyDescent="0.2">
      <c r="A4228" s="405"/>
    </row>
    <row r="4229" spans="1:19" x14ac:dyDescent="0.2">
      <c r="A4229" s="405"/>
    </row>
    <row r="4230" spans="1:19" x14ac:dyDescent="0.2">
      <c r="A4230" s="405"/>
      <c r="E4230" s="404"/>
      <c r="S4230" t="s">
        <v>508</v>
      </c>
    </row>
    <row r="4231" spans="1:19" x14ac:dyDescent="0.2">
      <c r="A4231" s="405"/>
    </row>
    <row r="4232" spans="1:19" x14ac:dyDescent="0.2">
      <c r="A4232" s="405"/>
    </row>
    <row r="4233" spans="1:19" x14ac:dyDescent="0.2">
      <c r="A4233" s="405"/>
    </row>
    <row r="4234" spans="1:19" x14ac:dyDescent="0.2">
      <c r="A4234" s="405"/>
    </row>
    <row r="4235" spans="1:19" x14ac:dyDescent="0.2">
      <c r="A4235" s="405"/>
    </row>
    <row r="4236" spans="1:19" x14ac:dyDescent="0.2">
      <c r="A4236" s="405"/>
    </row>
    <row r="4237" spans="1:19" x14ac:dyDescent="0.2">
      <c r="A4237" s="405"/>
    </row>
    <row r="4238" spans="1:19" x14ac:dyDescent="0.2">
      <c r="A4238" s="405"/>
    </row>
    <row r="4239" spans="1:19" x14ac:dyDescent="0.2">
      <c r="A4239" s="405"/>
      <c r="E4239" s="404"/>
      <c r="S4239" t="s">
        <v>382</v>
      </c>
    </row>
    <row r="4240" spans="1:19" x14ac:dyDescent="0.2">
      <c r="A4240" s="405"/>
      <c r="E4240" s="404"/>
      <c r="S4240" t="s">
        <v>508</v>
      </c>
    </row>
    <row r="4241" spans="1:19" x14ac:dyDescent="0.2">
      <c r="A4241" s="405"/>
      <c r="E4241" s="404"/>
      <c r="S4241" t="s">
        <v>382</v>
      </c>
    </row>
    <row r="4242" spans="1:19" x14ac:dyDescent="0.2">
      <c r="A4242" s="405"/>
      <c r="E4242" s="404"/>
      <c r="S4242" t="s">
        <v>508</v>
      </c>
    </row>
    <row r="4243" spans="1:19" x14ac:dyDescent="0.2">
      <c r="A4243" s="405"/>
    </row>
    <row r="4244" spans="1:19" x14ac:dyDescent="0.2">
      <c r="A4244" s="405"/>
    </row>
    <row r="4245" spans="1:19" x14ac:dyDescent="0.2">
      <c r="A4245" s="405"/>
    </row>
    <row r="4246" spans="1:19" x14ac:dyDescent="0.2">
      <c r="A4246" s="405"/>
    </row>
    <row r="4247" spans="1:19" x14ac:dyDescent="0.2">
      <c r="A4247" s="405"/>
    </row>
    <row r="4248" spans="1:19" x14ac:dyDescent="0.2">
      <c r="A4248" s="405"/>
    </row>
    <row r="4249" spans="1:19" x14ac:dyDescent="0.2">
      <c r="A4249" s="405"/>
      <c r="E4249" s="404"/>
      <c r="S4249" t="s">
        <v>382</v>
      </c>
    </row>
    <row r="4250" spans="1:19" x14ac:dyDescent="0.2">
      <c r="A4250" s="405"/>
    </row>
    <row r="4251" spans="1:19" x14ac:dyDescent="0.2">
      <c r="A4251" s="405"/>
      <c r="E4251" s="404"/>
      <c r="S4251" t="s">
        <v>382</v>
      </c>
    </row>
    <row r="4252" spans="1:19" x14ac:dyDescent="0.2">
      <c r="A4252" s="405"/>
      <c r="E4252" s="404"/>
      <c r="S4252" t="s">
        <v>382</v>
      </c>
    </row>
    <row r="4253" spans="1:19" x14ac:dyDescent="0.2">
      <c r="A4253" s="405"/>
    </row>
    <row r="4254" spans="1:19" x14ac:dyDescent="0.2">
      <c r="A4254" s="405"/>
    </row>
    <row r="4255" spans="1:19" x14ac:dyDescent="0.2">
      <c r="A4255" s="405"/>
    </row>
    <row r="4256" spans="1:19" x14ac:dyDescent="0.2">
      <c r="A4256" s="405"/>
    </row>
    <row r="4257" spans="1:19" x14ac:dyDescent="0.2">
      <c r="A4257" s="405"/>
    </row>
    <row r="4258" spans="1:19" x14ac:dyDescent="0.2">
      <c r="A4258" s="405"/>
    </row>
    <row r="4259" spans="1:19" x14ac:dyDescent="0.2">
      <c r="A4259" s="405"/>
      <c r="E4259" s="404"/>
      <c r="S4259" t="s">
        <v>508</v>
      </c>
    </row>
    <row r="4260" spans="1:19" x14ac:dyDescent="0.2">
      <c r="A4260" s="405"/>
    </row>
    <row r="4261" spans="1:19" x14ac:dyDescent="0.2">
      <c r="A4261" s="405"/>
      <c r="E4261" s="404"/>
      <c r="S4261" t="s">
        <v>382</v>
      </c>
    </row>
    <row r="4262" spans="1:19" x14ac:dyDescent="0.2">
      <c r="A4262" s="405"/>
      <c r="E4262" s="404"/>
      <c r="S4262" t="s">
        <v>382</v>
      </c>
    </row>
    <row r="4263" spans="1:19" x14ac:dyDescent="0.2">
      <c r="A4263" s="405"/>
    </row>
    <row r="4264" spans="1:19" x14ac:dyDescent="0.2">
      <c r="A4264" s="405"/>
    </row>
    <row r="4265" spans="1:19" x14ac:dyDescent="0.2">
      <c r="A4265" s="405"/>
    </row>
    <row r="4266" spans="1:19" x14ac:dyDescent="0.2">
      <c r="A4266" s="405"/>
    </row>
    <row r="4267" spans="1:19" x14ac:dyDescent="0.2">
      <c r="A4267" s="405"/>
      <c r="E4267" s="404"/>
      <c r="S4267" t="s">
        <v>382</v>
      </c>
    </row>
    <row r="4268" spans="1:19" x14ac:dyDescent="0.2">
      <c r="A4268" s="405"/>
    </row>
    <row r="4269" spans="1:19" x14ac:dyDescent="0.2">
      <c r="A4269" s="405"/>
    </row>
    <row r="4270" spans="1:19" x14ac:dyDescent="0.2">
      <c r="A4270" s="405"/>
    </row>
    <row r="4271" spans="1:19" x14ac:dyDescent="0.2">
      <c r="A4271" s="405"/>
    </row>
    <row r="4272" spans="1:19" x14ac:dyDescent="0.2">
      <c r="A4272" s="405"/>
    </row>
    <row r="4273" spans="1:19" x14ac:dyDescent="0.2">
      <c r="A4273" s="405"/>
    </row>
    <row r="4274" spans="1:19" x14ac:dyDescent="0.2">
      <c r="A4274" s="405"/>
    </row>
    <row r="4275" spans="1:19" x14ac:dyDescent="0.2">
      <c r="A4275" s="405"/>
    </row>
    <row r="4276" spans="1:19" x14ac:dyDescent="0.2">
      <c r="A4276" s="405"/>
      <c r="E4276" s="404"/>
      <c r="S4276" t="s">
        <v>508</v>
      </c>
    </row>
    <row r="4277" spans="1:19" x14ac:dyDescent="0.2">
      <c r="A4277" s="405"/>
    </row>
    <row r="4278" spans="1:19" x14ac:dyDescent="0.2">
      <c r="A4278" s="405"/>
    </row>
    <row r="4279" spans="1:19" x14ac:dyDescent="0.2">
      <c r="A4279" s="405"/>
    </row>
    <row r="4280" spans="1:19" x14ac:dyDescent="0.2">
      <c r="A4280" s="405"/>
    </row>
    <row r="4281" spans="1:19" x14ac:dyDescent="0.2">
      <c r="A4281" s="405"/>
    </row>
    <row r="4282" spans="1:19" x14ac:dyDescent="0.2">
      <c r="A4282" s="405"/>
    </row>
    <row r="4283" spans="1:19" x14ac:dyDescent="0.2">
      <c r="A4283" s="405"/>
    </row>
    <row r="4284" spans="1:19" x14ac:dyDescent="0.2">
      <c r="A4284" s="405"/>
    </row>
    <row r="4285" spans="1:19" x14ac:dyDescent="0.2">
      <c r="A4285" s="405"/>
    </row>
    <row r="4286" spans="1:19" x14ac:dyDescent="0.2">
      <c r="A4286" s="405"/>
    </row>
    <row r="4287" spans="1:19" x14ac:dyDescent="0.2">
      <c r="A4287" s="405"/>
      <c r="E4287" s="404"/>
      <c r="S4287" t="s">
        <v>382</v>
      </c>
    </row>
    <row r="4288" spans="1:19" x14ac:dyDescent="0.2">
      <c r="A4288" s="405"/>
    </row>
    <row r="4289" spans="1:19" x14ac:dyDescent="0.2">
      <c r="A4289" s="405"/>
    </row>
    <row r="4290" spans="1:19" x14ac:dyDescent="0.2">
      <c r="A4290" s="405"/>
    </row>
    <row r="4291" spans="1:19" x14ac:dyDescent="0.2">
      <c r="A4291" s="405"/>
    </row>
    <row r="4292" spans="1:19" x14ac:dyDescent="0.2">
      <c r="A4292" s="405"/>
    </row>
    <row r="4293" spans="1:19" x14ac:dyDescent="0.2">
      <c r="A4293" s="405"/>
      <c r="E4293" s="404"/>
      <c r="S4293" t="s">
        <v>508</v>
      </c>
    </row>
    <row r="4294" spans="1:19" x14ac:dyDescent="0.2">
      <c r="A4294" s="405"/>
      <c r="E4294" s="404"/>
      <c r="S4294" t="s">
        <v>382</v>
      </c>
    </row>
    <row r="4295" spans="1:19" x14ac:dyDescent="0.2">
      <c r="A4295" s="405"/>
    </row>
    <row r="4296" spans="1:19" x14ac:dyDescent="0.2">
      <c r="A4296" s="405"/>
    </row>
    <row r="4297" spans="1:19" x14ac:dyDescent="0.2">
      <c r="A4297" s="405"/>
      <c r="E4297" s="404"/>
      <c r="S4297" t="s">
        <v>382</v>
      </c>
    </row>
    <row r="4298" spans="1:19" x14ac:dyDescent="0.2">
      <c r="A4298" s="405"/>
    </row>
    <row r="4299" spans="1:19" x14ac:dyDescent="0.2">
      <c r="A4299" s="405"/>
    </row>
    <row r="4300" spans="1:19" x14ac:dyDescent="0.2">
      <c r="A4300" s="405"/>
    </row>
    <row r="4301" spans="1:19" x14ac:dyDescent="0.2">
      <c r="A4301" s="405"/>
    </row>
    <row r="4302" spans="1:19" x14ac:dyDescent="0.2">
      <c r="A4302" s="405"/>
      <c r="E4302" s="404"/>
      <c r="S4302" t="s">
        <v>382</v>
      </c>
    </row>
    <row r="4303" spans="1:19" x14ac:dyDescent="0.2">
      <c r="A4303" s="405"/>
    </row>
    <row r="4304" spans="1:19" x14ac:dyDescent="0.2">
      <c r="A4304" s="405"/>
    </row>
    <row r="4305" spans="1:1" x14ac:dyDescent="0.2">
      <c r="A4305" s="405"/>
    </row>
    <row r="4306" spans="1:1" x14ac:dyDescent="0.2">
      <c r="A4306" s="405"/>
    </row>
    <row r="4307" spans="1:1" x14ac:dyDescent="0.2">
      <c r="A4307" s="405"/>
    </row>
    <row r="4308" spans="1:1" x14ac:dyDescent="0.2">
      <c r="A4308" s="405"/>
    </row>
    <row r="4309" spans="1:1" x14ac:dyDescent="0.2">
      <c r="A4309" s="405"/>
    </row>
    <row r="4310" spans="1:1" x14ac:dyDescent="0.2">
      <c r="A4310" s="405"/>
    </row>
    <row r="4311" spans="1:1" x14ac:dyDescent="0.2">
      <c r="A4311" s="405"/>
    </row>
    <row r="4312" spans="1:1" x14ac:dyDescent="0.2">
      <c r="A4312" s="405"/>
    </row>
    <row r="4313" spans="1:1" x14ac:dyDescent="0.2">
      <c r="A4313" s="405"/>
    </row>
    <row r="4314" spans="1:1" x14ac:dyDescent="0.2">
      <c r="A4314" s="405"/>
    </row>
    <row r="4315" spans="1:1" x14ac:dyDescent="0.2">
      <c r="A4315" s="405"/>
    </row>
    <row r="4316" spans="1:1" x14ac:dyDescent="0.2">
      <c r="A4316" s="405"/>
    </row>
    <row r="4317" spans="1:1" x14ac:dyDescent="0.2">
      <c r="A4317" s="405"/>
    </row>
    <row r="4318" spans="1:1" x14ac:dyDescent="0.2">
      <c r="A4318" s="405"/>
    </row>
    <row r="4319" spans="1:1" x14ac:dyDescent="0.2">
      <c r="A4319" s="405"/>
    </row>
    <row r="4320" spans="1:1" x14ac:dyDescent="0.2">
      <c r="A4320" s="405"/>
    </row>
    <row r="4321" spans="1:19" x14ac:dyDescent="0.2">
      <c r="A4321" s="405"/>
    </row>
    <row r="4322" spans="1:19" x14ac:dyDescent="0.2">
      <c r="A4322" s="405"/>
      <c r="E4322" s="404"/>
      <c r="S4322" t="s">
        <v>382</v>
      </c>
    </row>
    <row r="4323" spans="1:19" x14ac:dyDescent="0.2">
      <c r="A4323" s="405"/>
    </row>
    <row r="4324" spans="1:19" x14ac:dyDescent="0.2">
      <c r="A4324" s="405"/>
    </row>
    <row r="4325" spans="1:19" x14ac:dyDescent="0.2">
      <c r="A4325" s="405"/>
    </row>
    <row r="4326" spans="1:19" x14ac:dyDescent="0.2">
      <c r="A4326" s="405"/>
    </row>
    <row r="4327" spans="1:19" x14ac:dyDescent="0.2">
      <c r="A4327" s="405"/>
    </row>
    <row r="4328" spans="1:19" x14ac:dyDescent="0.2">
      <c r="A4328" s="405"/>
    </row>
    <row r="4329" spans="1:19" x14ac:dyDescent="0.2">
      <c r="A4329" s="405"/>
    </row>
    <row r="4330" spans="1:19" x14ac:dyDescent="0.2">
      <c r="A4330" s="405"/>
    </row>
    <row r="4331" spans="1:19" x14ac:dyDescent="0.2">
      <c r="A4331" s="405"/>
    </row>
    <row r="4332" spans="1:19" x14ac:dyDescent="0.2">
      <c r="A4332" s="405"/>
    </row>
    <row r="4333" spans="1:19" x14ac:dyDescent="0.2">
      <c r="A4333" s="405"/>
    </row>
    <row r="4334" spans="1:19" x14ac:dyDescent="0.2">
      <c r="A4334" s="405"/>
    </row>
    <row r="4335" spans="1:19" x14ac:dyDescent="0.2">
      <c r="A4335" s="405"/>
    </row>
    <row r="4336" spans="1:19" x14ac:dyDescent="0.2">
      <c r="A4336" s="405"/>
    </row>
    <row r="4337" spans="1:1" x14ac:dyDescent="0.2">
      <c r="A4337" s="405"/>
    </row>
    <row r="4338" spans="1:1" x14ac:dyDescent="0.2">
      <c r="A4338" s="405"/>
    </row>
    <row r="4339" spans="1:1" x14ac:dyDescent="0.2">
      <c r="A4339" s="405"/>
    </row>
    <row r="4340" spans="1:1" x14ac:dyDescent="0.2">
      <c r="A4340" s="405"/>
    </row>
    <row r="4341" spans="1:1" x14ac:dyDescent="0.2">
      <c r="A4341" s="405"/>
    </row>
    <row r="4342" spans="1:1" x14ac:dyDescent="0.2">
      <c r="A4342" s="405"/>
    </row>
    <row r="4343" spans="1:1" x14ac:dyDescent="0.2">
      <c r="A4343" s="405"/>
    </row>
    <row r="4344" spans="1:1" x14ac:dyDescent="0.2">
      <c r="A4344" s="405"/>
    </row>
    <row r="4345" spans="1:1" x14ac:dyDescent="0.2">
      <c r="A4345" s="405"/>
    </row>
    <row r="4346" spans="1:1" x14ac:dyDescent="0.2">
      <c r="A4346" s="405"/>
    </row>
    <row r="4347" spans="1:1" x14ac:dyDescent="0.2">
      <c r="A4347" s="405"/>
    </row>
    <row r="4348" spans="1:1" x14ac:dyDescent="0.2">
      <c r="A4348" s="405"/>
    </row>
    <row r="4349" spans="1:1" x14ac:dyDescent="0.2">
      <c r="A4349" s="405"/>
    </row>
    <row r="4350" spans="1:1" x14ac:dyDescent="0.2">
      <c r="A4350" s="405"/>
    </row>
    <row r="4351" spans="1:1" x14ac:dyDescent="0.2">
      <c r="A4351" s="405"/>
    </row>
    <row r="4352" spans="1:1" x14ac:dyDescent="0.2">
      <c r="A4352" s="405"/>
    </row>
    <row r="4353" spans="1:1" x14ac:dyDescent="0.2">
      <c r="A4353" s="405"/>
    </row>
    <row r="4354" spans="1:1" x14ac:dyDescent="0.2">
      <c r="A4354" s="405"/>
    </row>
    <row r="4355" spans="1:1" x14ac:dyDescent="0.2">
      <c r="A4355" s="405"/>
    </row>
    <row r="4356" spans="1:1" x14ac:dyDescent="0.2">
      <c r="A4356" s="405"/>
    </row>
    <row r="4357" spans="1:1" x14ac:dyDescent="0.2">
      <c r="A4357" s="405"/>
    </row>
    <row r="4358" spans="1:1" x14ac:dyDescent="0.2">
      <c r="A4358" s="405"/>
    </row>
    <row r="4359" spans="1:1" x14ac:dyDescent="0.2">
      <c r="A4359" s="405"/>
    </row>
    <row r="4360" spans="1:1" x14ac:dyDescent="0.2">
      <c r="A4360" s="405"/>
    </row>
    <row r="4361" spans="1:1" x14ac:dyDescent="0.2">
      <c r="A4361" s="405"/>
    </row>
    <row r="4362" spans="1:1" x14ac:dyDescent="0.2">
      <c r="A4362" s="405"/>
    </row>
    <row r="4363" spans="1:1" x14ac:dyDescent="0.2">
      <c r="A4363" s="405"/>
    </row>
    <row r="4364" spans="1:1" x14ac:dyDescent="0.2">
      <c r="A4364" s="405"/>
    </row>
    <row r="4365" spans="1:1" x14ac:dyDescent="0.2">
      <c r="A4365" s="405"/>
    </row>
    <row r="4366" spans="1:1" x14ac:dyDescent="0.2">
      <c r="A4366" s="405"/>
    </row>
    <row r="4367" spans="1:1" x14ac:dyDescent="0.2">
      <c r="A4367" s="405"/>
    </row>
    <row r="4368" spans="1:1" x14ac:dyDescent="0.2">
      <c r="A4368" s="405"/>
    </row>
    <row r="4369" spans="1:1" x14ac:dyDescent="0.2">
      <c r="A4369" s="405"/>
    </row>
    <row r="4370" spans="1:1" x14ac:dyDescent="0.2">
      <c r="A4370" s="405"/>
    </row>
    <row r="4371" spans="1:1" x14ac:dyDescent="0.2">
      <c r="A4371" s="405"/>
    </row>
    <row r="4372" spans="1:1" x14ac:dyDescent="0.2">
      <c r="A4372" s="405"/>
    </row>
    <row r="4373" spans="1:1" x14ac:dyDescent="0.2">
      <c r="A4373" s="405"/>
    </row>
    <row r="4374" spans="1:1" x14ac:dyDescent="0.2">
      <c r="A4374" s="405"/>
    </row>
    <row r="4375" spans="1:1" x14ac:dyDescent="0.2">
      <c r="A4375" s="405"/>
    </row>
    <row r="4376" spans="1:1" x14ac:dyDescent="0.2">
      <c r="A4376" s="405"/>
    </row>
    <row r="4377" spans="1:1" x14ac:dyDescent="0.2">
      <c r="A4377" s="405"/>
    </row>
    <row r="4378" spans="1:1" x14ac:dyDescent="0.2">
      <c r="A4378" s="405"/>
    </row>
    <row r="4379" spans="1:1" x14ac:dyDescent="0.2">
      <c r="A4379" s="405"/>
    </row>
    <row r="4380" spans="1:1" x14ac:dyDescent="0.2">
      <c r="A4380" s="405"/>
    </row>
    <row r="4381" spans="1:1" x14ac:dyDescent="0.2">
      <c r="A4381" s="405"/>
    </row>
    <row r="4382" spans="1:1" x14ac:dyDescent="0.2">
      <c r="A4382" s="405"/>
    </row>
    <row r="4383" spans="1:1" x14ac:dyDescent="0.2">
      <c r="A4383" s="405"/>
    </row>
    <row r="4384" spans="1:1" x14ac:dyDescent="0.2">
      <c r="A4384" s="405"/>
    </row>
    <row r="4385" spans="1:1" x14ac:dyDescent="0.2">
      <c r="A4385" s="405"/>
    </row>
    <row r="4386" spans="1:1" x14ac:dyDescent="0.2">
      <c r="A4386" s="405"/>
    </row>
    <row r="4387" spans="1:1" x14ac:dyDescent="0.2">
      <c r="A4387" s="405"/>
    </row>
    <row r="4388" spans="1:1" x14ac:dyDescent="0.2">
      <c r="A4388" s="405"/>
    </row>
    <row r="4389" spans="1:1" x14ac:dyDescent="0.2">
      <c r="A4389" s="405"/>
    </row>
    <row r="4390" spans="1:1" x14ac:dyDescent="0.2">
      <c r="A4390" s="405"/>
    </row>
    <row r="4391" spans="1:1" x14ac:dyDescent="0.2">
      <c r="A4391" s="405"/>
    </row>
    <row r="4392" spans="1:1" x14ac:dyDescent="0.2">
      <c r="A4392" s="405"/>
    </row>
    <row r="4393" spans="1:1" x14ac:dyDescent="0.2">
      <c r="A4393" s="405"/>
    </row>
    <row r="4394" spans="1:1" x14ac:dyDescent="0.2">
      <c r="A4394" s="405"/>
    </row>
    <row r="4395" spans="1:1" x14ac:dyDescent="0.2">
      <c r="A4395" s="405"/>
    </row>
    <row r="4396" spans="1:1" x14ac:dyDescent="0.2">
      <c r="A4396" s="405"/>
    </row>
    <row r="4397" spans="1:1" x14ac:dyDescent="0.2">
      <c r="A4397" s="405"/>
    </row>
    <row r="4398" spans="1:1" x14ac:dyDescent="0.2">
      <c r="A4398" s="405"/>
    </row>
    <row r="4399" spans="1:1" x14ac:dyDescent="0.2">
      <c r="A4399" s="405"/>
    </row>
    <row r="4400" spans="1:1" x14ac:dyDescent="0.2">
      <c r="A4400" s="405"/>
    </row>
    <row r="4401" spans="1:1" x14ac:dyDescent="0.2">
      <c r="A4401" s="405"/>
    </row>
    <row r="4402" spans="1:1" x14ac:dyDescent="0.2">
      <c r="A4402" s="405"/>
    </row>
    <row r="4403" spans="1:1" x14ac:dyDescent="0.2">
      <c r="A4403" s="405"/>
    </row>
    <row r="4404" spans="1:1" x14ac:dyDescent="0.2">
      <c r="A4404" s="405"/>
    </row>
    <row r="4405" spans="1:1" x14ac:dyDescent="0.2">
      <c r="A4405" s="405"/>
    </row>
    <row r="4406" spans="1:1" x14ac:dyDescent="0.2">
      <c r="A4406" s="405"/>
    </row>
    <row r="4407" spans="1:1" x14ac:dyDescent="0.2">
      <c r="A4407" s="405"/>
    </row>
    <row r="4408" spans="1:1" x14ac:dyDescent="0.2">
      <c r="A4408" s="405"/>
    </row>
    <row r="4409" spans="1:1" x14ac:dyDescent="0.2">
      <c r="A4409" s="405"/>
    </row>
    <row r="4410" spans="1:1" x14ac:dyDescent="0.2">
      <c r="A4410" s="405"/>
    </row>
    <row r="4411" spans="1:1" x14ac:dyDescent="0.2">
      <c r="A4411" s="405"/>
    </row>
    <row r="4412" spans="1:1" x14ac:dyDescent="0.2">
      <c r="A4412" s="405"/>
    </row>
    <row r="4413" spans="1:1" x14ac:dyDescent="0.2">
      <c r="A4413" s="405"/>
    </row>
    <row r="4414" spans="1:1" x14ac:dyDescent="0.2">
      <c r="A4414" s="405"/>
    </row>
    <row r="4415" spans="1:1" x14ac:dyDescent="0.2">
      <c r="A4415" s="405"/>
    </row>
    <row r="4416" spans="1:1" x14ac:dyDescent="0.2">
      <c r="A4416" s="405"/>
    </row>
    <row r="4417" spans="1:1" x14ac:dyDescent="0.2">
      <c r="A4417" s="405"/>
    </row>
    <row r="4418" spans="1:1" x14ac:dyDescent="0.2">
      <c r="A4418" s="405"/>
    </row>
    <row r="4419" spans="1:1" x14ac:dyDescent="0.2">
      <c r="A4419" s="405"/>
    </row>
    <row r="4420" spans="1:1" x14ac:dyDescent="0.2">
      <c r="A4420" s="405"/>
    </row>
    <row r="4421" spans="1:1" x14ac:dyDescent="0.2">
      <c r="A4421" s="405"/>
    </row>
    <row r="4422" spans="1:1" x14ac:dyDescent="0.2">
      <c r="A4422" s="405"/>
    </row>
    <row r="4423" spans="1:1" x14ac:dyDescent="0.2">
      <c r="A4423" s="405"/>
    </row>
    <row r="4424" spans="1:1" x14ac:dyDescent="0.2">
      <c r="A4424" s="405"/>
    </row>
    <row r="4425" spans="1:1" x14ac:dyDescent="0.2">
      <c r="A4425" s="405"/>
    </row>
    <row r="4426" spans="1:1" x14ac:dyDescent="0.2">
      <c r="A4426" s="405"/>
    </row>
    <row r="4427" spans="1:1" x14ac:dyDescent="0.2">
      <c r="A4427" s="405"/>
    </row>
    <row r="4428" spans="1:1" x14ac:dyDescent="0.2">
      <c r="A4428" s="405"/>
    </row>
    <row r="4429" spans="1:1" x14ac:dyDescent="0.2">
      <c r="A4429" s="405"/>
    </row>
    <row r="4430" spans="1:1" x14ac:dyDescent="0.2">
      <c r="A4430" s="405"/>
    </row>
    <row r="4431" spans="1:1" x14ac:dyDescent="0.2">
      <c r="A4431" s="405"/>
    </row>
    <row r="4432" spans="1:1" x14ac:dyDescent="0.2">
      <c r="A4432" s="405"/>
    </row>
    <row r="4433" spans="1:1" x14ac:dyDescent="0.2">
      <c r="A4433" s="405"/>
    </row>
    <row r="4434" spans="1:1" x14ac:dyDescent="0.2">
      <c r="A4434" s="405"/>
    </row>
    <row r="4435" spans="1:1" x14ac:dyDescent="0.2">
      <c r="A4435" s="405"/>
    </row>
    <row r="4436" spans="1:1" x14ac:dyDescent="0.2">
      <c r="A4436" s="405"/>
    </row>
    <row r="4437" spans="1:1" x14ac:dyDescent="0.2">
      <c r="A4437" s="405"/>
    </row>
    <row r="4438" spans="1:1" x14ac:dyDescent="0.2">
      <c r="A4438" s="405"/>
    </row>
    <row r="4439" spans="1:1" x14ac:dyDescent="0.2">
      <c r="A4439" s="405"/>
    </row>
    <row r="4440" spans="1:1" x14ac:dyDescent="0.2">
      <c r="A4440" s="405"/>
    </row>
    <row r="4441" spans="1:1" x14ac:dyDescent="0.2">
      <c r="A4441" s="405"/>
    </row>
    <row r="4442" spans="1:1" x14ac:dyDescent="0.2">
      <c r="A4442" s="405"/>
    </row>
    <row r="4443" spans="1:1" x14ac:dyDescent="0.2">
      <c r="A4443" s="405"/>
    </row>
    <row r="4444" spans="1:1" x14ac:dyDescent="0.2">
      <c r="A4444" s="405"/>
    </row>
    <row r="4445" spans="1:1" x14ac:dyDescent="0.2">
      <c r="A4445" s="405"/>
    </row>
    <row r="4446" spans="1:1" x14ac:dyDescent="0.2">
      <c r="A4446" s="405"/>
    </row>
    <row r="4447" spans="1:1" x14ac:dyDescent="0.2">
      <c r="A4447" s="405"/>
    </row>
    <row r="4448" spans="1:1" x14ac:dyDescent="0.2">
      <c r="A4448" s="405"/>
    </row>
    <row r="4449" spans="1:9" x14ac:dyDescent="0.2">
      <c r="A4449" s="405"/>
    </row>
    <row r="4450" spans="1:9" x14ac:dyDescent="0.2">
      <c r="A4450" s="405"/>
    </row>
    <row r="4451" spans="1:9" x14ac:dyDescent="0.2">
      <c r="A4451" s="405"/>
    </row>
    <row r="4452" spans="1:9" x14ac:dyDescent="0.2">
      <c r="A4452" s="405"/>
      <c r="H4452" s="19"/>
      <c r="I4452" s="19"/>
    </row>
    <row r="4453" spans="1:9" x14ac:dyDescent="0.2">
      <c r="A4453" s="405"/>
    </row>
    <row r="4454" spans="1:9" x14ac:dyDescent="0.2">
      <c r="A4454" s="405"/>
    </row>
    <row r="4455" spans="1:9" x14ac:dyDescent="0.2">
      <c r="A4455" s="405"/>
    </row>
    <row r="4456" spans="1:9" x14ac:dyDescent="0.2">
      <c r="A4456" s="405"/>
    </row>
    <row r="4457" spans="1:9" x14ac:dyDescent="0.2">
      <c r="A4457" s="405"/>
    </row>
    <row r="4458" spans="1:9" x14ac:dyDescent="0.2">
      <c r="A4458" s="405"/>
    </row>
    <row r="4459" spans="1:9" x14ac:dyDescent="0.2">
      <c r="A4459" s="405"/>
    </row>
    <row r="4460" spans="1:9" x14ac:dyDescent="0.2">
      <c r="A4460" s="405"/>
    </row>
    <row r="4461" spans="1:9" x14ac:dyDescent="0.2">
      <c r="A4461" s="405"/>
    </row>
    <row r="4462" spans="1:9" x14ac:dyDescent="0.2">
      <c r="A4462" s="405"/>
      <c r="H4462" s="19"/>
      <c r="I4462" s="19"/>
    </row>
    <row r="4463" spans="1:9" x14ac:dyDescent="0.2">
      <c r="A4463" s="405"/>
    </row>
    <row r="4464" spans="1:9" x14ac:dyDescent="0.2">
      <c r="A4464" s="405"/>
    </row>
    <row r="4465" spans="1:1" x14ac:dyDescent="0.2">
      <c r="A4465" s="405"/>
    </row>
    <row r="4466" spans="1:1" x14ac:dyDescent="0.2">
      <c r="A4466" s="405"/>
    </row>
    <row r="4467" spans="1:1" x14ac:dyDescent="0.2">
      <c r="A4467" s="405"/>
    </row>
    <row r="4468" spans="1:1" x14ac:dyDescent="0.2">
      <c r="A4468" s="405"/>
    </row>
    <row r="4469" spans="1:1" x14ac:dyDescent="0.2">
      <c r="A4469" s="405"/>
    </row>
    <row r="4470" spans="1:1" x14ac:dyDescent="0.2">
      <c r="A4470" s="405"/>
    </row>
    <row r="4471" spans="1:1" x14ac:dyDescent="0.2">
      <c r="A4471" s="405"/>
    </row>
    <row r="4472" spans="1:1" x14ac:dyDescent="0.2">
      <c r="A4472" s="405"/>
    </row>
    <row r="4473" spans="1:1" x14ac:dyDescent="0.2">
      <c r="A4473" s="405"/>
    </row>
    <row r="4474" spans="1:1" x14ac:dyDescent="0.2">
      <c r="A4474" s="405"/>
    </row>
    <row r="4475" spans="1:1" x14ac:dyDescent="0.2">
      <c r="A4475" s="405"/>
    </row>
    <row r="4476" spans="1:1" x14ac:dyDescent="0.2">
      <c r="A4476" s="405"/>
    </row>
    <row r="4477" spans="1:1" x14ac:dyDescent="0.2">
      <c r="A4477" s="405"/>
    </row>
    <row r="4478" spans="1:1" x14ac:dyDescent="0.2">
      <c r="A4478" s="405"/>
    </row>
    <row r="4479" spans="1:1" x14ac:dyDescent="0.2">
      <c r="A4479" s="405"/>
    </row>
    <row r="4480" spans="1:1" x14ac:dyDescent="0.2">
      <c r="A4480" s="405"/>
    </row>
    <row r="4481" spans="1:9" x14ac:dyDescent="0.2">
      <c r="A4481" s="405"/>
    </row>
    <row r="4482" spans="1:9" x14ac:dyDescent="0.2">
      <c r="A4482" s="405"/>
    </row>
    <row r="4483" spans="1:9" x14ac:dyDescent="0.2">
      <c r="A4483" s="405"/>
    </row>
    <row r="4484" spans="1:9" x14ac:dyDescent="0.2">
      <c r="A4484" s="405"/>
    </row>
    <row r="4485" spans="1:9" x14ac:dyDescent="0.2">
      <c r="A4485" s="405"/>
    </row>
    <row r="4486" spans="1:9" x14ac:dyDescent="0.2">
      <c r="A4486" s="405"/>
    </row>
    <row r="4487" spans="1:9" x14ac:dyDescent="0.2">
      <c r="A4487" s="405"/>
      <c r="H4487" s="19"/>
      <c r="I4487" s="19"/>
    </row>
    <row r="4488" spans="1:9" x14ac:dyDescent="0.2">
      <c r="A4488" s="405"/>
    </row>
    <row r="4489" spans="1:9" x14ac:dyDescent="0.2">
      <c r="A4489" s="405"/>
    </row>
    <row r="4490" spans="1:9" x14ac:dyDescent="0.2">
      <c r="A4490" s="405"/>
    </row>
    <row r="4491" spans="1:9" x14ac:dyDescent="0.2">
      <c r="A4491" s="405"/>
    </row>
    <row r="4492" spans="1:9" x14ac:dyDescent="0.2">
      <c r="A4492" s="405"/>
    </row>
    <row r="4493" spans="1:9" x14ac:dyDescent="0.2">
      <c r="A4493" s="405"/>
    </row>
    <row r="4494" spans="1:9" x14ac:dyDescent="0.2">
      <c r="A4494" s="405"/>
      <c r="H4494" s="19"/>
      <c r="I4494" s="19"/>
    </row>
    <row r="4495" spans="1:9" x14ac:dyDescent="0.2">
      <c r="A4495" s="405"/>
    </row>
    <row r="4496" spans="1:9" x14ac:dyDescent="0.2">
      <c r="A4496" s="405"/>
    </row>
    <row r="4497" spans="1:9" x14ac:dyDescent="0.2">
      <c r="A4497" s="405"/>
      <c r="H4497" s="19"/>
      <c r="I4497" s="19"/>
    </row>
    <row r="4498" spans="1:9" x14ac:dyDescent="0.2">
      <c r="A4498" s="405"/>
    </row>
    <row r="4499" spans="1:9" x14ac:dyDescent="0.2">
      <c r="A4499" s="405"/>
      <c r="H4499" s="19"/>
      <c r="I4499" s="19"/>
    </row>
    <row r="4500" spans="1:9" x14ac:dyDescent="0.2">
      <c r="A4500" s="405"/>
    </row>
    <row r="4501" spans="1:9" x14ac:dyDescent="0.2">
      <c r="A4501" s="405"/>
    </row>
    <row r="4502" spans="1:9" x14ac:dyDescent="0.2">
      <c r="A4502" s="405"/>
    </row>
    <row r="4503" spans="1:9" x14ac:dyDescent="0.2">
      <c r="A4503" s="405"/>
    </row>
    <row r="4504" spans="1:9" x14ac:dyDescent="0.2">
      <c r="A4504" s="405"/>
    </row>
    <row r="4505" spans="1:9" x14ac:dyDescent="0.2">
      <c r="A4505" s="405"/>
    </row>
    <row r="4506" spans="1:9" x14ac:dyDescent="0.2">
      <c r="A4506" s="405"/>
    </row>
    <row r="4507" spans="1:9" x14ac:dyDescent="0.2">
      <c r="A4507" s="405"/>
    </row>
    <row r="4508" spans="1:9" x14ac:dyDescent="0.2">
      <c r="A4508" s="405"/>
      <c r="H4508" s="19"/>
      <c r="I4508" s="19"/>
    </row>
    <row r="4509" spans="1:9" x14ac:dyDescent="0.2">
      <c r="A4509" s="405"/>
    </row>
    <row r="4510" spans="1:9" x14ac:dyDescent="0.2">
      <c r="A4510" s="405"/>
    </row>
    <row r="4511" spans="1:9" x14ac:dyDescent="0.2">
      <c r="A4511" s="405"/>
    </row>
    <row r="4512" spans="1:9" x14ac:dyDescent="0.2">
      <c r="A4512" s="405"/>
    </row>
    <row r="4513" spans="1:9" x14ac:dyDescent="0.2">
      <c r="A4513" s="405"/>
      <c r="H4513" s="19"/>
      <c r="I4513" s="19"/>
    </row>
    <row r="4514" spans="1:9" x14ac:dyDescent="0.2">
      <c r="A4514" s="405"/>
    </row>
    <row r="4515" spans="1:9" x14ac:dyDescent="0.2">
      <c r="A4515" s="405"/>
    </row>
    <row r="4516" spans="1:9" x14ac:dyDescent="0.2">
      <c r="A4516" s="405"/>
    </row>
    <row r="4517" spans="1:9" x14ac:dyDescent="0.2">
      <c r="A4517" s="405"/>
    </row>
    <row r="4518" spans="1:9" x14ac:dyDescent="0.2">
      <c r="A4518" s="405"/>
      <c r="H4518" s="19"/>
      <c r="I4518" s="19"/>
    </row>
    <row r="4519" spans="1:9" x14ac:dyDescent="0.2">
      <c r="A4519" s="405"/>
    </row>
    <row r="4520" spans="1:9" x14ac:dyDescent="0.2">
      <c r="A4520" s="405"/>
    </row>
    <row r="4521" spans="1:9" x14ac:dyDescent="0.2">
      <c r="A4521" s="405"/>
    </row>
    <row r="4522" spans="1:9" x14ac:dyDescent="0.2">
      <c r="A4522" s="405"/>
    </row>
    <row r="4523" spans="1:9" x14ac:dyDescent="0.2">
      <c r="A4523" s="405"/>
      <c r="H4523" s="19"/>
      <c r="I4523" s="19"/>
    </row>
    <row r="4524" spans="1:9" x14ac:dyDescent="0.2">
      <c r="A4524" s="405"/>
    </row>
    <row r="4525" spans="1:9" x14ac:dyDescent="0.2">
      <c r="A4525" s="405"/>
    </row>
    <row r="4526" spans="1:9" x14ac:dyDescent="0.2">
      <c r="A4526" s="405"/>
    </row>
    <row r="4527" spans="1:9" x14ac:dyDescent="0.2">
      <c r="A4527" s="405"/>
    </row>
    <row r="4528" spans="1:9" x14ac:dyDescent="0.2">
      <c r="A4528" s="405"/>
    </row>
    <row r="4529" spans="1:9" x14ac:dyDescent="0.2">
      <c r="A4529" s="405"/>
      <c r="H4529" s="19"/>
      <c r="I4529" s="19"/>
    </row>
    <row r="4530" spans="1:9" x14ac:dyDescent="0.2">
      <c r="A4530" s="405"/>
    </row>
    <row r="4531" spans="1:9" x14ac:dyDescent="0.2">
      <c r="A4531" s="405"/>
    </row>
    <row r="4532" spans="1:9" x14ac:dyDescent="0.2">
      <c r="A4532" s="405"/>
    </row>
    <row r="4533" spans="1:9" x14ac:dyDescent="0.2">
      <c r="A4533" s="405"/>
    </row>
    <row r="4534" spans="1:9" x14ac:dyDescent="0.2">
      <c r="A4534" s="405"/>
      <c r="H4534" s="19"/>
      <c r="I4534" s="19"/>
    </row>
    <row r="4535" spans="1:9" x14ac:dyDescent="0.2">
      <c r="A4535" s="405"/>
    </row>
    <row r="4536" spans="1:9" x14ac:dyDescent="0.2">
      <c r="A4536" s="405"/>
    </row>
    <row r="4537" spans="1:9" x14ac:dyDescent="0.2">
      <c r="A4537" s="405"/>
    </row>
    <row r="4538" spans="1:9" x14ac:dyDescent="0.2">
      <c r="A4538" s="405"/>
    </row>
    <row r="4539" spans="1:9" x14ac:dyDescent="0.2">
      <c r="A4539" s="405"/>
    </row>
    <row r="4540" spans="1:9" x14ac:dyDescent="0.2">
      <c r="A4540" s="405"/>
    </row>
    <row r="4541" spans="1:9" x14ac:dyDescent="0.2">
      <c r="A4541" s="405"/>
    </row>
    <row r="4542" spans="1:9" x14ac:dyDescent="0.2">
      <c r="A4542" s="405"/>
    </row>
    <row r="4543" spans="1:9" x14ac:dyDescent="0.2">
      <c r="A4543" s="405"/>
      <c r="H4543" s="19"/>
      <c r="I4543" s="19"/>
    </row>
    <row r="4544" spans="1:9" x14ac:dyDescent="0.2">
      <c r="A4544" s="405"/>
    </row>
    <row r="4545" spans="1:9" x14ac:dyDescent="0.2">
      <c r="A4545" s="405"/>
      <c r="H4545" s="19"/>
      <c r="I4545" s="19"/>
    </row>
    <row r="4546" spans="1:9" x14ac:dyDescent="0.2">
      <c r="A4546" s="405"/>
    </row>
    <row r="4547" spans="1:9" x14ac:dyDescent="0.2">
      <c r="A4547" s="405"/>
    </row>
    <row r="4548" spans="1:9" x14ac:dyDescent="0.2">
      <c r="A4548" s="405"/>
      <c r="H4548" s="19"/>
      <c r="I4548" s="19"/>
    </row>
    <row r="4549" spans="1:9" x14ac:dyDescent="0.2">
      <c r="A4549" s="405"/>
    </row>
    <row r="4550" spans="1:9" x14ac:dyDescent="0.2">
      <c r="A4550" s="405"/>
    </row>
    <row r="4551" spans="1:9" x14ac:dyDescent="0.2">
      <c r="A4551" s="405"/>
    </row>
    <row r="4552" spans="1:9" x14ac:dyDescent="0.2">
      <c r="A4552" s="405"/>
    </row>
    <row r="4553" spans="1:9" x14ac:dyDescent="0.2">
      <c r="A4553" s="405"/>
      <c r="H4553" s="19"/>
      <c r="I4553" s="19"/>
    </row>
    <row r="4554" spans="1:9" x14ac:dyDescent="0.2">
      <c r="A4554" s="405"/>
    </row>
    <row r="4555" spans="1:9" x14ac:dyDescent="0.2">
      <c r="A4555" s="405"/>
    </row>
    <row r="4556" spans="1:9" x14ac:dyDescent="0.2">
      <c r="A4556" s="405"/>
    </row>
    <row r="4557" spans="1:9" x14ac:dyDescent="0.2">
      <c r="A4557" s="405"/>
    </row>
    <row r="4558" spans="1:9" x14ac:dyDescent="0.2">
      <c r="A4558" s="405"/>
      <c r="H4558" s="19"/>
      <c r="I4558" s="19"/>
    </row>
    <row r="4559" spans="1:9" x14ac:dyDescent="0.2">
      <c r="A4559" s="405"/>
    </row>
    <row r="4560" spans="1:9" x14ac:dyDescent="0.2">
      <c r="A4560" s="405"/>
    </row>
    <row r="4561" spans="1:9" x14ac:dyDescent="0.2">
      <c r="A4561" s="405"/>
    </row>
    <row r="4562" spans="1:9" x14ac:dyDescent="0.2">
      <c r="A4562" s="405"/>
    </row>
    <row r="4563" spans="1:9" x14ac:dyDescent="0.2">
      <c r="A4563" s="405"/>
    </row>
    <row r="4564" spans="1:9" x14ac:dyDescent="0.2">
      <c r="A4564" s="405"/>
    </row>
    <row r="4565" spans="1:9" x14ac:dyDescent="0.2">
      <c r="A4565" s="405"/>
    </row>
    <row r="4566" spans="1:9" x14ac:dyDescent="0.2">
      <c r="A4566" s="405"/>
    </row>
    <row r="4567" spans="1:9" x14ac:dyDescent="0.2">
      <c r="A4567" s="405"/>
    </row>
    <row r="4568" spans="1:9" x14ac:dyDescent="0.2">
      <c r="A4568" s="405"/>
    </row>
    <row r="4569" spans="1:9" x14ac:dyDescent="0.2">
      <c r="A4569" s="405"/>
    </row>
    <row r="4570" spans="1:9" x14ac:dyDescent="0.2">
      <c r="A4570" s="405"/>
    </row>
    <row r="4571" spans="1:9" x14ac:dyDescent="0.2">
      <c r="A4571" s="405"/>
    </row>
    <row r="4572" spans="1:9" x14ac:dyDescent="0.2">
      <c r="A4572" s="405"/>
    </row>
    <row r="4573" spans="1:9" x14ac:dyDescent="0.2">
      <c r="A4573" s="405"/>
    </row>
    <row r="4574" spans="1:9" x14ac:dyDescent="0.2">
      <c r="A4574" s="405"/>
    </row>
    <row r="4575" spans="1:9" x14ac:dyDescent="0.2">
      <c r="A4575" s="405"/>
    </row>
    <row r="4576" spans="1:9" x14ac:dyDescent="0.2">
      <c r="A4576" s="405"/>
      <c r="H4576" s="19"/>
      <c r="I4576" s="19"/>
    </row>
    <row r="4577" spans="1:9" x14ac:dyDescent="0.2">
      <c r="A4577" s="405"/>
      <c r="H4577" s="19"/>
      <c r="I4577" s="19"/>
    </row>
    <row r="4578" spans="1:9" x14ac:dyDescent="0.2">
      <c r="A4578" s="405"/>
    </row>
    <row r="4579" spans="1:9" x14ac:dyDescent="0.2">
      <c r="A4579" s="405"/>
      <c r="H4579" s="19"/>
      <c r="I4579" s="19"/>
    </row>
    <row r="4580" spans="1:9" x14ac:dyDescent="0.2">
      <c r="A4580" s="405"/>
      <c r="H4580" s="19"/>
      <c r="I4580" s="19"/>
    </row>
    <row r="4581" spans="1:9" x14ac:dyDescent="0.2">
      <c r="A4581" s="405"/>
      <c r="H4581" s="19"/>
      <c r="I4581" s="19"/>
    </row>
    <row r="4582" spans="1:9" x14ac:dyDescent="0.2">
      <c r="A4582" s="405"/>
      <c r="H4582" s="19"/>
      <c r="I4582" s="19"/>
    </row>
    <row r="4583" spans="1:9" x14ac:dyDescent="0.2">
      <c r="A4583" s="405"/>
      <c r="H4583" s="19"/>
      <c r="I4583" s="19"/>
    </row>
    <row r="4584" spans="1:9" x14ac:dyDescent="0.2">
      <c r="A4584" s="405"/>
      <c r="H4584" s="19"/>
      <c r="I4584" s="19"/>
    </row>
    <row r="4585" spans="1:9" x14ac:dyDescent="0.2">
      <c r="A4585" s="405"/>
    </row>
    <row r="4586" spans="1:9" x14ac:dyDescent="0.2">
      <c r="A4586" s="405"/>
    </row>
    <row r="4587" spans="1:9" x14ac:dyDescent="0.2">
      <c r="A4587" s="405"/>
    </row>
    <row r="4588" spans="1:9" x14ac:dyDescent="0.2">
      <c r="A4588" s="405"/>
    </row>
    <row r="4589" spans="1:9" x14ac:dyDescent="0.2">
      <c r="A4589" s="405"/>
    </row>
    <row r="4590" spans="1:9" x14ac:dyDescent="0.2">
      <c r="A4590" s="405"/>
    </row>
    <row r="4591" spans="1:9" x14ac:dyDescent="0.2">
      <c r="A4591" s="405"/>
    </row>
    <row r="4592" spans="1:9" x14ac:dyDescent="0.2">
      <c r="A4592" s="405"/>
    </row>
    <row r="4593" spans="1:9" x14ac:dyDescent="0.2">
      <c r="A4593" s="405"/>
    </row>
    <row r="4594" spans="1:9" x14ac:dyDescent="0.2">
      <c r="A4594" s="405"/>
    </row>
    <row r="4595" spans="1:9" x14ac:dyDescent="0.2">
      <c r="A4595" s="405"/>
    </row>
    <row r="4596" spans="1:9" x14ac:dyDescent="0.2">
      <c r="A4596" s="405"/>
    </row>
    <row r="4597" spans="1:9" x14ac:dyDescent="0.2">
      <c r="A4597" s="405"/>
    </row>
    <row r="4598" spans="1:9" x14ac:dyDescent="0.2">
      <c r="A4598" s="405"/>
    </row>
    <row r="4599" spans="1:9" x14ac:dyDescent="0.2">
      <c r="A4599" s="405"/>
    </row>
    <row r="4600" spans="1:9" x14ac:dyDescent="0.2">
      <c r="A4600" s="405"/>
      <c r="H4600" s="19"/>
    </row>
    <row r="4601" spans="1:9" x14ac:dyDescent="0.2">
      <c r="A4601" s="405"/>
    </row>
    <row r="4602" spans="1:9" x14ac:dyDescent="0.2">
      <c r="A4602" s="405"/>
      <c r="H4602" s="19"/>
      <c r="I4602" s="19"/>
    </row>
    <row r="4603" spans="1:9" x14ac:dyDescent="0.2">
      <c r="A4603" s="405"/>
      <c r="H4603" s="19"/>
    </row>
    <row r="4604" spans="1:9" x14ac:dyDescent="0.2">
      <c r="A4604" s="405"/>
      <c r="H4604" s="19"/>
    </row>
    <row r="4605" spans="1:9" x14ac:dyDescent="0.2">
      <c r="A4605" s="405"/>
      <c r="H4605" s="19"/>
      <c r="I4605" s="19"/>
    </row>
    <row r="4606" spans="1:9" x14ac:dyDescent="0.2">
      <c r="A4606" s="405"/>
      <c r="H4606" s="19"/>
      <c r="I4606" s="19"/>
    </row>
    <row r="4607" spans="1:9" x14ac:dyDescent="0.2">
      <c r="A4607" s="405"/>
    </row>
    <row r="4608" spans="1:9" x14ac:dyDescent="0.2">
      <c r="A4608" s="405"/>
    </row>
    <row r="4609" spans="1:9" x14ac:dyDescent="0.2">
      <c r="A4609" s="405"/>
    </row>
    <row r="4610" spans="1:9" x14ac:dyDescent="0.2">
      <c r="A4610" s="405"/>
    </row>
    <row r="4611" spans="1:9" x14ac:dyDescent="0.2">
      <c r="A4611" s="405"/>
      <c r="H4611" s="19"/>
      <c r="I4611" s="19"/>
    </row>
    <row r="4612" spans="1:9" x14ac:dyDescent="0.2">
      <c r="A4612" s="405"/>
      <c r="H4612" s="19"/>
      <c r="I4612" s="19"/>
    </row>
    <row r="4613" spans="1:9" x14ac:dyDescent="0.2">
      <c r="A4613" s="405"/>
    </row>
    <row r="4614" spans="1:9" x14ac:dyDescent="0.2">
      <c r="A4614" s="405"/>
      <c r="H4614" s="19"/>
      <c r="I4614" s="19"/>
    </row>
    <row r="4615" spans="1:9" x14ac:dyDescent="0.2">
      <c r="A4615" s="405"/>
      <c r="H4615" s="19"/>
      <c r="I4615" s="19"/>
    </row>
    <row r="4616" spans="1:9" x14ac:dyDescent="0.2">
      <c r="A4616" s="405"/>
      <c r="H4616" s="19"/>
      <c r="I4616" s="19"/>
    </row>
    <row r="4617" spans="1:9" x14ac:dyDescent="0.2">
      <c r="A4617" s="405"/>
      <c r="H4617" s="19"/>
      <c r="I4617" s="19"/>
    </row>
    <row r="4618" spans="1:9" x14ac:dyDescent="0.2">
      <c r="A4618" s="405"/>
      <c r="H4618" s="19"/>
      <c r="I4618" s="19"/>
    </row>
    <row r="4619" spans="1:9" x14ac:dyDescent="0.2">
      <c r="A4619" s="405"/>
      <c r="H4619" s="19"/>
      <c r="I4619" s="19"/>
    </row>
    <row r="4620" spans="1:9" x14ac:dyDescent="0.2">
      <c r="A4620" s="405"/>
    </row>
    <row r="4621" spans="1:9" x14ac:dyDescent="0.2">
      <c r="A4621" s="405"/>
    </row>
    <row r="4622" spans="1:9" x14ac:dyDescent="0.2">
      <c r="A4622" s="405"/>
    </row>
    <row r="4623" spans="1:9" x14ac:dyDescent="0.2">
      <c r="A4623" s="405"/>
    </row>
    <row r="4624" spans="1:9" x14ac:dyDescent="0.2">
      <c r="A4624" s="405"/>
    </row>
    <row r="4625" spans="1:9" x14ac:dyDescent="0.2">
      <c r="A4625" s="405"/>
    </row>
    <row r="4626" spans="1:9" x14ac:dyDescent="0.2">
      <c r="A4626" s="405"/>
    </row>
    <row r="4627" spans="1:9" x14ac:dyDescent="0.2">
      <c r="A4627" s="405"/>
    </row>
    <row r="4628" spans="1:9" x14ac:dyDescent="0.2">
      <c r="A4628" s="405"/>
    </row>
    <row r="4629" spans="1:9" x14ac:dyDescent="0.2">
      <c r="A4629" s="405"/>
    </row>
    <row r="4630" spans="1:9" x14ac:dyDescent="0.2">
      <c r="A4630" s="405"/>
    </row>
    <row r="4631" spans="1:9" x14ac:dyDescent="0.2">
      <c r="A4631" s="405"/>
    </row>
    <row r="4632" spans="1:9" x14ac:dyDescent="0.2">
      <c r="A4632" s="405"/>
    </row>
    <row r="4633" spans="1:9" x14ac:dyDescent="0.2">
      <c r="A4633" s="405"/>
    </row>
    <row r="4634" spans="1:9" x14ac:dyDescent="0.2">
      <c r="A4634" s="405"/>
    </row>
    <row r="4635" spans="1:9" x14ac:dyDescent="0.2">
      <c r="A4635" s="405"/>
      <c r="H4635" s="19"/>
    </row>
    <row r="4636" spans="1:9" x14ac:dyDescent="0.2">
      <c r="A4636" s="405"/>
    </row>
    <row r="4637" spans="1:9" x14ac:dyDescent="0.2">
      <c r="A4637" s="405"/>
      <c r="H4637" s="19"/>
      <c r="I4637" s="19"/>
    </row>
    <row r="4638" spans="1:9" x14ac:dyDescent="0.2">
      <c r="A4638" s="405"/>
      <c r="H4638" s="19"/>
    </row>
    <row r="4639" spans="1:9" x14ac:dyDescent="0.2">
      <c r="A4639" s="405"/>
      <c r="H4639" s="19"/>
    </row>
    <row r="4640" spans="1:9" x14ac:dyDescent="0.2">
      <c r="A4640" s="405"/>
      <c r="H4640" s="19"/>
      <c r="I4640" s="19"/>
    </row>
    <row r="4641" spans="1:9" x14ac:dyDescent="0.2">
      <c r="A4641" s="405"/>
      <c r="H4641" s="19"/>
      <c r="I4641" s="19"/>
    </row>
    <row r="4642" spans="1:9" x14ac:dyDescent="0.2">
      <c r="A4642" s="405"/>
    </row>
    <row r="4643" spans="1:9" x14ac:dyDescent="0.2">
      <c r="A4643" s="405"/>
    </row>
    <row r="4644" spans="1:9" x14ac:dyDescent="0.2">
      <c r="A4644" s="405"/>
    </row>
    <row r="4645" spans="1:9" x14ac:dyDescent="0.2">
      <c r="A4645" s="405"/>
    </row>
    <row r="4646" spans="1:9" x14ac:dyDescent="0.2">
      <c r="A4646" s="405"/>
    </row>
    <row r="4647" spans="1:9" x14ac:dyDescent="0.2">
      <c r="A4647" s="405"/>
    </row>
    <row r="4648" spans="1:9" x14ac:dyDescent="0.2">
      <c r="A4648" s="405"/>
    </row>
    <row r="4649" spans="1:9" x14ac:dyDescent="0.2">
      <c r="A4649" s="405"/>
    </row>
    <row r="4650" spans="1:9" x14ac:dyDescent="0.2">
      <c r="A4650" s="405"/>
    </row>
    <row r="4651" spans="1:9" x14ac:dyDescent="0.2">
      <c r="A4651" s="405"/>
    </row>
    <row r="4652" spans="1:9" x14ac:dyDescent="0.2">
      <c r="A4652" s="405"/>
    </row>
    <row r="4653" spans="1:9" x14ac:dyDescent="0.2">
      <c r="A4653" s="405"/>
    </row>
    <row r="4654" spans="1:9" x14ac:dyDescent="0.2">
      <c r="A4654" s="405"/>
    </row>
    <row r="4655" spans="1:9" x14ac:dyDescent="0.2">
      <c r="A4655" s="405"/>
    </row>
    <row r="4656" spans="1:9" x14ac:dyDescent="0.2">
      <c r="A4656" s="405"/>
    </row>
    <row r="4657" spans="1:1" x14ac:dyDescent="0.2">
      <c r="A4657" s="405"/>
    </row>
    <row r="4658" spans="1:1" x14ac:dyDescent="0.2">
      <c r="A4658" s="405"/>
    </row>
    <row r="4659" spans="1:1" x14ac:dyDescent="0.2">
      <c r="A4659" s="405"/>
    </row>
    <row r="4660" spans="1:1" x14ac:dyDescent="0.2">
      <c r="A4660" s="405"/>
    </row>
    <row r="4661" spans="1:1" x14ac:dyDescent="0.2">
      <c r="A4661" s="405"/>
    </row>
    <row r="4662" spans="1:1" x14ac:dyDescent="0.2">
      <c r="A4662" s="405"/>
    </row>
    <row r="4663" spans="1:1" x14ac:dyDescent="0.2">
      <c r="A4663" s="405"/>
    </row>
    <row r="4664" spans="1:1" x14ac:dyDescent="0.2">
      <c r="A4664" s="405"/>
    </row>
    <row r="4665" spans="1:1" x14ac:dyDescent="0.2">
      <c r="A4665" s="405"/>
    </row>
    <row r="4666" spans="1:1" x14ac:dyDescent="0.2">
      <c r="A4666" s="405"/>
    </row>
    <row r="4667" spans="1:1" x14ac:dyDescent="0.2">
      <c r="A4667" s="405"/>
    </row>
    <row r="4668" spans="1:1" x14ac:dyDescent="0.2">
      <c r="A4668" s="405"/>
    </row>
    <row r="4669" spans="1:1" x14ac:dyDescent="0.2">
      <c r="A4669" s="405"/>
    </row>
    <row r="4670" spans="1:1" x14ac:dyDescent="0.2">
      <c r="A4670" s="405"/>
    </row>
    <row r="4671" spans="1:1" x14ac:dyDescent="0.2">
      <c r="A4671" s="405"/>
    </row>
    <row r="4672" spans="1:1" x14ac:dyDescent="0.2">
      <c r="A4672" s="405"/>
    </row>
    <row r="4673" spans="1:1" x14ac:dyDescent="0.2">
      <c r="A4673" s="405"/>
    </row>
    <row r="4674" spans="1:1" x14ac:dyDescent="0.2">
      <c r="A4674" s="405"/>
    </row>
    <row r="4675" spans="1:1" x14ac:dyDescent="0.2">
      <c r="A4675" s="405"/>
    </row>
    <row r="4676" spans="1:1" x14ac:dyDescent="0.2">
      <c r="A4676" s="405"/>
    </row>
    <row r="4677" spans="1:1" x14ac:dyDescent="0.2">
      <c r="A4677" s="405"/>
    </row>
    <row r="4678" spans="1:1" x14ac:dyDescent="0.2">
      <c r="A4678" s="405"/>
    </row>
    <row r="4679" spans="1:1" x14ac:dyDescent="0.2">
      <c r="A4679" s="405"/>
    </row>
    <row r="4680" spans="1:1" x14ac:dyDescent="0.2">
      <c r="A4680" s="405"/>
    </row>
    <row r="4681" spans="1:1" x14ac:dyDescent="0.2">
      <c r="A4681" s="405"/>
    </row>
    <row r="4682" spans="1:1" x14ac:dyDescent="0.2">
      <c r="A4682" s="405"/>
    </row>
    <row r="4683" spans="1:1" x14ac:dyDescent="0.2">
      <c r="A4683" s="405"/>
    </row>
    <row r="4684" spans="1:1" x14ac:dyDescent="0.2">
      <c r="A4684" s="405"/>
    </row>
    <row r="4685" spans="1:1" x14ac:dyDescent="0.2">
      <c r="A4685" s="405"/>
    </row>
    <row r="4686" spans="1:1" x14ac:dyDescent="0.2">
      <c r="A4686" s="405"/>
    </row>
    <row r="4687" spans="1:1" x14ac:dyDescent="0.2">
      <c r="A4687" s="405"/>
    </row>
    <row r="4688" spans="1:1" x14ac:dyDescent="0.2">
      <c r="A4688" s="405"/>
    </row>
    <row r="4689" spans="1:1" x14ac:dyDescent="0.2">
      <c r="A4689" s="405"/>
    </row>
    <row r="4690" spans="1:1" x14ac:dyDescent="0.2">
      <c r="A4690" s="405"/>
    </row>
    <row r="4691" spans="1:1" x14ac:dyDescent="0.2">
      <c r="A4691" s="405"/>
    </row>
    <row r="4692" spans="1:1" x14ac:dyDescent="0.2">
      <c r="A4692" s="405"/>
    </row>
    <row r="4693" spans="1:1" x14ac:dyDescent="0.2">
      <c r="A4693" s="405"/>
    </row>
    <row r="4694" spans="1:1" x14ac:dyDescent="0.2">
      <c r="A4694" s="405"/>
    </row>
    <row r="4695" spans="1:1" x14ac:dyDescent="0.2">
      <c r="A4695" s="405"/>
    </row>
    <row r="4696" spans="1:1" x14ac:dyDescent="0.2">
      <c r="A4696" s="405"/>
    </row>
    <row r="4697" spans="1:1" x14ac:dyDescent="0.2">
      <c r="A4697" s="405"/>
    </row>
    <row r="4698" spans="1:1" x14ac:dyDescent="0.2">
      <c r="A4698" s="405"/>
    </row>
    <row r="4699" spans="1:1" x14ac:dyDescent="0.2">
      <c r="A4699" s="405"/>
    </row>
    <row r="4700" spans="1:1" x14ac:dyDescent="0.2">
      <c r="A4700" s="405"/>
    </row>
    <row r="4701" spans="1:1" x14ac:dyDescent="0.2">
      <c r="A4701" s="405"/>
    </row>
    <row r="4702" spans="1:1" x14ac:dyDescent="0.2">
      <c r="A4702" s="405"/>
    </row>
    <row r="4703" spans="1:1" x14ac:dyDescent="0.2">
      <c r="A4703" s="405"/>
    </row>
    <row r="4704" spans="1:1" x14ac:dyDescent="0.2">
      <c r="A4704" s="405"/>
    </row>
    <row r="4705" spans="1:1" x14ac:dyDescent="0.2">
      <c r="A4705" s="405"/>
    </row>
    <row r="4706" spans="1:1" x14ac:dyDescent="0.2">
      <c r="A4706" s="405"/>
    </row>
    <row r="4707" spans="1:1" x14ac:dyDescent="0.2">
      <c r="A4707" s="405"/>
    </row>
    <row r="4708" spans="1:1" x14ac:dyDescent="0.2">
      <c r="A4708" s="405"/>
    </row>
    <row r="4709" spans="1:1" x14ac:dyDescent="0.2">
      <c r="A4709" s="405"/>
    </row>
    <row r="4710" spans="1:1" x14ac:dyDescent="0.2">
      <c r="A4710" s="405"/>
    </row>
    <row r="4711" spans="1:1" x14ac:dyDescent="0.2">
      <c r="A4711" s="405"/>
    </row>
    <row r="4712" spans="1:1" x14ac:dyDescent="0.2">
      <c r="A4712" s="405"/>
    </row>
    <row r="4713" spans="1:1" x14ac:dyDescent="0.2">
      <c r="A4713" s="405"/>
    </row>
    <row r="4714" spans="1:1" x14ac:dyDescent="0.2">
      <c r="A4714" s="405"/>
    </row>
    <row r="4715" spans="1:1" x14ac:dyDescent="0.2">
      <c r="A4715" s="405"/>
    </row>
    <row r="4716" spans="1:1" x14ac:dyDescent="0.2">
      <c r="A4716" s="405"/>
    </row>
    <row r="4717" spans="1:1" x14ac:dyDescent="0.2">
      <c r="A4717" s="405"/>
    </row>
    <row r="4718" spans="1:1" x14ac:dyDescent="0.2">
      <c r="A4718" s="405"/>
    </row>
    <row r="4719" spans="1:1" x14ac:dyDescent="0.2">
      <c r="A4719" s="405"/>
    </row>
    <row r="4720" spans="1:1" x14ac:dyDescent="0.2">
      <c r="A4720" s="405"/>
    </row>
    <row r="4721" spans="1:1" x14ac:dyDescent="0.2">
      <c r="A4721" s="405"/>
    </row>
    <row r="4722" spans="1:1" x14ac:dyDescent="0.2">
      <c r="A4722" s="405"/>
    </row>
    <row r="4723" spans="1:1" x14ac:dyDescent="0.2">
      <c r="A4723" s="405"/>
    </row>
    <row r="4724" spans="1:1" x14ac:dyDescent="0.2">
      <c r="A4724" s="405"/>
    </row>
    <row r="4725" spans="1:1" x14ac:dyDescent="0.2">
      <c r="A4725" s="405"/>
    </row>
    <row r="4726" spans="1:1" x14ac:dyDescent="0.2">
      <c r="A4726" s="405"/>
    </row>
    <row r="4727" spans="1:1" x14ac:dyDescent="0.2">
      <c r="A4727" s="405"/>
    </row>
    <row r="4728" spans="1:1" x14ac:dyDescent="0.2">
      <c r="A4728" s="405"/>
    </row>
    <row r="4729" spans="1:1" x14ac:dyDescent="0.2">
      <c r="A4729" s="405"/>
    </row>
    <row r="4730" spans="1:1" x14ac:dyDescent="0.2">
      <c r="A4730" s="405"/>
    </row>
    <row r="4731" spans="1:1" x14ac:dyDescent="0.2">
      <c r="A4731" s="405"/>
    </row>
    <row r="4732" spans="1:1" x14ac:dyDescent="0.2">
      <c r="A4732" s="405"/>
    </row>
    <row r="4733" spans="1:1" x14ac:dyDescent="0.2">
      <c r="A4733" s="405"/>
    </row>
    <row r="4734" spans="1:1" x14ac:dyDescent="0.2">
      <c r="A4734" s="405"/>
    </row>
    <row r="4735" spans="1:1" x14ac:dyDescent="0.2">
      <c r="A4735" s="405"/>
    </row>
    <row r="4736" spans="1:1" x14ac:dyDescent="0.2">
      <c r="A4736" s="405"/>
    </row>
    <row r="4737" spans="1:1" x14ac:dyDescent="0.2">
      <c r="A4737" s="405"/>
    </row>
    <row r="4738" spans="1:1" x14ac:dyDescent="0.2">
      <c r="A4738" s="405"/>
    </row>
    <row r="4739" spans="1:1" x14ac:dyDescent="0.2">
      <c r="A4739" s="405"/>
    </row>
    <row r="4740" spans="1:1" x14ac:dyDescent="0.2">
      <c r="A4740" s="405"/>
    </row>
    <row r="4741" spans="1:1" x14ac:dyDescent="0.2">
      <c r="A4741" s="405"/>
    </row>
    <row r="4742" spans="1:1" x14ac:dyDescent="0.2">
      <c r="A4742" s="405"/>
    </row>
    <row r="4743" spans="1:1" x14ac:dyDescent="0.2">
      <c r="A4743" s="405"/>
    </row>
    <row r="4744" spans="1:1" x14ac:dyDescent="0.2">
      <c r="A4744" s="405"/>
    </row>
    <row r="4745" spans="1:1" x14ac:dyDescent="0.2">
      <c r="A4745" s="405"/>
    </row>
    <row r="4746" spans="1:1" x14ac:dyDescent="0.2">
      <c r="A4746" s="405"/>
    </row>
    <row r="4747" spans="1:1" x14ac:dyDescent="0.2">
      <c r="A4747" s="405"/>
    </row>
    <row r="4748" spans="1:1" x14ac:dyDescent="0.2">
      <c r="A4748" s="405"/>
    </row>
    <row r="4749" spans="1:1" x14ac:dyDescent="0.2">
      <c r="A4749" s="405"/>
    </row>
    <row r="4750" spans="1:1" x14ac:dyDescent="0.2">
      <c r="A4750" s="405"/>
    </row>
    <row r="4751" spans="1:1" x14ac:dyDescent="0.2">
      <c r="A4751" s="405"/>
    </row>
    <row r="4752" spans="1:1" x14ac:dyDescent="0.2">
      <c r="A4752" s="405"/>
    </row>
    <row r="4753" spans="1:1" x14ac:dyDescent="0.2">
      <c r="A4753" s="405"/>
    </row>
    <row r="4754" spans="1:1" x14ac:dyDescent="0.2">
      <c r="A4754" s="405"/>
    </row>
    <row r="4755" spans="1:1" x14ac:dyDescent="0.2">
      <c r="A4755" s="405"/>
    </row>
    <row r="4756" spans="1:1" x14ac:dyDescent="0.2">
      <c r="A4756" s="405"/>
    </row>
    <row r="4757" spans="1:1" x14ac:dyDescent="0.2">
      <c r="A4757" s="405"/>
    </row>
    <row r="4758" spans="1:1" x14ac:dyDescent="0.2">
      <c r="A4758" s="405"/>
    </row>
    <row r="4759" spans="1:1" x14ac:dyDescent="0.2">
      <c r="A4759" s="405"/>
    </row>
    <row r="4760" spans="1:1" x14ac:dyDescent="0.2">
      <c r="A4760" s="405"/>
    </row>
    <row r="4761" spans="1:1" x14ac:dyDescent="0.2">
      <c r="A4761" s="405"/>
    </row>
    <row r="4762" spans="1:1" x14ac:dyDescent="0.2">
      <c r="A4762" s="405"/>
    </row>
    <row r="4763" spans="1:1" x14ac:dyDescent="0.2">
      <c r="A4763" s="405"/>
    </row>
    <row r="4764" spans="1:1" x14ac:dyDescent="0.2">
      <c r="A4764" s="405"/>
    </row>
    <row r="4765" spans="1:1" x14ac:dyDescent="0.2">
      <c r="A4765" s="405"/>
    </row>
    <row r="4766" spans="1:1" x14ac:dyDescent="0.2">
      <c r="A4766" s="405"/>
    </row>
    <row r="4767" spans="1:1" x14ac:dyDescent="0.2">
      <c r="A4767" s="405"/>
    </row>
    <row r="4768" spans="1:1" x14ac:dyDescent="0.2">
      <c r="A4768" s="405"/>
    </row>
    <row r="4769" spans="1:1" x14ac:dyDescent="0.2">
      <c r="A4769" s="405"/>
    </row>
    <row r="4770" spans="1:1" x14ac:dyDescent="0.2">
      <c r="A4770" s="405"/>
    </row>
    <row r="4771" spans="1:1" x14ac:dyDescent="0.2">
      <c r="A4771" s="405"/>
    </row>
    <row r="4772" spans="1:1" x14ac:dyDescent="0.2">
      <c r="A4772" s="405"/>
    </row>
    <row r="4773" spans="1:1" x14ac:dyDescent="0.2">
      <c r="A4773" s="405"/>
    </row>
    <row r="4774" spans="1:1" x14ac:dyDescent="0.2">
      <c r="A4774" s="405"/>
    </row>
    <row r="4775" spans="1:1" x14ac:dyDescent="0.2">
      <c r="A4775" s="405"/>
    </row>
    <row r="4776" spans="1:1" x14ac:dyDescent="0.2">
      <c r="A4776" s="405"/>
    </row>
    <row r="4777" spans="1:1" x14ac:dyDescent="0.2">
      <c r="A4777" s="405"/>
    </row>
    <row r="4778" spans="1:1" x14ac:dyDescent="0.2">
      <c r="A4778" s="405"/>
    </row>
    <row r="4779" spans="1:1" x14ac:dyDescent="0.2">
      <c r="A4779" s="405"/>
    </row>
    <row r="4780" spans="1:1" x14ac:dyDescent="0.2">
      <c r="A4780" s="405"/>
    </row>
    <row r="4781" spans="1:1" x14ac:dyDescent="0.2">
      <c r="A4781" s="405"/>
    </row>
    <row r="4782" spans="1:1" x14ac:dyDescent="0.2">
      <c r="A4782" s="405"/>
    </row>
    <row r="4783" spans="1:1" x14ac:dyDescent="0.2">
      <c r="A4783" s="405"/>
    </row>
    <row r="4784" spans="1:1" x14ac:dyDescent="0.2">
      <c r="A4784" s="405"/>
    </row>
    <row r="4785" spans="1:1" x14ac:dyDescent="0.2">
      <c r="A4785" s="405"/>
    </row>
    <row r="4786" spans="1:1" x14ac:dyDescent="0.2">
      <c r="A4786" s="405"/>
    </row>
    <row r="4787" spans="1:1" x14ac:dyDescent="0.2">
      <c r="A4787" s="405"/>
    </row>
    <row r="4788" spans="1:1" x14ac:dyDescent="0.2">
      <c r="A4788" s="405"/>
    </row>
    <row r="4789" spans="1:1" x14ac:dyDescent="0.2">
      <c r="A4789" s="405"/>
    </row>
    <row r="4790" spans="1:1" x14ac:dyDescent="0.2">
      <c r="A4790" s="405"/>
    </row>
    <row r="4791" spans="1:1" x14ac:dyDescent="0.2">
      <c r="A4791" s="405"/>
    </row>
    <row r="4792" spans="1:1" x14ac:dyDescent="0.2">
      <c r="A4792" s="405"/>
    </row>
    <row r="4793" spans="1:1" x14ac:dyDescent="0.2">
      <c r="A4793" s="405"/>
    </row>
    <row r="4794" spans="1:1" x14ac:dyDescent="0.2">
      <c r="A4794" s="405"/>
    </row>
    <row r="4795" spans="1:1" x14ac:dyDescent="0.2">
      <c r="A4795" s="405"/>
    </row>
    <row r="4796" spans="1:1" x14ac:dyDescent="0.2">
      <c r="A4796" s="405"/>
    </row>
    <row r="4797" spans="1:1" x14ac:dyDescent="0.2">
      <c r="A4797" s="405"/>
    </row>
    <row r="4798" spans="1:1" x14ac:dyDescent="0.2">
      <c r="A4798" s="405"/>
    </row>
    <row r="4799" spans="1:1" x14ac:dyDescent="0.2">
      <c r="A4799" s="405"/>
    </row>
    <row r="4800" spans="1:1" x14ac:dyDescent="0.2">
      <c r="A4800" s="405"/>
    </row>
    <row r="4801" spans="1:1" x14ac:dyDescent="0.2">
      <c r="A4801" s="405"/>
    </row>
    <row r="4802" spans="1:1" x14ac:dyDescent="0.2">
      <c r="A4802" s="405"/>
    </row>
    <row r="4803" spans="1:1" x14ac:dyDescent="0.2">
      <c r="A4803" s="405"/>
    </row>
    <row r="4804" spans="1:1" x14ac:dyDescent="0.2">
      <c r="A4804" s="405"/>
    </row>
    <row r="4805" spans="1:1" x14ac:dyDescent="0.2">
      <c r="A4805" s="405"/>
    </row>
    <row r="4806" spans="1:1" x14ac:dyDescent="0.2">
      <c r="A4806" s="405"/>
    </row>
    <row r="4807" spans="1:1" x14ac:dyDescent="0.2">
      <c r="A4807" s="405"/>
    </row>
    <row r="4808" spans="1:1" x14ac:dyDescent="0.2">
      <c r="A4808" s="405"/>
    </row>
    <row r="4809" spans="1:1" x14ac:dyDescent="0.2">
      <c r="A4809" s="405"/>
    </row>
    <row r="4810" spans="1:1" x14ac:dyDescent="0.2">
      <c r="A4810" s="405"/>
    </row>
    <row r="4811" spans="1:1" x14ac:dyDescent="0.2">
      <c r="A4811" s="405"/>
    </row>
    <row r="4812" spans="1:1" x14ac:dyDescent="0.2">
      <c r="A4812" s="405"/>
    </row>
    <row r="4813" spans="1:1" x14ac:dyDescent="0.2">
      <c r="A4813" s="405"/>
    </row>
    <row r="4814" spans="1:1" x14ac:dyDescent="0.2">
      <c r="A4814" s="405"/>
    </row>
    <row r="4815" spans="1:1" x14ac:dyDescent="0.2">
      <c r="A4815" s="405"/>
    </row>
    <row r="4816" spans="1:1" x14ac:dyDescent="0.2">
      <c r="A4816" s="405"/>
    </row>
    <row r="4817" spans="1:1" x14ac:dyDescent="0.2">
      <c r="A4817" s="405"/>
    </row>
    <row r="4818" spans="1:1" x14ac:dyDescent="0.2">
      <c r="A4818" s="405"/>
    </row>
    <row r="4819" spans="1:1" x14ac:dyDescent="0.2">
      <c r="A4819" s="405"/>
    </row>
    <row r="4820" spans="1:1" x14ac:dyDescent="0.2">
      <c r="A4820" s="405"/>
    </row>
    <row r="4821" spans="1:1" x14ac:dyDescent="0.2">
      <c r="A4821" s="405"/>
    </row>
    <row r="4822" spans="1:1" x14ac:dyDescent="0.2">
      <c r="A4822" s="405"/>
    </row>
    <row r="4823" spans="1:1" x14ac:dyDescent="0.2">
      <c r="A4823" s="405"/>
    </row>
    <row r="4824" spans="1:1" x14ac:dyDescent="0.2">
      <c r="A4824" s="405"/>
    </row>
    <row r="4825" spans="1:1" x14ac:dyDescent="0.2">
      <c r="A4825" s="405"/>
    </row>
    <row r="4826" spans="1:1" x14ac:dyDescent="0.2">
      <c r="A4826" s="405"/>
    </row>
    <row r="4827" spans="1:1" x14ac:dyDescent="0.2">
      <c r="A4827" s="405"/>
    </row>
    <row r="4828" spans="1:1" x14ac:dyDescent="0.2">
      <c r="A4828" s="405"/>
    </row>
    <row r="4829" spans="1:1" x14ac:dyDescent="0.2">
      <c r="A4829" s="405"/>
    </row>
    <row r="4830" spans="1:1" x14ac:dyDescent="0.2">
      <c r="A4830" s="405"/>
    </row>
    <row r="4831" spans="1:1" x14ac:dyDescent="0.2">
      <c r="A4831" s="405"/>
    </row>
    <row r="4832" spans="1:1" x14ac:dyDescent="0.2">
      <c r="A4832" s="405"/>
    </row>
    <row r="4833" spans="1:1" x14ac:dyDescent="0.2">
      <c r="A4833" s="405"/>
    </row>
    <row r="4834" spans="1:1" x14ac:dyDescent="0.2">
      <c r="A4834" s="405"/>
    </row>
    <row r="4835" spans="1:1" x14ac:dyDescent="0.2">
      <c r="A4835" s="405"/>
    </row>
    <row r="4836" spans="1:1" x14ac:dyDescent="0.2">
      <c r="A4836" s="405"/>
    </row>
    <row r="4837" spans="1:1" x14ac:dyDescent="0.2">
      <c r="A4837" s="405"/>
    </row>
    <row r="4838" spans="1:1" x14ac:dyDescent="0.2">
      <c r="A4838" s="405"/>
    </row>
    <row r="4839" spans="1:1" x14ac:dyDescent="0.2">
      <c r="A4839" s="405"/>
    </row>
    <row r="4840" spans="1:1" x14ac:dyDescent="0.2">
      <c r="A4840" s="405"/>
    </row>
    <row r="4841" spans="1:1" x14ac:dyDescent="0.2">
      <c r="A4841" s="405"/>
    </row>
    <row r="4842" spans="1:1" x14ac:dyDescent="0.2">
      <c r="A4842" s="405"/>
    </row>
    <row r="4843" spans="1:1" x14ac:dyDescent="0.2">
      <c r="A4843" s="405"/>
    </row>
    <row r="4844" spans="1:1" x14ac:dyDescent="0.2">
      <c r="A4844" s="405"/>
    </row>
    <row r="4845" spans="1:1" x14ac:dyDescent="0.2">
      <c r="A4845" s="405"/>
    </row>
    <row r="4846" spans="1:1" x14ac:dyDescent="0.2">
      <c r="A4846" s="405"/>
    </row>
    <row r="4847" spans="1:1" x14ac:dyDescent="0.2">
      <c r="A4847" s="405"/>
    </row>
    <row r="4848" spans="1:1" x14ac:dyDescent="0.2">
      <c r="A4848" s="405"/>
    </row>
    <row r="4849" spans="1:1" x14ac:dyDescent="0.2">
      <c r="A4849" s="405"/>
    </row>
    <row r="4850" spans="1:1" x14ac:dyDescent="0.2">
      <c r="A4850" s="405"/>
    </row>
    <row r="4851" spans="1:1" x14ac:dyDescent="0.2">
      <c r="A4851" s="405"/>
    </row>
    <row r="4852" spans="1:1" x14ac:dyDescent="0.2">
      <c r="A4852" s="405"/>
    </row>
    <row r="4853" spans="1:1" x14ac:dyDescent="0.2">
      <c r="A4853" s="405"/>
    </row>
    <row r="4854" spans="1:1" x14ac:dyDescent="0.2">
      <c r="A4854" s="405"/>
    </row>
    <row r="4855" spans="1:1" x14ac:dyDescent="0.2">
      <c r="A4855" s="405"/>
    </row>
    <row r="4856" spans="1:1" x14ac:dyDescent="0.2">
      <c r="A4856" s="405"/>
    </row>
    <row r="4857" spans="1:1" x14ac:dyDescent="0.2">
      <c r="A4857" s="405"/>
    </row>
    <row r="4858" spans="1:1" x14ac:dyDescent="0.2">
      <c r="A4858" s="405"/>
    </row>
    <row r="4859" spans="1:1" x14ac:dyDescent="0.2">
      <c r="A4859" s="405"/>
    </row>
    <row r="4860" spans="1:1" x14ac:dyDescent="0.2">
      <c r="A4860" s="405"/>
    </row>
    <row r="4861" spans="1:1" x14ac:dyDescent="0.2">
      <c r="A4861" s="405"/>
    </row>
    <row r="4862" spans="1:1" x14ac:dyDescent="0.2">
      <c r="A4862" s="405"/>
    </row>
    <row r="4863" spans="1:1" x14ac:dyDescent="0.2">
      <c r="A4863" s="405"/>
    </row>
    <row r="4864" spans="1:1" x14ac:dyDescent="0.2">
      <c r="A4864" s="405"/>
    </row>
    <row r="4865" spans="1:1" x14ac:dyDescent="0.2">
      <c r="A4865" s="405"/>
    </row>
    <row r="4866" spans="1:1" x14ac:dyDescent="0.2">
      <c r="A4866" s="405"/>
    </row>
    <row r="4867" spans="1:1" x14ac:dyDescent="0.2">
      <c r="A4867" s="405"/>
    </row>
    <row r="4868" spans="1:1" x14ac:dyDescent="0.2">
      <c r="A4868" s="405"/>
    </row>
    <row r="4869" spans="1:1" x14ac:dyDescent="0.2">
      <c r="A4869" s="405"/>
    </row>
    <row r="4870" spans="1:1" x14ac:dyDescent="0.2">
      <c r="A4870" s="405"/>
    </row>
    <row r="4871" spans="1:1" x14ac:dyDescent="0.2">
      <c r="A4871" s="405"/>
    </row>
    <row r="4872" spans="1:1" x14ac:dyDescent="0.2">
      <c r="A4872" s="405"/>
    </row>
    <row r="4873" spans="1:1" x14ac:dyDescent="0.2">
      <c r="A4873" s="405"/>
    </row>
    <row r="4874" spans="1:1" x14ac:dyDescent="0.2">
      <c r="A4874" s="405"/>
    </row>
    <row r="4875" spans="1:1" x14ac:dyDescent="0.2">
      <c r="A4875" s="405"/>
    </row>
    <row r="4876" spans="1:1" x14ac:dyDescent="0.2">
      <c r="A4876" s="405"/>
    </row>
    <row r="4877" spans="1:1" x14ac:dyDescent="0.2">
      <c r="A4877" s="405"/>
    </row>
    <row r="4878" spans="1:1" x14ac:dyDescent="0.2">
      <c r="A4878" s="405"/>
    </row>
    <row r="4879" spans="1:1" x14ac:dyDescent="0.2">
      <c r="A4879" s="405"/>
    </row>
    <row r="4880" spans="1:1" x14ac:dyDescent="0.2">
      <c r="A4880" s="405"/>
    </row>
    <row r="4881" spans="1:1" x14ac:dyDescent="0.2">
      <c r="A4881" s="405"/>
    </row>
    <row r="4882" spans="1:1" x14ac:dyDescent="0.2">
      <c r="A4882" s="405"/>
    </row>
    <row r="4883" spans="1:1" x14ac:dyDescent="0.2">
      <c r="A4883" s="405"/>
    </row>
    <row r="4884" spans="1:1" x14ac:dyDescent="0.2">
      <c r="A4884" s="405"/>
    </row>
    <row r="4885" spans="1:1" x14ac:dyDescent="0.2">
      <c r="A4885" s="405"/>
    </row>
    <row r="4886" spans="1:1" x14ac:dyDescent="0.2">
      <c r="A4886" s="405"/>
    </row>
    <row r="4887" spans="1:1" x14ac:dyDescent="0.2">
      <c r="A4887" s="405"/>
    </row>
    <row r="4888" spans="1:1" x14ac:dyDescent="0.2">
      <c r="A4888" s="405"/>
    </row>
    <row r="4889" spans="1:1" x14ac:dyDescent="0.2">
      <c r="A4889" s="405"/>
    </row>
    <row r="4890" spans="1:1" x14ac:dyDescent="0.2">
      <c r="A4890" s="405"/>
    </row>
    <row r="4891" spans="1:1" x14ac:dyDescent="0.2">
      <c r="A4891" s="405"/>
    </row>
    <row r="4892" spans="1:1" x14ac:dyDescent="0.2">
      <c r="A4892" s="405"/>
    </row>
    <row r="4893" spans="1:1" x14ac:dyDescent="0.2">
      <c r="A4893" s="405"/>
    </row>
    <row r="4894" spans="1:1" x14ac:dyDescent="0.2">
      <c r="A4894" s="405"/>
    </row>
    <row r="4895" spans="1:1" x14ac:dyDescent="0.2">
      <c r="A4895" s="405"/>
    </row>
    <row r="4896" spans="1:1" x14ac:dyDescent="0.2">
      <c r="A4896" s="405"/>
    </row>
    <row r="4897" spans="1:1" x14ac:dyDescent="0.2">
      <c r="A4897" s="405"/>
    </row>
    <row r="4898" spans="1:1" x14ac:dyDescent="0.2">
      <c r="A4898" s="405"/>
    </row>
    <row r="4899" spans="1:1" x14ac:dyDescent="0.2">
      <c r="A4899" s="405"/>
    </row>
    <row r="4900" spans="1:1" x14ac:dyDescent="0.2">
      <c r="A4900" s="405"/>
    </row>
    <row r="4901" spans="1:1" x14ac:dyDescent="0.2">
      <c r="A4901" s="405"/>
    </row>
    <row r="4902" spans="1:1" x14ac:dyDescent="0.2">
      <c r="A4902" s="405"/>
    </row>
    <row r="4903" spans="1:1" x14ac:dyDescent="0.2">
      <c r="A4903" s="405"/>
    </row>
    <row r="4904" spans="1:1" x14ac:dyDescent="0.2">
      <c r="A4904" s="405"/>
    </row>
    <row r="4905" spans="1:1" x14ac:dyDescent="0.2">
      <c r="A4905" s="405"/>
    </row>
    <row r="4906" spans="1:1" x14ac:dyDescent="0.2">
      <c r="A4906" s="405"/>
    </row>
    <row r="4907" spans="1:1" x14ac:dyDescent="0.2">
      <c r="A4907" s="405"/>
    </row>
    <row r="4908" spans="1:1" x14ac:dyDescent="0.2">
      <c r="A4908" s="405"/>
    </row>
    <row r="4909" spans="1:1" x14ac:dyDescent="0.2">
      <c r="A4909" s="405"/>
    </row>
    <row r="4910" spans="1:1" x14ac:dyDescent="0.2">
      <c r="A4910" s="405"/>
    </row>
    <row r="4911" spans="1:1" x14ac:dyDescent="0.2">
      <c r="A4911" s="405"/>
    </row>
    <row r="4912" spans="1:1" x14ac:dyDescent="0.2">
      <c r="A4912" s="405"/>
    </row>
    <row r="4913" spans="1:1" x14ac:dyDescent="0.2">
      <c r="A4913" s="405"/>
    </row>
    <row r="4914" spans="1:1" x14ac:dyDescent="0.2">
      <c r="A4914" s="405"/>
    </row>
    <row r="4915" spans="1:1" x14ac:dyDescent="0.2">
      <c r="A4915" s="405"/>
    </row>
    <row r="4916" spans="1:1" x14ac:dyDescent="0.2">
      <c r="A4916" s="405"/>
    </row>
    <row r="4917" spans="1:1" x14ac:dyDescent="0.2">
      <c r="A4917" s="405"/>
    </row>
    <row r="4918" spans="1:1" x14ac:dyDescent="0.2">
      <c r="A4918" s="405"/>
    </row>
    <row r="4919" spans="1:1" x14ac:dyDescent="0.2">
      <c r="A4919" s="405"/>
    </row>
    <row r="4920" spans="1:1" x14ac:dyDescent="0.2">
      <c r="A4920" s="405"/>
    </row>
    <row r="4921" spans="1:1" x14ac:dyDescent="0.2">
      <c r="A4921" s="405"/>
    </row>
    <row r="4922" spans="1:1" x14ac:dyDescent="0.2">
      <c r="A4922" s="405"/>
    </row>
    <row r="4923" spans="1:1" x14ac:dyDescent="0.2">
      <c r="A4923" s="405"/>
    </row>
    <row r="4924" spans="1:1" x14ac:dyDescent="0.2">
      <c r="A4924" s="405"/>
    </row>
    <row r="4925" spans="1:1" x14ac:dyDescent="0.2">
      <c r="A4925" s="405"/>
    </row>
    <row r="4926" spans="1:1" x14ac:dyDescent="0.2">
      <c r="A4926" s="405"/>
    </row>
    <row r="4927" spans="1:1" x14ac:dyDescent="0.2">
      <c r="A4927" s="405"/>
    </row>
    <row r="4928" spans="1:1" x14ac:dyDescent="0.2">
      <c r="A4928" s="405"/>
    </row>
    <row r="4929" spans="1:1" x14ac:dyDescent="0.2">
      <c r="A4929" s="405"/>
    </row>
    <row r="4930" spans="1:1" x14ac:dyDescent="0.2">
      <c r="A4930" s="405"/>
    </row>
    <row r="4931" spans="1:1" x14ac:dyDescent="0.2">
      <c r="A4931" s="405"/>
    </row>
    <row r="4932" spans="1:1" x14ac:dyDescent="0.2">
      <c r="A4932" s="405"/>
    </row>
    <row r="4933" spans="1:1" x14ac:dyDescent="0.2">
      <c r="A4933" s="405"/>
    </row>
    <row r="4934" spans="1:1" x14ac:dyDescent="0.2">
      <c r="A4934" s="405"/>
    </row>
    <row r="4935" spans="1:1" x14ac:dyDescent="0.2">
      <c r="A4935" s="405"/>
    </row>
    <row r="4936" spans="1:1" x14ac:dyDescent="0.2">
      <c r="A4936" s="405"/>
    </row>
    <row r="4937" spans="1:1" x14ac:dyDescent="0.2">
      <c r="A4937" s="405"/>
    </row>
    <row r="4938" spans="1:1" x14ac:dyDescent="0.2">
      <c r="A4938" s="405"/>
    </row>
    <row r="4939" spans="1:1" x14ac:dyDescent="0.2">
      <c r="A4939" s="405"/>
    </row>
    <row r="4940" spans="1:1" x14ac:dyDescent="0.2">
      <c r="A4940" s="405"/>
    </row>
    <row r="4941" spans="1:1" x14ac:dyDescent="0.2">
      <c r="A4941" s="405"/>
    </row>
    <row r="4942" spans="1:1" x14ac:dyDescent="0.2">
      <c r="A4942" s="405"/>
    </row>
    <row r="4943" spans="1:1" x14ac:dyDescent="0.2">
      <c r="A4943" s="405"/>
    </row>
    <row r="4944" spans="1:1" x14ac:dyDescent="0.2">
      <c r="A4944" s="405"/>
    </row>
    <row r="4945" spans="1:1" x14ac:dyDescent="0.2">
      <c r="A4945" s="405"/>
    </row>
    <row r="4946" spans="1:1" x14ac:dyDescent="0.2">
      <c r="A4946" s="405"/>
    </row>
    <row r="4947" spans="1:1" x14ac:dyDescent="0.2">
      <c r="A4947" s="405"/>
    </row>
    <row r="4948" spans="1:1" x14ac:dyDescent="0.2">
      <c r="A4948" s="405"/>
    </row>
    <row r="4949" spans="1:1" x14ac:dyDescent="0.2">
      <c r="A4949" s="405"/>
    </row>
    <row r="4950" spans="1:1" x14ac:dyDescent="0.2">
      <c r="A4950" s="405"/>
    </row>
    <row r="4951" spans="1:1" x14ac:dyDescent="0.2">
      <c r="A4951" s="405"/>
    </row>
    <row r="4952" spans="1:1" x14ac:dyDescent="0.2">
      <c r="A4952" s="405"/>
    </row>
    <row r="4953" spans="1:1" x14ac:dyDescent="0.2">
      <c r="A4953" s="405"/>
    </row>
    <row r="4954" spans="1:1" x14ac:dyDescent="0.2">
      <c r="A4954" s="405"/>
    </row>
    <row r="4955" spans="1:1" x14ac:dyDescent="0.2">
      <c r="A4955" s="405"/>
    </row>
    <row r="4956" spans="1:1" x14ac:dyDescent="0.2">
      <c r="A4956" s="405"/>
    </row>
    <row r="4957" spans="1:1" x14ac:dyDescent="0.2">
      <c r="A4957" s="405"/>
    </row>
    <row r="4958" spans="1:1" x14ac:dyDescent="0.2">
      <c r="A4958" s="405"/>
    </row>
    <row r="4959" spans="1:1" x14ac:dyDescent="0.2">
      <c r="A4959" s="405"/>
    </row>
    <row r="4960" spans="1:1" x14ac:dyDescent="0.2">
      <c r="A4960" s="405"/>
    </row>
    <row r="4961" spans="1:2" x14ac:dyDescent="0.2">
      <c r="A4961" s="405"/>
    </row>
    <row r="4962" spans="1:2" x14ac:dyDescent="0.2">
      <c r="A4962" s="405"/>
      <c r="B4962" s="553"/>
    </row>
    <row r="4963" spans="1:2" x14ac:dyDescent="0.2">
      <c r="A4963" s="405"/>
      <c r="B4963" s="553"/>
    </row>
    <row r="4964" spans="1:2" x14ac:dyDescent="0.2">
      <c r="A4964" s="405"/>
      <c r="B4964" s="553"/>
    </row>
    <row r="4965" spans="1:2" x14ac:dyDescent="0.2">
      <c r="A4965" s="405"/>
      <c r="B4965" s="553"/>
    </row>
    <row r="4966" spans="1:2" x14ac:dyDescent="0.2">
      <c r="A4966" s="405"/>
      <c r="B4966" s="553"/>
    </row>
    <row r="4967" spans="1:2" x14ac:dyDescent="0.2">
      <c r="A4967" s="405"/>
    </row>
    <row r="4968" spans="1:2" x14ac:dyDescent="0.2">
      <c r="A4968" s="405"/>
      <c r="B4968" s="553"/>
    </row>
    <row r="4969" spans="1:2" x14ac:dyDescent="0.2">
      <c r="A4969" s="405"/>
    </row>
    <row r="4970" spans="1:2" x14ac:dyDescent="0.2">
      <c r="A4970" s="405"/>
    </row>
    <row r="4971" spans="1:2" x14ac:dyDescent="0.2">
      <c r="A4971" s="405"/>
    </row>
    <row r="4972" spans="1:2" x14ac:dyDescent="0.2">
      <c r="A4972" s="405"/>
    </row>
    <row r="4973" spans="1:2" x14ac:dyDescent="0.2">
      <c r="A4973" s="405"/>
    </row>
    <row r="4974" spans="1:2" x14ac:dyDescent="0.2">
      <c r="A4974" s="405"/>
    </row>
    <row r="4975" spans="1:2" x14ac:dyDescent="0.2">
      <c r="A4975" s="405"/>
      <c r="B4975" s="553"/>
    </row>
    <row r="4976" spans="1:2" x14ac:dyDescent="0.2">
      <c r="A4976" s="405"/>
    </row>
    <row r="4977" spans="1:2" x14ac:dyDescent="0.2">
      <c r="A4977" s="405"/>
    </row>
    <row r="4978" spans="1:2" x14ac:dyDescent="0.2">
      <c r="A4978" s="405"/>
    </row>
    <row r="4979" spans="1:2" x14ac:dyDescent="0.2">
      <c r="A4979" s="405"/>
      <c r="B4979" s="553"/>
    </row>
    <row r="4980" spans="1:2" x14ac:dyDescent="0.2">
      <c r="A4980" s="405"/>
      <c r="B4980" s="553"/>
    </row>
    <row r="4981" spans="1:2" x14ac:dyDescent="0.2">
      <c r="A4981" s="405"/>
    </row>
    <row r="4982" spans="1:2" x14ac:dyDescent="0.2">
      <c r="A4982" s="405"/>
    </row>
    <row r="4983" spans="1:2" x14ac:dyDescent="0.2">
      <c r="A4983" s="405"/>
      <c r="B4983" s="553"/>
    </row>
    <row r="4984" spans="1:2" x14ac:dyDescent="0.2">
      <c r="A4984" s="405"/>
      <c r="B4984" s="553"/>
    </row>
    <row r="4985" spans="1:2" x14ac:dyDescent="0.2">
      <c r="A4985" s="405"/>
    </row>
    <row r="4986" spans="1:2" x14ac:dyDescent="0.2">
      <c r="A4986" s="405"/>
    </row>
    <row r="4987" spans="1:2" x14ac:dyDescent="0.2">
      <c r="A4987" s="405"/>
    </row>
    <row r="4988" spans="1:2" x14ac:dyDescent="0.2">
      <c r="A4988" s="405"/>
    </row>
    <row r="4989" spans="1:2" x14ac:dyDescent="0.2">
      <c r="A4989" s="405"/>
    </row>
    <row r="4990" spans="1:2" x14ac:dyDescent="0.2">
      <c r="A4990" s="405"/>
    </row>
    <row r="4991" spans="1:2" x14ac:dyDescent="0.2">
      <c r="A4991" s="405"/>
    </row>
    <row r="4992" spans="1:2" x14ac:dyDescent="0.2">
      <c r="A4992" s="405"/>
    </row>
    <row r="4993" spans="1:2" x14ac:dyDescent="0.2">
      <c r="A4993" s="405"/>
    </row>
    <row r="4994" spans="1:2" x14ac:dyDescent="0.2">
      <c r="A4994" s="405"/>
      <c r="B4994" s="553"/>
    </row>
    <row r="4995" spans="1:2" x14ac:dyDescent="0.2">
      <c r="A4995" s="405"/>
    </row>
    <row r="4996" spans="1:2" x14ac:dyDescent="0.2">
      <c r="A4996" s="405"/>
    </row>
    <row r="4997" spans="1:2" x14ac:dyDescent="0.2">
      <c r="A4997" s="405"/>
    </row>
    <row r="4998" spans="1:2" x14ac:dyDescent="0.2">
      <c r="A4998" s="405"/>
    </row>
    <row r="4999" spans="1:2" x14ac:dyDescent="0.2">
      <c r="A4999" s="405"/>
    </row>
    <row r="5000" spans="1:2" x14ac:dyDescent="0.2">
      <c r="A5000" s="405"/>
    </row>
    <row r="5001" spans="1:2" x14ac:dyDescent="0.2">
      <c r="A5001" s="405"/>
    </row>
  </sheetData>
  <autoFilter ref="A1:R100" xr:uid="{26DDAEE9-71C1-A34C-B43F-F22E1B1A7B31}"/>
  <phoneticPr fontId="3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88270-58DB-464E-BE34-C3D33A75F2AA}">
  <sheetPr codeName="Sheet11"/>
  <dimension ref="B2:P11"/>
  <sheetViews>
    <sheetView workbookViewId="0">
      <selection activeCell="O14" sqref="O14"/>
    </sheetView>
  </sheetViews>
  <sheetFormatPr baseColWidth="10" defaultRowHeight="16" x14ac:dyDescent="0.2"/>
  <cols>
    <col min="2" max="2" width="9" customWidth="1"/>
    <col min="3" max="3" width="14.1640625" customWidth="1"/>
    <col min="4" max="4" width="7" style="1" customWidth="1"/>
    <col min="5" max="5" width="9" style="1" customWidth="1"/>
    <col min="6" max="6" width="9" customWidth="1"/>
    <col min="7" max="12" width="9" style="1" customWidth="1"/>
  </cols>
  <sheetData>
    <row r="2" spans="2:16" x14ac:dyDescent="0.2">
      <c r="B2" s="592" t="s">
        <v>498</v>
      </c>
      <c r="C2" s="592" t="s">
        <v>473</v>
      </c>
      <c r="D2" s="738" t="s">
        <v>479</v>
      </c>
      <c r="E2" s="598" t="s">
        <v>497</v>
      </c>
      <c r="F2" s="737"/>
      <c r="G2" s="737"/>
      <c r="H2" s="599"/>
      <c r="I2" s="598" t="s">
        <v>470</v>
      </c>
      <c r="J2" s="737"/>
      <c r="K2" s="737"/>
      <c r="L2" s="599"/>
      <c r="M2" s="598" t="s">
        <v>496</v>
      </c>
      <c r="N2" s="737"/>
      <c r="O2" s="737"/>
      <c r="P2" s="599"/>
    </row>
    <row r="3" spans="2:16" x14ac:dyDescent="0.2">
      <c r="B3" s="592"/>
      <c r="C3" s="592"/>
      <c r="D3" s="739"/>
      <c r="E3" s="3" t="s">
        <v>481</v>
      </c>
      <c r="F3" s="3" t="s">
        <v>135</v>
      </c>
      <c r="G3" s="3" t="s">
        <v>481</v>
      </c>
      <c r="H3" s="3" t="s">
        <v>370</v>
      </c>
      <c r="I3" s="3" t="s">
        <v>481</v>
      </c>
      <c r="J3" s="3" t="s">
        <v>135</v>
      </c>
      <c r="K3" s="3" t="s">
        <v>481</v>
      </c>
      <c r="L3" s="3" t="s">
        <v>370</v>
      </c>
      <c r="M3" s="3" t="s">
        <v>481</v>
      </c>
      <c r="N3" s="3" t="s">
        <v>499</v>
      </c>
      <c r="O3" s="3" t="s">
        <v>481</v>
      </c>
      <c r="P3" s="3" t="s">
        <v>500</v>
      </c>
    </row>
    <row r="4" spans="2:16" x14ac:dyDescent="0.2">
      <c r="B4" s="550" t="s">
        <v>371</v>
      </c>
      <c r="C4" s="550" t="s">
        <v>475</v>
      </c>
      <c r="D4" s="583" t="s">
        <v>480</v>
      </c>
      <c r="E4" s="583" t="s">
        <v>482</v>
      </c>
      <c r="F4" s="583" cm="1">
        <f t="array" aca="1" ref="F4" ca="1">IF(OR($D4="",$E4=""),"-",COLUMN(INDIRECT($E4&amp;"1"))-COLUMN(INDIRECT($D4&amp;"1"))+1)</f>
        <v>21</v>
      </c>
      <c r="G4" s="583" t="s">
        <v>482</v>
      </c>
      <c r="H4" s="583" cm="1">
        <f t="array" aca="1" ref="H4" ca="1">IF(OR($D4="",$G4=""),"-",COLUMN(INDIRECT($G4&amp;"1"))-COLUMN(INDIRECT($D4&amp;"1"))+1)</f>
        <v>21</v>
      </c>
      <c r="I4" s="583" t="s">
        <v>485</v>
      </c>
      <c r="J4" s="583" cm="1">
        <f t="array" aca="1" ref="J4" ca="1">IF(OR($D4="",$I4=""),"-",COLUMN(INDIRECT($I4&amp;"1"))-COLUMN(INDIRECT($D4&amp;"1"))+1)</f>
        <v>24</v>
      </c>
      <c r="K4" s="583" t="s">
        <v>485</v>
      </c>
      <c r="L4" s="3" cm="1">
        <f t="array" aca="1" ref="L4" ca="1">IF(OR($D4="",$K4=""),"-",COLUMN(INDIRECT($K4&amp;"1"))-COLUMN(INDIRECT($D4&amp;"1"))+1)</f>
        <v>24</v>
      </c>
      <c r="M4" s="583"/>
      <c r="N4" s="583"/>
      <c r="O4" s="583"/>
      <c r="P4" s="3"/>
    </row>
    <row r="5" spans="2:16" x14ac:dyDescent="0.2">
      <c r="B5" s="550" t="s">
        <v>372</v>
      </c>
      <c r="C5" s="550" t="s">
        <v>474</v>
      </c>
      <c r="D5" s="583" t="s">
        <v>13</v>
      </c>
      <c r="E5" s="583" t="s">
        <v>482</v>
      </c>
      <c r="F5" s="583" cm="1">
        <f t="array" aca="1" ref="F5" ca="1">IF(OR($D5="",$E5=""),"-",COLUMN(INDIRECT($E5&amp;"1"))-COLUMN(INDIRECT($D5&amp;"1"))+1)</f>
        <v>22</v>
      </c>
      <c r="G5" s="583" t="s">
        <v>483</v>
      </c>
      <c r="H5" s="583" cm="1">
        <f t="array" aca="1" ref="H5" ca="1">IF(OR($D5="",$G5=""),"-",COLUMN(INDIRECT($G5&amp;"1"))-COLUMN(INDIRECT($D5&amp;"1"))+1)</f>
        <v>29</v>
      </c>
      <c r="I5" s="583" t="s">
        <v>486</v>
      </c>
      <c r="J5" s="583" cm="1">
        <f t="array" aca="1" ref="J5" ca="1">IF(OR($D5="",$I5=""),"-",COLUMN(INDIRECT($I5&amp;"1"))-COLUMN(INDIRECT($D5&amp;"1"))+1)</f>
        <v>19</v>
      </c>
      <c r="K5" s="583" t="s">
        <v>487</v>
      </c>
      <c r="L5" s="3" cm="1">
        <f t="array" aca="1" ref="L5" ca="1">IF(OR($D5="",$K5=""),"-",COLUMN(INDIRECT($K5&amp;"1"))-COLUMN(INDIRECT($D5&amp;"1"))+1)</f>
        <v>26</v>
      </c>
      <c r="M5" s="583"/>
      <c r="N5" s="583"/>
      <c r="O5" s="583"/>
      <c r="P5" s="3"/>
    </row>
    <row r="6" spans="2:16" x14ac:dyDescent="0.2">
      <c r="B6" s="550" t="s">
        <v>373</v>
      </c>
      <c r="C6" s="550" t="s">
        <v>472</v>
      </c>
      <c r="D6" s="583" t="s">
        <v>13</v>
      </c>
      <c r="E6" s="583" t="s">
        <v>482</v>
      </c>
      <c r="F6" s="583" cm="1">
        <f t="array" aca="1" ref="F6" ca="1">IF(OR($D6="",$E6=""),"-",COLUMN(INDIRECT($E6&amp;"1"))-COLUMN(INDIRECT($D6&amp;"1"))+1)</f>
        <v>22</v>
      </c>
      <c r="G6" s="583" t="s">
        <v>483</v>
      </c>
      <c r="H6" s="583" cm="1">
        <f t="array" aca="1" ref="H6" ca="1">IF(OR($D6="",$G6=""),"-",COLUMN(INDIRECT($G6&amp;"1"))-COLUMN(INDIRECT($D6&amp;"1"))+1)</f>
        <v>29</v>
      </c>
      <c r="I6" s="583" t="s">
        <v>486</v>
      </c>
      <c r="J6" s="583" cm="1">
        <f t="array" aca="1" ref="J6" ca="1">IF(OR($D6="",$I6=""),"-",COLUMN(INDIRECT($I6&amp;"1"))-COLUMN(INDIRECT($D6&amp;"1"))+1)</f>
        <v>19</v>
      </c>
      <c r="K6" s="583" t="s">
        <v>487</v>
      </c>
      <c r="L6" s="3" cm="1">
        <f t="array" aca="1" ref="L6" ca="1">IF(OR($D6="",$K6=""),"-",COLUMN(INDIRECT($K6&amp;"1"))-COLUMN(INDIRECT($D6&amp;"1"))+1)</f>
        <v>26</v>
      </c>
      <c r="M6" s="583"/>
      <c r="N6" s="583"/>
      <c r="O6" s="583"/>
      <c r="P6" s="3"/>
    </row>
    <row r="7" spans="2:16" x14ac:dyDescent="0.2">
      <c r="B7" s="550" t="s">
        <v>374</v>
      </c>
      <c r="C7" s="550" t="s">
        <v>472</v>
      </c>
      <c r="D7" s="583" t="s">
        <v>13</v>
      </c>
      <c r="E7" s="583" t="s">
        <v>482</v>
      </c>
      <c r="F7" s="583" cm="1">
        <f t="array" aca="1" ref="F7" ca="1">IF(OR($D7="",$E7=""),"-",COLUMN(INDIRECT($E7&amp;"1"))-COLUMN(INDIRECT($D7&amp;"1"))+1)</f>
        <v>22</v>
      </c>
      <c r="G7" s="583" t="s">
        <v>483</v>
      </c>
      <c r="H7" s="583" cm="1">
        <f t="array" aca="1" ref="H7" ca="1">IF(OR($D7="",$G7=""),"-",COLUMN(INDIRECT($G7&amp;"1"))-COLUMN(INDIRECT($D7&amp;"1"))+1)</f>
        <v>29</v>
      </c>
      <c r="I7" s="583" t="s">
        <v>486</v>
      </c>
      <c r="J7" s="583" cm="1">
        <f t="array" aca="1" ref="J7" ca="1">IF(OR($D7="",$I7=""),"-",COLUMN(INDIRECT($I7&amp;"1"))-COLUMN(INDIRECT($D7&amp;"1"))+1)</f>
        <v>19</v>
      </c>
      <c r="K7" s="583" t="s">
        <v>487</v>
      </c>
      <c r="L7" s="3" cm="1">
        <f t="array" aca="1" ref="L7" ca="1">IF(OR($D7="",$K7=""),"-",COLUMN(INDIRECT($K7&amp;"1"))-COLUMN(INDIRECT($D7&amp;"1"))+1)</f>
        <v>26</v>
      </c>
      <c r="M7" s="583"/>
      <c r="N7" s="583"/>
      <c r="O7" s="583"/>
      <c r="P7" s="3"/>
    </row>
    <row r="8" spans="2:16" x14ac:dyDescent="0.2">
      <c r="B8" s="550" t="s">
        <v>375</v>
      </c>
      <c r="C8" s="550" t="s">
        <v>472</v>
      </c>
      <c r="D8" s="583" t="s">
        <v>13</v>
      </c>
      <c r="E8" s="583" t="s">
        <v>482</v>
      </c>
      <c r="F8" s="583" cm="1">
        <f t="array" aca="1" ref="F8" ca="1">IF(OR($D8="",$E8=""),"-",COLUMN(INDIRECT($E8&amp;"1"))-COLUMN(INDIRECT($D8&amp;"1"))+1)</f>
        <v>22</v>
      </c>
      <c r="G8" s="583" t="s">
        <v>483</v>
      </c>
      <c r="H8" s="583" cm="1">
        <f t="array" aca="1" ref="H8" ca="1">IF(OR($D8="",$G8=""),"-",COLUMN(INDIRECT($G8&amp;"1"))-COLUMN(INDIRECT($D8&amp;"1"))+1)</f>
        <v>29</v>
      </c>
      <c r="I8" s="583" t="s">
        <v>486</v>
      </c>
      <c r="J8" s="583" cm="1">
        <f t="array" aca="1" ref="J8" ca="1">IF(OR($D8="",$I8=""),"-",COLUMN(INDIRECT($I8&amp;"1"))-COLUMN(INDIRECT($D8&amp;"1"))+1)</f>
        <v>19</v>
      </c>
      <c r="K8" s="583" t="s">
        <v>487</v>
      </c>
      <c r="L8" s="3" cm="1">
        <f t="array" aca="1" ref="L8" ca="1">IF(OR($D8="",$K8=""),"-",COLUMN(INDIRECT($K8&amp;"1"))-COLUMN(INDIRECT($D8&amp;"1"))+1)</f>
        <v>26</v>
      </c>
      <c r="M8" s="583"/>
      <c r="N8" s="583"/>
      <c r="O8" s="583"/>
      <c r="P8" s="3"/>
    </row>
    <row r="9" spans="2:16" x14ac:dyDescent="0.2">
      <c r="B9" s="550" t="s">
        <v>376</v>
      </c>
      <c r="C9" s="550" t="s">
        <v>471</v>
      </c>
      <c r="D9" s="583" t="s">
        <v>480</v>
      </c>
      <c r="E9" s="583" t="s">
        <v>14</v>
      </c>
      <c r="F9" s="583" cm="1">
        <f t="array" aca="1" ref="F9" ca="1">IF(OR($D9="",$E9=""),"-",COLUMN(INDIRECT($E9&amp;"1"))-COLUMN(INDIRECT($D9&amp;"1"))+1)</f>
        <v>16</v>
      </c>
      <c r="G9" s="583" t="s">
        <v>484</v>
      </c>
      <c r="H9" s="583" cm="1">
        <f t="array" aca="1" ref="H9" ca="1">IF(OR($D9="",$G9=""),"-",COLUMN(INDIRECT($G9&amp;"1"))-COLUMN(INDIRECT($D9&amp;"1"))+1)</f>
        <v>34</v>
      </c>
      <c r="I9" s="583" t="s">
        <v>488</v>
      </c>
      <c r="J9" s="583" cm="1">
        <f t="array" aca="1" ref="J9" ca="1">IF(OR($D9="",$I9=""),"-",COLUMN(INDIRECT($I9&amp;"1"))-COLUMN(INDIRECT($D9&amp;"1"))+1)</f>
        <v>15</v>
      </c>
      <c r="K9" s="583" t="s">
        <v>489</v>
      </c>
      <c r="L9" s="3" cm="1">
        <f t="array" aca="1" ref="L9" ca="1">IF(OR($D9="",$K9=""),"-",COLUMN(INDIRECT($K9&amp;"1"))-COLUMN(INDIRECT($D9&amp;"1"))+1)</f>
        <v>20</v>
      </c>
      <c r="M9" s="583"/>
      <c r="N9" s="583"/>
      <c r="O9" s="583"/>
      <c r="P9" s="3"/>
    </row>
    <row r="10" spans="2:16" x14ac:dyDescent="0.2">
      <c r="B10" s="550" t="s">
        <v>377</v>
      </c>
      <c r="C10" s="550" t="s">
        <v>471</v>
      </c>
      <c r="D10" s="583" t="s">
        <v>480</v>
      </c>
      <c r="E10" s="583" t="s">
        <v>486</v>
      </c>
      <c r="F10" s="583" cm="1">
        <f t="array" aca="1" ref="F10" ca="1">IF(OR($D10="",$E10=""),"-",COLUMN(INDIRECT($E10&amp;"1"))-COLUMN(INDIRECT($D10&amp;"1"))+1)</f>
        <v>18</v>
      </c>
      <c r="G10" s="583" t="s">
        <v>494</v>
      </c>
      <c r="H10" s="583" cm="1">
        <f t="array" aca="1" ref="H10" ca="1">IF(OR($D10="",$G10=""),"-",COLUMN(INDIRECT($G10&amp;"1"))-COLUMN(INDIRECT($D10&amp;"1"))+1)</f>
        <v>36</v>
      </c>
      <c r="I10" s="583" t="s">
        <v>493</v>
      </c>
      <c r="J10" s="583" cm="1">
        <f t="array" aca="1" ref="J10" ca="1">IF(OR($D10="",$I10=""),"-",COLUMN(INDIRECT($I10&amp;"1"))-COLUMN(INDIRECT($D10&amp;"1"))+1)</f>
        <v>17</v>
      </c>
      <c r="K10" s="583" t="s">
        <v>495</v>
      </c>
      <c r="L10" s="3" cm="1">
        <f t="array" aca="1" ref="L10" ca="1">IF(OR($D10="",$K10=""),"-",COLUMN(INDIRECT($K10&amp;"1"))-COLUMN(INDIRECT($D10&amp;"1"))+1)</f>
        <v>22</v>
      </c>
      <c r="M10" s="583" t="s">
        <v>501</v>
      </c>
      <c r="N10" s="3" cm="1">
        <f t="array" aca="1" ref="N10" ca="1">IF(OR($D10="",$M10=""),"-",COLUMN(INDIRECT($M10&amp;"1"))-COLUMN(INDIRECT($D10&amp;"1"))+1)</f>
        <v>10</v>
      </c>
      <c r="O10" s="583" t="s">
        <v>502</v>
      </c>
      <c r="P10" s="3" cm="1">
        <f t="array" aca="1" ref="P10" ca="1">IF(OR($D10="",$O10=""),"-",COLUMN(INDIRECT($O10&amp;"1"))-COLUMN(INDIRECT($D10&amp;"1"))+1)</f>
        <v>11</v>
      </c>
    </row>
    <row r="11" spans="2:16" x14ac:dyDescent="0.2">
      <c r="B11" s="550" t="s">
        <v>378</v>
      </c>
      <c r="C11" s="550"/>
      <c r="D11" s="583"/>
      <c r="E11" s="583"/>
      <c r="F11" s="583" t="str" cm="1">
        <f t="array" aca="1" ref="F11" ca="1">IF(OR($D11="",$E11=""),"-",COLUMN(INDIRECT($E11&amp;"1"))-COLUMN(INDIRECT($D11&amp;"1"))+1)</f>
        <v>-</v>
      </c>
      <c r="G11" s="583"/>
      <c r="H11" s="583" t="str" cm="1">
        <f t="array" aca="1" ref="H11" ca="1">IF(OR($D11="",$G11=""),"-",COLUMN(INDIRECT($G11&amp;"1"))-COLUMN(INDIRECT($D11&amp;"1"))+1)</f>
        <v>-</v>
      </c>
      <c r="I11" s="583"/>
      <c r="J11" s="583" t="str" cm="1">
        <f t="array" aca="1" ref="J11" ca="1">IF(OR($D11="",$I11=""),"-",COLUMN(INDIRECT($I11&amp;"1"))-COLUMN(INDIRECT($D11&amp;"1"))+1)</f>
        <v>-</v>
      </c>
      <c r="K11" s="583"/>
      <c r="L11" s="3" t="str" cm="1">
        <f t="array" aca="1" ref="L11" ca="1">IF(OR($D11="",$K11=""),"-",COLUMN(INDIRECT($K11&amp;"1"))-COLUMN(INDIRECT($D11&amp;"1"))+1)</f>
        <v>-</v>
      </c>
      <c r="M11" s="583"/>
      <c r="N11" s="583"/>
      <c r="O11" s="583"/>
      <c r="P11" s="3"/>
    </row>
  </sheetData>
  <mergeCells count="6">
    <mergeCell ref="M2:P2"/>
    <mergeCell ref="B2:B3"/>
    <mergeCell ref="C2:C3"/>
    <mergeCell ref="D2:D3"/>
    <mergeCell ref="E2:H2"/>
    <mergeCell ref="I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Q1-C1</vt:lpstr>
      <vt:lpstr>Q1-C2</vt:lpstr>
      <vt:lpstr>Q2-C1</vt:lpstr>
      <vt:lpstr>Q2-C2</vt:lpstr>
      <vt:lpstr>Q3-C1</vt:lpstr>
      <vt:lpstr>Q3-C2</vt:lpstr>
      <vt:lpstr>Q4-C1</vt:lpstr>
      <vt:lpstr>Template</vt:lpstr>
      <vt:lpstr>Jira Data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Mendonça Vitor BRBH</cp:lastModifiedBy>
  <cp:revision/>
  <dcterms:created xsi:type="dcterms:W3CDTF">2022-09-19T23:08:50Z</dcterms:created>
  <dcterms:modified xsi:type="dcterms:W3CDTF">2024-10-01T22:06:56Z</dcterms:modified>
  <cp:category/>
  <cp:contentStatus/>
</cp:coreProperties>
</file>